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trlProps/ctrlProp3.xml" ContentType="application/vnd.ms-excel.controlproperties+xml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ЭтаКнига"/>
  <bookViews>
    <workbookView xWindow="-120" yWindow="-120" windowWidth="29040" windowHeight="16440" tabRatio="822"/>
  </bookViews>
  <sheets>
    <sheet name="Состав прибора" sheetId="21" r:id="rId1"/>
    <sheet name="По проектам" sheetId="20" r:id="rId2"/>
    <sheet name="По платам" sheetId="12" r:id="rId3"/>
    <sheet name="IB_2CAN_E1N003INF1" sheetId="1" r:id="rId4"/>
    <sheet name="IB_2RS232_E1N002INF1" sheetId="2" r:id="rId5"/>
    <sheet name="PCIe104_INF_E1N001INF1" sheetId="3" r:id="rId6"/>
    <sheet name="EM-PCIE104-CPU_E1E001CPU1E" sheetId="4" r:id="rId7"/>
    <sheet name="PCIe104_CON_E1N005INF1" sheetId="5" r:id="rId8"/>
    <sheet name="PCIe104_INF2_E1N006INF1" sheetId="6" r:id="rId9"/>
    <sheet name="PCIe104_PSU_E1N001PWR1" sheetId="7" r:id="rId10"/>
    <sheet name="SBC_35_2C3_1_E1E001CPU1E" sheetId="8" r:id="rId11"/>
    <sheet name="SBC_DIO_E1N004INF1" sheetId="9" r:id="rId12"/>
    <sheet name="C2B004CPU2" sheetId="10" r:id="rId13"/>
  </sheets>
  <definedNames>
    <definedName name="_xlnm._FilterDatabase" localSheetId="1" hidden="1">'По проектам'!$A$2:$N$635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52" i="8"/>
  <c r="N252"/>
  <c r="P74" i="7"/>
  <c r="N74"/>
  <c r="P48" i="6"/>
  <c r="N48"/>
  <c r="P55" i="5"/>
  <c r="N55"/>
  <c r="P136" i="3"/>
  <c r="N136"/>
  <c r="P46" i="1"/>
  <c r="N46"/>
  <c r="N38" i="2"/>
  <c r="P196" i="4"/>
  <c r="N196"/>
  <c r="E4" i="20" l="1"/>
  <c r="F4"/>
  <c r="E5"/>
  <c r="F5"/>
  <c r="E6"/>
  <c r="F6"/>
  <c r="E7"/>
  <c r="F7"/>
  <c r="E8"/>
  <c r="F8"/>
  <c r="E9"/>
  <c r="F9"/>
  <c r="E10"/>
  <c r="F10"/>
  <c r="L10"/>
  <c r="E11"/>
  <c r="F11"/>
  <c r="E12"/>
  <c r="F12"/>
  <c r="E13"/>
  <c r="F13"/>
  <c r="E14"/>
  <c r="F14"/>
  <c r="E15"/>
  <c r="F15"/>
  <c r="E16"/>
  <c r="F16"/>
  <c r="E17"/>
  <c r="F17"/>
  <c r="E18"/>
  <c r="F18"/>
  <c r="E19"/>
  <c r="F19"/>
  <c r="E20"/>
  <c r="F20"/>
  <c r="E21"/>
  <c r="F21"/>
  <c r="E22"/>
  <c r="F22"/>
  <c r="L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L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L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L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L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L82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L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L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L118"/>
  <c r="E119"/>
  <c r="F119"/>
  <c r="E120"/>
  <c r="F120"/>
  <c r="E121"/>
  <c r="F121"/>
  <c r="E122"/>
  <c r="F122"/>
  <c r="E123"/>
  <c r="F123"/>
  <c r="E124"/>
  <c r="F124"/>
  <c r="E125"/>
  <c r="F125"/>
  <c r="E126"/>
  <c r="F126"/>
  <c r="E127"/>
  <c r="F127"/>
  <c r="E128"/>
  <c r="F128"/>
  <c r="E129"/>
  <c r="F129"/>
  <c r="E130"/>
  <c r="F130"/>
  <c r="L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L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L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L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L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L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L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L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L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L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L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L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L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L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L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L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L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L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L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L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L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462"/>
  <c r="F462"/>
  <c r="E463"/>
  <c r="F463"/>
  <c r="E464"/>
  <c r="F464"/>
  <c r="E465"/>
  <c r="F465"/>
  <c r="E466"/>
  <c r="F466"/>
  <c r="E467"/>
  <c r="F467"/>
  <c r="E468"/>
  <c r="F468"/>
  <c r="E469"/>
  <c r="F469"/>
  <c r="E470"/>
  <c r="F470"/>
  <c r="E471"/>
  <c r="F471"/>
  <c r="E472"/>
  <c r="F472"/>
  <c r="E473"/>
  <c r="F473"/>
  <c r="E474"/>
  <c r="F474"/>
  <c r="E475"/>
  <c r="F475"/>
  <c r="E476"/>
  <c r="F476"/>
  <c r="E477"/>
  <c r="F477"/>
  <c r="E478"/>
  <c r="F478"/>
  <c r="E479"/>
  <c r="F479"/>
  <c r="E480"/>
  <c r="F480"/>
  <c r="E481"/>
  <c r="F481"/>
  <c r="E482"/>
  <c r="F482"/>
  <c r="E483"/>
  <c r="F483"/>
  <c r="E484"/>
  <c r="F484"/>
  <c r="E485"/>
  <c r="F485"/>
  <c r="E486"/>
  <c r="F486"/>
  <c r="E487"/>
  <c r="F487"/>
  <c r="E488"/>
  <c r="F488"/>
  <c r="E489"/>
  <c r="F489"/>
  <c r="E490"/>
  <c r="F490"/>
  <c r="E491"/>
  <c r="F491"/>
  <c r="E492"/>
  <c r="F492"/>
  <c r="E493"/>
  <c r="F493"/>
  <c r="E494"/>
  <c r="F494"/>
  <c r="E495"/>
  <c r="F495"/>
  <c r="E496"/>
  <c r="F496"/>
  <c r="E497"/>
  <c r="F497"/>
  <c r="E498"/>
  <c r="F498"/>
  <c r="E499"/>
  <c r="F499"/>
  <c r="E500"/>
  <c r="F500"/>
  <c r="E501"/>
  <c r="F501"/>
  <c r="E502"/>
  <c r="F502"/>
  <c r="E503"/>
  <c r="F503"/>
  <c r="E504"/>
  <c r="F504"/>
  <c r="E505"/>
  <c r="F505"/>
  <c r="E506"/>
  <c r="F506"/>
  <c r="E507"/>
  <c r="F507"/>
  <c r="E508"/>
  <c r="F508"/>
  <c r="E509"/>
  <c r="F509"/>
  <c r="E510"/>
  <c r="F510"/>
  <c r="E511"/>
  <c r="F511"/>
  <c r="E512"/>
  <c r="F512"/>
  <c r="E513"/>
  <c r="F513"/>
  <c r="E514"/>
  <c r="F514"/>
  <c r="E515"/>
  <c r="F515"/>
  <c r="E516"/>
  <c r="F516"/>
  <c r="E517"/>
  <c r="F517"/>
  <c r="E518"/>
  <c r="F518"/>
  <c r="E519"/>
  <c r="F519"/>
  <c r="E520"/>
  <c r="F520"/>
  <c r="E521"/>
  <c r="F521"/>
  <c r="E522"/>
  <c r="F522"/>
  <c r="E523"/>
  <c r="F523"/>
  <c r="E524"/>
  <c r="F524"/>
  <c r="E525"/>
  <c r="F525"/>
  <c r="E526"/>
  <c r="F526"/>
  <c r="E527"/>
  <c r="F527"/>
  <c r="E528"/>
  <c r="F528"/>
  <c r="E529"/>
  <c r="F529"/>
  <c r="E530"/>
  <c r="F530"/>
  <c r="E531"/>
  <c r="F531"/>
  <c r="E532"/>
  <c r="F532"/>
  <c r="E533"/>
  <c r="F533"/>
  <c r="E534"/>
  <c r="F534"/>
  <c r="E535"/>
  <c r="F535"/>
  <c r="E536"/>
  <c r="F536"/>
  <c r="E537"/>
  <c r="F537"/>
  <c r="E538"/>
  <c r="F538"/>
  <c r="E539"/>
  <c r="F539"/>
  <c r="E540"/>
  <c r="F540"/>
  <c r="E541"/>
  <c r="F541"/>
  <c r="E542"/>
  <c r="F542"/>
  <c r="E543"/>
  <c r="F543"/>
  <c r="E544"/>
  <c r="F544"/>
  <c r="E545"/>
  <c r="F545"/>
  <c r="E546"/>
  <c r="F546"/>
  <c r="E547"/>
  <c r="F547"/>
  <c r="E548"/>
  <c r="F548"/>
  <c r="E549"/>
  <c r="F549"/>
  <c r="E550"/>
  <c r="F550"/>
  <c r="E551"/>
  <c r="F551"/>
  <c r="E552"/>
  <c r="F552"/>
  <c r="E553"/>
  <c r="F553"/>
  <c r="E554"/>
  <c r="F554"/>
  <c r="E555"/>
  <c r="F555"/>
  <c r="E556"/>
  <c r="F556"/>
  <c r="E557"/>
  <c r="F557"/>
  <c r="E558"/>
  <c r="F558"/>
  <c r="E559"/>
  <c r="F559"/>
  <c r="E560"/>
  <c r="F560"/>
  <c r="E561"/>
  <c r="F561"/>
  <c r="E562"/>
  <c r="F562"/>
  <c r="E563"/>
  <c r="F563"/>
  <c r="E564"/>
  <c r="F564"/>
  <c r="E565"/>
  <c r="F565"/>
  <c r="E566"/>
  <c r="F566"/>
  <c r="E567"/>
  <c r="F567"/>
  <c r="E568"/>
  <c r="F568"/>
  <c r="E569"/>
  <c r="F569"/>
  <c r="E570"/>
  <c r="F570"/>
  <c r="E571"/>
  <c r="F571"/>
  <c r="E572"/>
  <c r="F572"/>
  <c r="E573"/>
  <c r="F573"/>
  <c r="E574"/>
  <c r="F574"/>
  <c r="E575"/>
  <c r="F575"/>
  <c r="E576"/>
  <c r="F576"/>
  <c r="E577"/>
  <c r="F577"/>
  <c r="E578"/>
  <c r="F578"/>
  <c r="E579"/>
  <c r="F579"/>
  <c r="E580"/>
  <c r="F580"/>
  <c r="E581"/>
  <c r="F581"/>
  <c r="E582"/>
  <c r="F582"/>
  <c r="E583"/>
  <c r="F583"/>
  <c r="E584"/>
  <c r="F584"/>
  <c r="E585"/>
  <c r="F585"/>
  <c r="E586"/>
  <c r="F586"/>
  <c r="E587"/>
  <c r="F587"/>
  <c r="E588"/>
  <c r="F588"/>
  <c r="E589"/>
  <c r="F589"/>
  <c r="E590"/>
  <c r="F590"/>
  <c r="E591"/>
  <c r="F591"/>
  <c r="E592"/>
  <c r="F592"/>
  <c r="E593"/>
  <c r="F593"/>
  <c r="E594"/>
  <c r="F594"/>
  <c r="E595"/>
  <c r="F595"/>
  <c r="E596"/>
  <c r="F596"/>
  <c r="E597"/>
  <c r="F597"/>
  <c r="E598"/>
  <c r="F598"/>
  <c r="E599"/>
  <c r="F599"/>
  <c r="E600"/>
  <c r="F600"/>
  <c r="E601"/>
  <c r="F601"/>
  <c r="E602"/>
  <c r="F602"/>
  <c r="E603"/>
  <c r="F603"/>
  <c r="E604"/>
  <c r="F604"/>
  <c r="E605"/>
  <c r="F605"/>
  <c r="E606"/>
  <c r="F606"/>
  <c r="E607"/>
  <c r="F607"/>
  <c r="E608"/>
  <c r="F608"/>
  <c r="E609"/>
  <c r="F609"/>
  <c r="E610"/>
  <c r="F610"/>
  <c r="E611"/>
  <c r="F611"/>
  <c r="E612"/>
  <c r="F612"/>
  <c r="E613"/>
  <c r="F613"/>
  <c r="E614"/>
  <c r="F614"/>
  <c r="E615"/>
  <c r="F615"/>
  <c r="E616"/>
  <c r="F616"/>
  <c r="E617"/>
  <c r="F617"/>
  <c r="E618"/>
  <c r="F618"/>
  <c r="E619"/>
  <c r="F619"/>
  <c r="E620"/>
  <c r="F620"/>
  <c r="E621"/>
  <c r="F621"/>
  <c r="E622"/>
  <c r="F622"/>
  <c r="E623"/>
  <c r="F623"/>
  <c r="E624"/>
  <c r="F624"/>
  <c r="E625"/>
  <c r="F625"/>
  <c r="E626"/>
  <c r="F626"/>
  <c r="E627"/>
  <c r="F627"/>
  <c r="E628"/>
  <c r="F628"/>
  <c r="E629"/>
  <c r="F629"/>
  <c r="E630"/>
  <c r="F630"/>
  <c r="E631"/>
  <c r="F631"/>
  <c r="E632"/>
  <c r="F632"/>
  <c r="E633"/>
  <c r="F633"/>
  <c r="E634"/>
  <c r="F634"/>
  <c r="E635"/>
  <c r="F635"/>
  <c r="F3"/>
  <c r="E3"/>
  <c r="L4" i="12"/>
  <c r="L5"/>
  <c r="N3" i="20" s="1"/>
  <c r="L6" i="12"/>
  <c r="N4" i="20" s="1"/>
  <c r="L7" i="12"/>
  <c r="N5" i="20" s="1"/>
  <c r="L8" i="12"/>
  <c r="N6" i="20" s="1"/>
  <c r="L9" i="12"/>
  <c r="N7" i="20" s="1"/>
  <c r="L10" i="12"/>
  <c r="N8" i="20" s="1"/>
  <c r="L11" i="12"/>
  <c r="N9" i="20" s="1"/>
  <c r="L12" i="12"/>
  <c r="N10" i="20" s="1"/>
  <c r="L13" i="12"/>
  <c r="N11" i="20" s="1"/>
  <c r="L14" i="12"/>
  <c r="N12" i="20" s="1"/>
  <c r="L15" i="12"/>
  <c r="N13" i="20" s="1"/>
  <c r="L16" i="12"/>
  <c r="N14" i="20" s="1"/>
  <c r="L17" i="12"/>
  <c r="N15" i="20" s="1"/>
  <c r="L18" i="12"/>
  <c r="N16" i="20" s="1"/>
  <c r="L19" i="12"/>
  <c r="N17" i="20" s="1"/>
  <c r="L20" i="12"/>
  <c r="N18" i="20" s="1"/>
  <c r="L21" i="12"/>
  <c r="N19" i="20" s="1"/>
  <c r="L22" i="12"/>
  <c r="N20" i="20" s="1"/>
  <c r="L23" i="12"/>
  <c r="N21" i="20" s="1"/>
  <c r="L24" i="12"/>
  <c r="N22" i="20" s="1"/>
  <c r="L25" i="12"/>
  <c r="N23" i="20" s="1"/>
  <c r="L26" i="12"/>
  <c r="N24" i="20" s="1"/>
  <c r="L27" i="12"/>
  <c r="N25" i="20" s="1"/>
  <c r="L28" i="12"/>
  <c r="N26" i="20" s="1"/>
  <c r="L29" i="12"/>
  <c r="N27" i="20" s="1"/>
  <c r="L30" i="12"/>
  <c r="N28" i="20" s="1"/>
  <c r="L31" i="12"/>
  <c r="N29" i="20" s="1"/>
  <c r="L32" i="12"/>
  <c r="N30" i="20" s="1"/>
  <c r="L33" i="12"/>
  <c r="N31" i="20" s="1"/>
  <c r="L34" i="12"/>
  <c r="N32" i="20" s="1"/>
  <c r="L35" i="12"/>
  <c r="N33" i="20" s="1"/>
  <c r="L36" i="12"/>
  <c r="N34" i="20" s="1"/>
  <c r="L37" i="12"/>
  <c r="N35" i="20" s="1"/>
  <c r="L38" i="12"/>
  <c r="N36" i="20" s="1"/>
  <c r="L39" i="12"/>
  <c r="N37" i="20" s="1"/>
  <c r="L40" i="12"/>
  <c r="N38" i="20" s="1"/>
  <c r="L41" i="12"/>
  <c r="N39" i="20" s="1"/>
  <c r="L42" i="12"/>
  <c r="N40" i="20" s="1"/>
  <c r="L43" i="12"/>
  <c r="N41" i="20" s="1"/>
  <c r="L44" i="12"/>
  <c r="N42" i="20" s="1"/>
  <c r="L45" i="12"/>
  <c r="N43" i="20" s="1"/>
  <c r="L46" i="12"/>
  <c r="N44" i="20" s="1"/>
  <c r="L47" i="12"/>
  <c r="N45" i="20" s="1"/>
  <c r="L48" i="12"/>
  <c r="N46" i="20" s="1"/>
  <c r="L49" i="12"/>
  <c r="N47" i="20" s="1"/>
  <c r="L50" i="12"/>
  <c r="N48" i="20" s="1"/>
  <c r="L51" i="12"/>
  <c r="N49" i="20" s="1"/>
  <c r="L52" i="12"/>
  <c r="N50" i="20" s="1"/>
  <c r="L53" i="12"/>
  <c r="N51" i="20" s="1"/>
  <c r="L54" i="12"/>
  <c r="N52" i="20" s="1"/>
  <c r="L55" i="12"/>
  <c r="N53" i="20" s="1"/>
  <c r="L56" i="12"/>
  <c r="N54" i="20" s="1"/>
  <c r="L57" i="12"/>
  <c r="N55" i="20" s="1"/>
  <c r="L58" i="12"/>
  <c r="N56" i="20" s="1"/>
  <c r="L59" i="12"/>
  <c r="N57" i="20" s="1"/>
  <c r="L60" i="12"/>
  <c r="N58" i="20" s="1"/>
  <c r="L61" i="12"/>
  <c r="N59" i="20" s="1"/>
  <c r="L62" i="12"/>
  <c r="N60" i="20" s="1"/>
  <c r="L63" i="12"/>
  <c r="N61" i="20" s="1"/>
  <c r="L64" i="12"/>
  <c r="N62" i="20" s="1"/>
  <c r="L65" i="12"/>
  <c r="N63" i="20" s="1"/>
  <c r="L66" i="12"/>
  <c r="N64" i="20" s="1"/>
  <c r="L67" i="12"/>
  <c r="N65" i="20" s="1"/>
  <c r="L68" i="12"/>
  <c r="N66" i="20" s="1"/>
  <c r="L69" i="12"/>
  <c r="N67" i="20" s="1"/>
  <c r="L70" i="12"/>
  <c r="N68" i="20" s="1"/>
  <c r="L71" i="12"/>
  <c r="N69" i="20" s="1"/>
  <c r="L72" i="12"/>
  <c r="N70" i="20" s="1"/>
  <c r="L73" i="12"/>
  <c r="N71" i="20" s="1"/>
  <c r="L74" i="12"/>
  <c r="N72" i="20" s="1"/>
  <c r="L75" i="12"/>
  <c r="N73" i="20" s="1"/>
  <c r="L76" i="12"/>
  <c r="N74" i="20" s="1"/>
  <c r="L77" i="12"/>
  <c r="N75" i="20" s="1"/>
  <c r="L78" i="12"/>
  <c r="N76" i="20" s="1"/>
  <c r="L79" i="12"/>
  <c r="N77" i="20" s="1"/>
  <c r="L80" i="12"/>
  <c r="N78" i="20" s="1"/>
  <c r="L81" i="12"/>
  <c r="N79" i="20" s="1"/>
  <c r="L82" i="12"/>
  <c r="N80" i="20" s="1"/>
  <c r="L83" i="12"/>
  <c r="N81" i="20" s="1"/>
  <c r="L84" i="12"/>
  <c r="N82" i="20" s="1"/>
  <c r="L85" i="12"/>
  <c r="N83" i="20" s="1"/>
  <c r="L86" i="12"/>
  <c r="N84" i="20" s="1"/>
  <c r="L87" i="12"/>
  <c r="N85" i="20" s="1"/>
  <c r="L88" i="12"/>
  <c r="N86" i="20" s="1"/>
  <c r="L89" i="12"/>
  <c r="N87" i="20" s="1"/>
  <c r="L90" i="12"/>
  <c r="N88" i="20" s="1"/>
  <c r="L91" i="12"/>
  <c r="N89" i="20" s="1"/>
  <c r="L92" i="12"/>
  <c r="N90" i="20" s="1"/>
  <c r="L93" i="12"/>
  <c r="N91" i="20" s="1"/>
  <c r="L94" i="12"/>
  <c r="N92" i="20" s="1"/>
  <c r="L95" i="12"/>
  <c r="N93" i="20" s="1"/>
  <c r="L96" i="12"/>
  <c r="N94" i="20" s="1"/>
  <c r="L97" i="12"/>
  <c r="N95" i="20" s="1"/>
  <c r="L98" i="12"/>
  <c r="N96" i="20" s="1"/>
  <c r="L99" i="12"/>
  <c r="N97" i="20" s="1"/>
  <c r="L100" i="12"/>
  <c r="N98" i="20" s="1"/>
  <c r="L101" i="12"/>
  <c r="N99" i="20" s="1"/>
  <c r="L102" i="12"/>
  <c r="N100" i="20" s="1"/>
  <c r="L103" i="12"/>
  <c r="N101" i="20" s="1"/>
  <c r="L104" i="12"/>
  <c r="N102" i="20" s="1"/>
  <c r="L105" i="12"/>
  <c r="N103" i="20" s="1"/>
  <c r="L106" i="12"/>
  <c r="N104" i="20" s="1"/>
  <c r="L107" i="12"/>
  <c r="N105" i="20" s="1"/>
  <c r="L108" i="12"/>
  <c r="N106" i="20" s="1"/>
  <c r="L109" i="12"/>
  <c r="N107" i="20" s="1"/>
  <c r="L110" i="12"/>
  <c r="N108" i="20" s="1"/>
  <c r="L111" i="12"/>
  <c r="N109" i="20" s="1"/>
  <c r="L112" i="12"/>
  <c r="N110" i="20" s="1"/>
  <c r="L113" i="12"/>
  <c r="N111" i="20" s="1"/>
  <c r="L114" i="12"/>
  <c r="N112" i="20" s="1"/>
  <c r="L115" i="12"/>
  <c r="N113" i="20" s="1"/>
  <c r="L116" i="12"/>
  <c r="N114" i="20" s="1"/>
  <c r="L117" i="12"/>
  <c r="N115" i="20" s="1"/>
  <c r="L118" i="12"/>
  <c r="N116" i="20" s="1"/>
  <c r="L119" i="12"/>
  <c r="N117" i="20" s="1"/>
  <c r="L120" i="12"/>
  <c r="N118" i="20" s="1"/>
  <c r="L121" i="12"/>
  <c r="N119" i="20" s="1"/>
  <c r="L122" i="12"/>
  <c r="N120" i="20" s="1"/>
  <c r="L123" i="12"/>
  <c r="N121" i="20" s="1"/>
  <c r="L124" i="12"/>
  <c r="N122" i="20" s="1"/>
  <c r="L125" i="12"/>
  <c r="N123" i="20" s="1"/>
  <c r="L126" i="12"/>
  <c r="N124" i="20" s="1"/>
  <c r="L127" i="12"/>
  <c r="N125" i="20" s="1"/>
  <c r="L128" i="12"/>
  <c r="N126" i="20" s="1"/>
  <c r="L129" i="12"/>
  <c r="N127" i="20" s="1"/>
  <c r="L130" i="12"/>
  <c r="N128" i="20" s="1"/>
  <c r="L131" i="12"/>
  <c r="N129" i="20" s="1"/>
  <c r="L132" i="12"/>
  <c r="N130" i="20" s="1"/>
  <c r="L133" i="12"/>
  <c r="N131" i="20" s="1"/>
  <c r="L134" i="12"/>
  <c r="N132" i="20" s="1"/>
  <c r="L135" i="12"/>
  <c r="N133" i="20" s="1"/>
  <c r="L136" i="12"/>
  <c r="N134" i="20" s="1"/>
  <c r="L137" i="12"/>
  <c r="N135" i="20" s="1"/>
  <c r="L138" i="12"/>
  <c r="N136" i="20" s="1"/>
  <c r="L139" i="12"/>
  <c r="N137" i="20" s="1"/>
  <c r="L140" i="12"/>
  <c r="N138" i="20" s="1"/>
  <c r="L141" i="12"/>
  <c r="N139" i="20" s="1"/>
  <c r="L142" i="12"/>
  <c r="N140" i="20" s="1"/>
  <c r="L143" i="12"/>
  <c r="N141" i="20" s="1"/>
  <c r="L144" i="12"/>
  <c r="N142" i="20" s="1"/>
  <c r="L145" i="12"/>
  <c r="N143" i="20" s="1"/>
  <c r="L146" i="12"/>
  <c r="N144" i="20" s="1"/>
  <c r="L147" i="12"/>
  <c r="N145" i="20" s="1"/>
  <c r="L148" i="12"/>
  <c r="N146" i="20" s="1"/>
  <c r="L149" i="12"/>
  <c r="N147" i="20" s="1"/>
  <c r="L150" i="12"/>
  <c r="N148" i="20" s="1"/>
  <c r="L151" i="12"/>
  <c r="N149" i="20" s="1"/>
  <c r="L152" i="12"/>
  <c r="N150" i="20" s="1"/>
  <c r="L153" i="12"/>
  <c r="N151" i="20" s="1"/>
  <c r="L154" i="12"/>
  <c r="N152" i="20" s="1"/>
  <c r="L155" i="12"/>
  <c r="N153" i="20" s="1"/>
  <c r="L156" i="12"/>
  <c r="N154" i="20" s="1"/>
  <c r="L157" i="12"/>
  <c r="N155" i="20" s="1"/>
  <c r="L158" i="12"/>
  <c r="N156" i="20" s="1"/>
  <c r="L159" i="12"/>
  <c r="N157" i="20" s="1"/>
  <c r="L160" i="12"/>
  <c r="N158" i="20" s="1"/>
  <c r="L161" i="12"/>
  <c r="N159" i="20" s="1"/>
  <c r="L162" i="12"/>
  <c r="N160" i="20" s="1"/>
  <c r="L163" i="12"/>
  <c r="N161" i="20" s="1"/>
  <c r="L164" i="12"/>
  <c r="N162" i="20" s="1"/>
  <c r="L165" i="12"/>
  <c r="N163" i="20" s="1"/>
  <c r="L166" i="12"/>
  <c r="N164" i="20" s="1"/>
  <c r="L167" i="12"/>
  <c r="N165" i="20" s="1"/>
  <c r="L168" i="12"/>
  <c r="N166" i="20" s="1"/>
  <c r="L169" i="12"/>
  <c r="N167" i="20" s="1"/>
  <c r="L170" i="12"/>
  <c r="N168" i="20" s="1"/>
  <c r="L171" i="12"/>
  <c r="N169" i="20" s="1"/>
  <c r="L172" i="12"/>
  <c r="N170" i="20" s="1"/>
  <c r="L173" i="12"/>
  <c r="N171" i="20" s="1"/>
  <c r="L174" i="12"/>
  <c r="N172" i="20" s="1"/>
  <c r="L175" i="12"/>
  <c r="N173" i="20" s="1"/>
  <c r="L176" i="12"/>
  <c r="N174" i="20" s="1"/>
  <c r="L177" i="12"/>
  <c r="N175" i="20" s="1"/>
  <c r="L178" i="12"/>
  <c r="N176" i="20" s="1"/>
  <c r="L179" i="12"/>
  <c r="N177" i="20" s="1"/>
  <c r="L180" i="12"/>
  <c r="N178" i="20" s="1"/>
  <c r="L181" i="12"/>
  <c r="N179" i="20" s="1"/>
  <c r="L182" i="12"/>
  <c r="N180" i="20" s="1"/>
  <c r="L183" i="12"/>
  <c r="N181" i="20" s="1"/>
  <c r="L184" i="12"/>
  <c r="N182" i="20" s="1"/>
  <c r="L185" i="12"/>
  <c r="N183" i="20" s="1"/>
  <c r="L186" i="12"/>
  <c r="N184" i="20" s="1"/>
  <c r="L187" i="12"/>
  <c r="N185" i="20" s="1"/>
  <c r="L188" i="12"/>
  <c r="N186" i="20" s="1"/>
  <c r="L189" i="12"/>
  <c r="N187" i="20" s="1"/>
  <c r="L190" i="12"/>
  <c r="N188" i="20" s="1"/>
  <c r="L191" i="12"/>
  <c r="N189" i="20" s="1"/>
  <c r="L192" i="12"/>
  <c r="N190" i="20" s="1"/>
  <c r="L193" i="12"/>
  <c r="N191" i="20" s="1"/>
  <c r="L194" i="12"/>
  <c r="N192" i="20" s="1"/>
  <c r="L195" i="12"/>
  <c r="N193" i="20" s="1"/>
  <c r="L196" i="12"/>
  <c r="N194" i="20" s="1"/>
  <c r="L197" i="12"/>
  <c r="N195" i="20" s="1"/>
  <c r="L198" i="12"/>
  <c r="N196" i="20" s="1"/>
  <c r="L199" i="12"/>
  <c r="N197" i="20" s="1"/>
  <c r="L200" i="12"/>
  <c r="N198" i="20" s="1"/>
  <c r="L201" i="12"/>
  <c r="N199" i="20" s="1"/>
  <c r="L202" i="12"/>
  <c r="N200" i="20" s="1"/>
  <c r="L203" i="12"/>
  <c r="N201" i="20" s="1"/>
  <c r="L204" i="12"/>
  <c r="N202" i="20" s="1"/>
  <c r="L205" i="12"/>
  <c r="N203" i="20" s="1"/>
  <c r="L206" i="12"/>
  <c r="N204" i="20" s="1"/>
  <c r="L207" i="12"/>
  <c r="N205" i="20" s="1"/>
  <c r="L208" i="12"/>
  <c r="N206" i="20" s="1"/>
  <c r="L209" i="12"/>
  <c r="N207" i="20" s="1"/>
  <c r="L210" i="12"/>
  <c r="N208" i="20" s="1"/>
  <c r="L211" i="12"/>
  <c r="N209" i="20" s="1"/>
  <c r="L212" i="12"/>
  <c r="N210" i="20" s="1"/>
  <c r="L213" i="12"/>
  <c r="N211" i="20" s="1"/>
  <c r="L214" i="12"/>
  <c r="N212" i="20" s="1"/>
  <c r="L215" i="12"/>
  <c r="N213" i="20" s="1"/>
  <c r="L216" i="12"/>
  <c r="N214" i="20" s="1"/>
  <c r="L217" i="12"/>
  <c r="N215" i="20" s="1"/>
  <c r="L218" i="12"/>
  <c r="N216" i="20" s="1"/>
  <c r="L219" i="12"/>
  <c r="N217" i="20" s="1"/>
  <c r="L220" i="12"/>
  <c r="N218" i="20" s="1"/>
  <c r="L221" i="12"/>
  <c r="N219" i="20" s="1"/>
  <c r="L222" i="12"/>
  <c r="N220" i="20" s="1"/>
  <c r="L223" i="12"/>
  <c r="N221" i="20" s="1"/>
  <c r="L224" i="12"/>
  <c r="N222" i="20" s="1"/>
  <c r="L225" i="12"/>
  <c r="N223" i="20" s="1"/>
  <c r="L226" i="12"/>
  <c r="N224" i="20" s="1"/>
  <c r="L227" i="12"/>
  <c r="N225" i="20" s="1"/>
  <c r="L228" i="12"/>
  <c r="N226" i="20" s="1"/>
  <c r="L229" i="12"/>
  <c r="N227" i="20" s="1"/>
  <c r="L230" i="12"/>
  <c r="N228" i="20" s="1"/>
  <c r="L231" i="12"/>
  <c r="N229" i="20" s="1"/>
  <c r="L232" i="12"/>
  <c r="N230" i="20" s="1"/>
  <c r="L233" i="12"/>
  <c r="N231" i="20" s="1"/>
  <c r="L234" i="12"/>
  <c r="N232" i="20" s="1"/>
  <c r="L235" i="12"/>
  <c r="N233" i="20" s="1"/>
  <c r="L236" i="12"/>
  <c r="N234" i="20" s="1"/>
  <c r="L237" i="12"/>
  <c r="N235" i="20" s="1"/>
  <c r="L238" i="12"/>
  <c r="N236" i="20" s="1"/>
  <c r="L239" i="12"/>
  <c r="N237" i="20" s="1"/>
  <c r="L240" i="12"/>
  <c r="N238" i="20" s="1"/>
  <c r="L241" i="12"/>
  <c r="N239" i="20" s="1"/>
  <c r="L242" i="12"/>
  <c r="N240" i="20" s="1"/>
  <c r="L243" i="12"/>
  <c r="N241" i="20" s="1"/>
  <c r="L244" i="12"/>
  <c r="N242" i="20" s="1"/>
  <c r="L245" i="12"/>
  <c r="N243" i="20" s="1"/>
  <c r="L246" i="12"/>
  <c r="N244" i="20" s="1"/>
  <c r="L247" i="12"/>
  <c r="N245" i="20" s="1"/>
  <c r="L248" i="12"/>
  <c r="N246" i="20" s="1"/>
  <c r="L249" i="12"/>
  <c r="N247" i="20" s="1"/>
  <c r="L250" i="12"/>
  <c r="N248" i="20" s="1"/>
  <c r="L251" i="12"/>
  <c r="N249" i="20" s="1"/>
  <c r="L252" i="12"/>
  <c r="N250" i="20" s="1"/>
  <c r="L253" i="12"/>
  <c r="N251" i="20" s="1"/>
  <c r="L254" i="12"/>
  <c r="N252" i="20" s="1"/>
  <c r="L255" i="12"/>
  <c r="N253" i="20" s="1"/>
  <c r="L256" i="12"/>
  <c r="N254" i="20" s="1"/>
  <c r="L257" i="12"/>
  <c r="N255" i="20" s="1"/>
  <c r="L258" i="12"/>
  <c r="N256" i="20" s="1"/>
  <c r="L259" i="12"/>
  <c r="N257" i="20" s="1"/>
  <c r="L260" i="12"/>
  <c r="N258" i="20" s="1"/>
  <c r="L261" i="12"/>
  <c r="N259" i="20" s="1"/>
  <c r="L262" i="12"/>
  <c r="N260" i="20" s="1"/>
  <c r="L263" i="12"/>
  <c r="N261" i="20" s="1"/>
  <c r="L264" i="12"/>
  <c r="N262" i="20" s="1"/>
  <c r="L265" i="12"/>
  <c r="N263" i="20" s="1"/>
  <c r="L266" i="12"/>
  <c r="N264" i="20" s="1"/>
  <c r="L267" i="12"/>
  <c r="N265" i="20" s="1"/>
  <c r="L268" i="12"/>
  <c r="N266" i="20" s="1"/>
  <c r="L269" i="12"/>
  <c r="N267" i="20" s="1"/>
  <c r="L270" i="12"/>
  <c r="N268" i="20" s="1"/>
  <c r="L271" i="12"/>
  <c r="N269" i="20" s="1"/>
  <c r="L272" i="12"/>
  <c r="N270" i="20" s="1"/>
  <c r="L273" i="12"/>
  <c r="N271" i="20" s="1"/>
  <c r="L274" i="12"/>
  <c r="N272" i="20" s="1"/>
  <c r="L275" i="12"/>
  <c r="N273" i="20" s="1"/>
  <c r="L276" i="12"/>
  <c r="N274" i="20" s="1"/>
  <c r="L277" i="12"/>
  <c r="N275" i="20" s="1"/>
  <c r="L278" i="12"/>
  <c r="N276" i="20" s="1"/>
  <c r="L279" i="12"/>
  <c r="N277" i="20" s="1"/>
  <c r="L280" i="12"/>
  <c r="N278" i="20" s="1"/>
  <c r="L281" i="12"/>
  <c r="N279" i="20" s="1"/>
  <c r="L282" i="12"/>
  <c r="N280" i="20" s="1"/>
  <c r="L283" i="12"/>
  <c r="N281" i="20" s="1"/>
  <c r="L284" i="12"/>
  <c r="N282" i="20" s="1"/>
  <c r="L285" i="12"/>
  <c r="N283" i="20" s="1"/>
  <c r="L286" i="12"/>
  <c r="N284" i="20" s="1"/>
  <c r="L287" i="12"/>
  <c r="N285" i="20" s="1"/>
  <c r="L288" i="12"/>
  <c r="N286" i="20" s="1"/>
  <c r="L289" i="12"/>
  <c r="N287" i="20" s="1"/>
  <c r="L290" i="12"/>
  <c r="N288" i="20" s="1"/>
  <c r="L291" i="12"/>
  <c r="N289" i="20" s="1"/>
  <c r="L292" i="12"/>
  <c r="N290" i="20" s="1"/>
  <c r="L293" i="12"/>
  <c r="N291" i="20" s="1"/>
  <c r="L294" i="12"/>
  <c r="N292" i="20" s="1"/>
  <c r="L295" i="12"/>
  <c r="N293" i="20" s="1"/>
  <c r="L296" i="12"/>
  <c r="N294" i="20" s="1"/>
  <c r="L297" i="12"/>
  <c r="N295" i="20" s="1"/>
  <c r="L298" i="12"/>
  <c r="N296" i="20" s="1"/>
  <c r="L299" i="12"/>
  <c r="N297" i="20" s="1"/>
  <c r="L300" i="12"/>
  <c r="N298" i="20" s="1"/>
  <c r="L301" i="12"/>
  <c r="N299" i="20" s="1"/>
  <c r="L302" i="12"/>
  <c r="N300" i="20" s="1"/>
  <c r="L303" i="12"/>
  <c r="N301" i="20" s="1"/>
  <c r="L304" i="12"/>
  <c r="N302" i="20" s="1"/>
  <c r="L305" i="12"/>
  <c r="N303" i="20" s="1"/>
  <c r="L306" i="12"/>
  <c r="N304" i="20" s="1"/>
  <c r="L307" i="12"/>
  <c r="N305" i="20" s="1"/>
  <c r="L308" i="12"/>
  <c r="N306" i="20" s="1"/>
  <c r="L309" i="12"/>
  <c r="N307" i="20" s="1"/>
  <c r="L310" i="12"/>
  <c r="N308" i="20" s="1"/>
  <c r="L311" i="12"/>
  <c r="N309" i="20" s="1"/>
  <c r="L312" i="12"/>
  <c r="N310" i="20" s="1"/>
  <c r="L313" i="12"/>
  <c r="N311" i="20" s="1"/>
  <c r="L314" i="12"/>
  <c r="N312" i="20" s="1"/>
  <c r="L315" i="12"/>
  <c r="N313" i="20" s="1"/>
  <c r="L316" i="12"/>
  <c r="N314" i="20" s="1"/>
  <c r="L317" i="12"/>
  <c r="N315" i="20" s="1"/>
  <c r="L318" i="12"/>
  <c r="N316" i="20" s="1"/>
  <c r="L319" i="12"/>
  <c r="N317" i="20" s="1"/>
  <c r="L320" i="12"/>
  <c r="N318" i="20" s="1"/>
  <c r="L321" i="12"/>
  <c r="N319" i="20" s="1"/>
  <c r="L322" i="12"/>
  <c r="N320" i="20" s="1"/>
  <c r="L323" i="12"/>
  <c r="N321" i="20" s="1"/>
  <c r="L324" i="12"/>
  <c r="N322" i="20" s="1"/>
  <c r="L325" i="12"/>
  <c r="N323" i="20" s="1"/>
  <c r="L326" i="12"/>
  <c r="N324" i="20" s="1"/>
  <c r="L327" i="12"/>
  <c r="N325" i="20" s="1"/>
  <c r="L328" i="12"/>
  <c r="N326" i="20" s="1"/>
  <c r="L329" i="12"/>
  <c r="N327" i="20" s="1"/>
  <c r="L330" i="12"/>
  <c r="N328" i="20" s="1"/>
  <c r="L331" i="12"/>
  <c r="N329" i="20" s="1"/>
  <c r="L332" i="12"/>
  <c r="N330" i="20" s="1"/>
  <c r="L333" i="12"/>
  <c r="N331" i="20" s="1"/>
  <c r="L334" i="12"/>
  <c r="N332" i="20" s="1"/>
  <c r="L335" i="12"/>
  <c r="N333" i="20" s="1"/>
  <c r="L336" i="12"/>
  <c r="N334" i="20" s="1"/>
  <c r="L337" i="12"/>
  <c r="N335" i="20" s="1"/>
  <c r="L338" i="12"/>
  <c r="N336" i="20" s="1"/>
  <c r="L339" i="12"/>
  <c r="N337" i="20" s="1"/>
  <c r="L340" i="12"/>
  <c r="N338" i="20" s="1"/>
  <c r="L341" i="12"/>
  <c r="N339" i="20" s="1"/>
  <c r="L342" i="12"/>
  <c r="N340" i="20" s="1"/>
  <c r="L343" i="12"/>
  <c r="N341" i="20" s="1"/>
  <c r="L344" i="12"/>
  <c r="N342" i="20" s="1"/>
  <c r="L345" i="12"/>
  <c r="N343" i="20" s="1"/>
  <c r="L346" i="12"/>
  <c r="N344" i="20" s="1"/>
  <c r="L347" i="12"/>
  <c r="N345" i="20" s="1"/>
  <c r="L348" i="12"/>
  <c r="N346" i="20" s="1"/>
  <c r="L349" i="12"/>
  <c r="N347" i="20" s="1"/>
  <c r="L350" i="12"/>
  <c r="N348" i="20" s="1"/>
  <c r="L351" i="12"/>
  <c r="N349" i="20" s="1"/>
  <c r="L352" i="12"/>
  <c r="N350" i="20" s="1"/>
  <c r="L353" i="12"/>
  <c r="N351" i="20" s="1"/>
  <c r="L354" i="12"/>
  <c r="N352" i="20" s="1"/>
  <c r="L355" i="12"/>
  <c r="N353" i="20" s="1"/>
  <c r="L356" i="12"/>
  <c r="N354" i="20" s="1"/>
  <c r="L357" i="12"/>
  <c r="N355" i="20" s="1"/>
  <c r="L358" i="12"/>
  <c r="N356" i="20" s="1"/>
  <c r="L359" i="12"/>
  <c r="N357" i="20" s="1"/>
  <c r="L360" i="12"/>
  <c r="N358" i="20" s="1"/>
  <c r="L361" i="12"/>
  <c r="N359" i="20" s="1"/>
  <c r="L362" i="12"/>
  <c r="N360" i="20" s="1"/>
  <c r="L363" i="12"/>
  <c r="N361" i="20" s="1"/>
  <c r="L364" i="12"/>
  <c r="N362" i="20" s="1"/>
  <c r="L365" i="12"/>
  <c r="N363" i="20" s="1"/>
  <c r="L366" i="12"/>
  <c r="N364" i="20" s="1"/>
  <c r="L367" i="12"/>
  <c r="N365" i="20" s="1"/>
  <c r="L368" i="12"/>
  <c r="N366" i="20" s="1"/>
  <c r="L369" i="12"/>
  <c r="N367" i="20" s="1"/>
  <c r="L370" i="12"/>
  <c r="N368" i="20" s="1"/>
  <c r="L371" i="12"/>
  <c r="N369" i="20" s="1"/>
  <c r="L372" i="12"/>
  <c r="N370" i="20" s="1"/>
  <c r="L373" i="12"/>
  <c r="N371" i="20" s="1"/>
  <c r="L374" i="12"/>
  <c r="N372" i="20" s="1"/>
  <c r="L375" i="12"/>
  <c r="N373" i="20" s="1"/>
  <c r="L376" i="12"/>
  <c r="N374" i="20" s="1"/>
  <c r="L377" i="12"/>
  <c r="N375" i="20" s="1"/>
  <c r="L378" i="12"/>
  <c r="N376" i="20" s="1"/>
  <c r="L379" i="12"/>
  <c r="N377" i="20" s="1"/>
  <c r="L380" i="12"/>
  <c r="N378" i="20" s="1"/>
  <c r="L381" i="12"/>
  <c r="N379" i="20" s="1"/>
  <c r="L382" i="12"/>
  <c r="N380" i="20" s="1"/>
  <c r="L383" i="12"/>
  <c r="N381" i="20" s="1"/>
  <c r="L384" i="12"/>
  <c r="N382" i="20" s="1"/>
  <c r="L385" i="12"/>
  <c r="N383" i="20" s="1"/>
  <c r="L386" i="12"/>
  <c r="N384" i="20" s="1"/>
  <c r="L387" i="12"/>
  <c r="N385" i="20" s="1"/>
  <c r="L388" i="12"/>
  <c r="N386" i="20" s="1"/>
  <c r="L389" i="12"/>
  <c r="N387" i="20" s="1"/>
  <c r="L390" i="12"/>
  <c r="N388" i="20" s="1"/>
  <c r="L391" i="12"/>
  <c r="N389" i="20" s="1"/>
  <c r="L392" i="12"/>
  <c r="N390" i="20" s="1"/>
  <c r="L393" i="12"/>
  <c r="N391" i="20" s="1"/>
  <c r="L394" i="12"/>
  <c r="N392" i="20" s="1"/>
  <c r="L395" i="12"/>
  <c r="N393" i="20" s="1"/>
  <c r="L396" i="12"/>
  <c r="N394" i="20" s="1"/>
  <c r="L397" i="12"/>
  <c r="N395" i="20" s="1"/>
  <c r="L398" i="12"/>
  <c r="N396" i="20" s="1"/>
  <c r="L399" i="12"/>
  <c r="N397" i="20" s="1"/>
  <c r="L400" i="12"/>
  <c r="N398" i="20" s="1"/>
  <c r="L401" i="12"/>
  <c r="N399" i="20" s="1"/>
  <c r="L402" i="12"/>
  <c r="N400" i="20" s="1"/>
  <c r="L403" i="12"/>
  <c r="N401" i="20" s="1"/>
  <c r="L404" i="12"/>
  <c r="N402" i="20" s="1"/>
  <c r="L405" i="12"/>
  <c r="N403" i="20" s="1"/>
  <c r="L406" i="12"/>
  <c r="N404" i="20" s="1"/>
  <c r="L407" i="12"/>
  <c r="N405" i="20" s="1"/>
  <c r="L408" i="12"/>
  <c r="N406" i="20" s="1"/>
  <c r="L409" i="12"/>
  <c r="N407" i="20" s="1"/>
  <c r="L410" i="12"/>
  <c r="N408" i="20" s="1"/>
  <c r="L411" i="12"/>
  <c r="N409" i="20" s="1"/>
  <c r="L412" i="12"/>
  <c r="N410" i="20" s="1"/>
  <c r="L413" i="12"/>
  <c r="N411" i="20" s="1"/>
  <c r="L414" i="12"/>
  <c r="N412" i="20" s="1"/>
  <c r="L415" i="12"/>
  <c r="N413" i="20" s="1"/>
  <c r="L416" i="12"/>
  <c r="N414" i="20" s="1"/>
  <c r="L417" i="12"/>
  <c r="N415" i="20" s="1"/>
  <c r="L418" i="12"/>
  <c r="N416" i="20" s="1"/>
  <c r="L419" i="12"/>
  <c r="N417" i="20" s="1"/>
  <c r="L420" i="12"/>
  <c r="N418" i="20" s="1"/>
  <c r="L421" i="12"/>
  <c r="N419" i="20" s="1"/>
  <c r="L422" i="12"/>
  <c r="N420" i="20" s="1"/>
  <c r="L423" i="12"/>
  <c r="N421" i="20" s="1"/>
  <c r="L424" i="12"/>
  <c r="N422" i="20" s="1"/>
  <c r="L425" i="12"/>
  <c r="N423" i="20" s="1"/>
  <c r="L426" i="12"/>
  <c r="N424" i="20" s="1"/>
  <c r="L427" i="12"/>
  <c r="N425" i="20" s="1"/>
  <c r="L428" i="12"/>
  <c r="N426" i="20" s="1"/>
  <c r="L429" i="12"/>
  <c r="N427" i="20" s="1"/>
  <c r="L430" i="12"/>
  <c r="N428" i="20" s="1"/>
  <c r="L431" i="12"/>
  <c r="N429" i="20" s="1"/>
  <c r="L432" i="12"/>
  <c r="N430" i="20" s="1"/>
  <c r="L433" i="12"/>
  <c r="N431" i="20" s="1"/>
  <c r="L434" i="12"/>
  <c r="N432" i="20" s="1"/>
  <c r="L435" i="12"/>
  <c r="N433" i="20" s="1"/>
  <c r="L436" i="12"/>
  <c r="N434" i="20" s="1"/>
  <c r="L437" i="12"/>
  <c r="N435" i="20" s="1"/>
  <c r="L438" i="12"/>
  <c r="N436" i="20" s="1"/>
  <c r="L439" i="12"/>
  <c r="N437" i="20" s="1"/>
  <c r="L440" i="12"/>
  <c r="N438" i="20" s="1"/>
  <c r="L441" i="12"/>
  <c r="N439" i="20" s="1"/>
  <c r="L442" i="12"/>
  <c r="N440" i="20" s="1"/>
  <c r="L443" i="12"/>
  <c r="N441" i="20" s="1"/>
  <c r="L444" i="12"/>
  <c r="N442" i="20" s="1"/>
  <c r="L445" i="12"/>
  <c r="N443" i="20" s="1"/>
  <c r="L446" i="12"/>
  <c r="N444" i="20" s="1"/>
  <c r="L447" i="12"/>
  <c r="N445" i="20" s="1"/>
  <c r="L448" i="12"/>
  <c r="N446" i="20" s="1"/>
  <c r="L449" i="12"/>
  <c r="N447" i="20" s="1"/>
  <c r="L450" i="12"/>
  <c r="N448" i="20" s="1"/>
  <c r="L451" i="12"/>
  <c r="N449" i="20" s="1"/>
  <c r="L452" i="12"/>
  <c r="N450" i="20" s="1"/>
  <c r="L453" i="12"/>
  <c r="N451" i="20" s="1"/>
  <c r="L454" i="12"/>
  <c r="N452" i="20" s="1"/>
  <c r="L455" i="12"/>
  <c r="N453" i="20" s="1"/>
  <c r="L456" i="12"/>
  <c r="N454" i="20" s="1"/>
  <c r="L457" i="12"/>
  <c r="N455" i="20" s="1"/>
  <c r="L458" i="12"/>
  <c r="N456" i="20" s="1"/>
  <c r="L459" i="12"/>
  <c r="N457" i="20" s="1"/>
  <c r="L460" i="12"/>
  <c r="N458" i="20" s="1"/>
  <c r="L461" i="12"/>
  <c r="N459" i="20" s="1"/>
  <c r="L462" i="12"/>
  <c r="N460" i="20" s="1"/>
  <c r="L463" i="12"/>
  <c r="N461" i="20" s="1"/>
  <c r="L464" i="12"/>
  <c r="N462" i="20" s="1"/>
  <c r="L465" i="12"/>
  <c r="N463" i="20" s="1"/>
  <c r="L466" i="12"/>
  <c r="N464" i="20" s="1"/>
  <c r="L467" i="12"/>
  <c r="N465" i="20" s="1"/>
  <c r="L468" i="12"/>
  <c r="N466" i="20" s="1"/>
  <c r="L469" i="12"/>
  <c r="N467" i="20" s="1"/>
  <c r="L470" i="12"/>
  <c r="N468" i="20" s="1"/>
  <c r="L471" i="12"/>
  <c r="N469" i="20" s="1"/>
  <c r="L472" i="12"/>
  <c r="N470" i="20" s="1"/>
  <c r="L473" i="12"/>
  <c r="N471" i="20" s="1"/>
  <c r="L474" i="12"/>
  <c r="N472" i="20" s="1"/>
  <c r="L475" i="12"/>
  <c r="N473" i="20" s="1"/>
  <c r="L476" i="12"/>
  <c r="N474" i="20" s="1"/>
  <c r="L477" i="12"/>
  <c r="N475" i="20" s="1"/>
  <c r="L478" i="12"/>
  <c r="N476" i="20" s="1"/>
  <c r="L479" i="12"/>
  <c r="N477" i="20" s="1"/>
  <c r="L480" i="12"/>
  <c r="N478" i="20" s="1"/>
  <c r="L481" i="12"/>
  <c r="N479" i="20" s="1"/>
  <c r="L482" i="12"/>
  <c r="N480" i="20" s="1"/>
  <c r="L483" i="12"/>
  <c r="N481" i="20" s="1"/>
  <c r="L484" i="12"/>
  <c r="N482" i="20" s="1"/>
  <c r="L485" i="12"/>
  <c r="N483" i="20" s="1"/>
  <c r="L486" i="12"/>
  <c r="N484" i="20" s="1"/>
  <c r="L487" i="12"/>
  <c r="N485" i="20" s="1"/>
  <c r="L488" i="12"/>
  <c r="N486" i="20" s="1"/>
  <c r="L489" i="12"/>
  <c r="N487" i="20" s="1"/>
  <c r="L490" i="12"/>
  <c r="N488" i="20" s="1"/>
  <c r="L491" i="12"/>
  <c r="N489" i="20" s="1"/>
  <c r="L492" i="12"/>
  <c r="N490" i="20" s="1"/>
  <c r="L493" i="12"/>
  <c r="N491" i="20" s="1"/>
  <c r="L494" i="12"/>
  <c r="N492" i="20" s="1"/>
  <c r="L495" i="12"/>
  <c r="N493" i="20" s="1"/>
  <c r="L496" i="12"/>
  <c r="N494" i="20" s="1"/>
  <c r="L497" i="12"/>
  <c r="N495" i="20" s="1"/>
  <c r="L498" i="12"/>
  <c r="N496" i="20" s="1"/>
  <c r="L499" i="12"/>
  <c r="N497" i="20" s="1"/>
  <c r="L500" i="12"/>
  <c r="N498" i="20" s="1"/>
  <c r="L501" i="12"/>
  <c r="N499" i="20" s="1"/>
  <c r="L502" i="12"/>
  <c r="N500" i="20" s="1"/>
  <c r="L503" i="12"/>
  <c r="N501" i="20" s="1"/>
  <c r="L504" i="12"/>
  <c r="N502" i="20" s="1"/>
  <c r="L505" i="12"/>
  <c r="N503" i="20" s="1"/>
  <c r="L506" i="12"/>
  <c r="N504" i="20" s="1"/>
  <c r="L507" i="12"/>
  <c r="N505" i="20" s="1"/>
  <c r="L508" i="12"/>
  <c r="N506" i="20" s="1"/>
  <c r="L509" i="12"/>
  <c r="N507" i="20" s="1"/>
  <c r="L510" i="12"/>
  <c r="N508" i="20" s="1"/>
  <c r="L511" i="12"/>
  <c r="N509" i="20" s="1"/>
  <c r="L512" i="12"/>
  <c r="N510" i="20" s="1"/>
  <c r="L513" i="12"/>
  <c r="N511" i="20" s="1"/>
  <c r="L514" i="12"/>
  <c r="N512" i="20" s="1"/>
  <c r="L515" i="12"/>
  <c r="N513" i="20" s="1"/>
  <c r="L516" i="12"/>
  <c r="N514" i="20" s="1"/>
  <c r="L517" i="12"/>
  <c r="N515" i="20" s="1"/>
  <c r="L518" i="12"/>
  <c r="N516" i="20" s="1"/>
  <c r="L519" i="12"/>
  <c r="N517" i="20" s="1"/>
  <c r="L520" i="12"/>
  <c r="N518" i="20" s="1"/>
  <c r="L521" i="12"/>
  <c r="N519" i="20" s="1"/>
  <c r="L522" i="12"/>
  <c r="N520" i="20" s="1"/>
  <c r="L523" i="12"/>
  <c r="N521" i="20" s="1"/>
  <c r="L524" i="12"/>
  <c r="N522" i="20" s="1"/>
  <c r="L525" i="12"/>
  <c r="N523" i="20" s="1"/>
  <c r="L526" i="12"/>
  <c r="N524" i="20" s="1"/>
  <c r="L527" i="12"/>
  <c r="N525" i="20" s="1"/>
  <c r="L528" i="12"/>
  <c r="N526" i="20" s="1"/>
  <c r="L529" i="12"/>
  <c r="N527" i="20" s="1"/>
  <c r="L530" i="12"/>
  <c r="N528" i="20" s="1"/>
  <c r="L531" i="12"/>
  <c r="N529" i="20" s="1"/>
  <c r="L532" i="12"/>
  <c r="N530" i="20" s="1"/>
  <c r="L533" i="12"/>
  <c r="N531" i="20" s="1"/>
  <c r="L534" i="12"/>
  <c r="N532" i="20" s="1"/>
  <c r="L535" i="12"/>
  <c r="N533" i="20" s="1"/>
  <c r="L536" i="12"/>
  <c r="N534" i="20" s="1"/>
  <c r="L537" i="12"/>
  <c r="N535" i="20" s="1"/>
  <c r="L538" i="12"/>
  <c r="N536" i="20" s="1"/>
  <c r="L539" i="12"/>
  <c r="N537" i="20" s="1"/>
  <c r="L540" i="12"/>
  <c r="N538" i="20" s="1"/>
  <c r="L541" i="12"/>
  <c r="N539" i="20" s="1"/>
  <c r="L542" i="12"/>
  <c r="N540" i="20" s="1"/>
  <c r="L543" i="12"/>
  <c r="N541" i="20" s="1"/>
  <c r="L544" i="12"/>
  <c r="N542" i="20" s="1"/>
  <c r="L545" i="12"/>
  <c r="N543" i="20" s="1"/>
  <c r="L546" i="12"/>
  <c r="N544" i="20" s="1"/>
  <c r="L547" i="12"/>
  <c r="N545" i="20" s="1"/>
  <c r="L548" i="12"/>
  <c r="N546" i="20" s="1"/>
  <c r="L549" i="12"/>
  <c r="N547" i="20" s="1"/>
  <c r="L550" i="12"/>
  <c r="N548" i="20" s="1"/>
  <c r="L551" i="12"/>
  <c r="N549" i="20" s="1"/>
  <c r="L552" i="12"/>
  <c r="N550" i="20" s="1"/>
  <c r="L553" i="12"/>
  <c r="N551" i="20" s="1"/>
  <c r="L554" i="12"/>
  <c r="N552" i="20" s="1"/>
  <c r="L555" i="12"/>
  <c r="N553" i="20" s="1"/>
  <c r="L556" i="12"/>
  <c r="N554" i="20" s="1"/>
  <c r="L557" i="12"/>
  <c r="N555" i="20" s="1"/>
  <c r="L558" i="12"/>
  <c r="N556" i="20" s="1"/>
  <c r="L559" i="12"/>
  <c r="N557" i="20" s="1"/>
  <c r="L560" i="12"/>
  <c r="N558" i="20" s="1"/>
  <c r="L561" i="12"/>
  <c r="N559" i="20" s="1"/>
  <c r="L562" i="12"/>
  <c r="N560" i="20" s="1"/>
  <c r="L563" i="12"/>
  <c r="N561" i="20" s="1"/>
  <c r="L564" i="12"/>
  <c r="N562" i="20" s="1"/>
  <c r="L565" i="12"/>
  <c r="N563" i="20" s="1"/>
  <c r="L566" i="12"/>
  <c r="N564" i="20" s="1"/>
  <c r="L567" i="12"/>
  <c r="N565" i="20" s="1"/>
  <c r="L568" i="12"/>
  <c r="N566" i="20" s="1"/>
  <c r="L569" i="12"/>
  <c r="N567" i="20" s="1"/>
  <c r="L570" i="12"/>
  <c r="N568" i="20" s="1"/>
  <c r="L571" i="12"/>
  <c r="N569" i="20" s="1"/>
  <c r="L572" i="12"/>
  <c r="N570" i="20" s="1"/>
  <c r="L573" i="12"/>
  <c r="N571" i="20" s="1"/>
  <c r="L574" i="12"/>
  <c r="N572" i="20" s="1"/>
  <c r="L575" i="12"/>
  <c r="N573" i="20" s="1"/>
  <c r="L576" i="12"/>
  <c r="N574" i="20" s="1"/>
  <c r="L577" i="12"/>
  <c r="N575" i="20" s="1"/>
  <c r="L578" i="12"/>
  <c r="N576" i="20" s="1"/>
  <c r="L579" i="12"/>
  <c r="N577" i="20" s="1"/>
  <c r="L580" i="12"/>
  <c r="N578" i="20" s="1"/>
  <c r="L581" i="12"/>
  <c r="N579" i="20" s="1"/>
  <c r="L582" i="12"/>
  <c r="N580" i="20" s="1"/>
  <c r="L583" i="12"/>
  <c r="N581" i="20" s="1"/>
  <c r="L584" i="12"/>
  <c r="N582" i="20" s="1"/>
  <c r="L585" i="12"/>
  <c r="N583" i="20" s="1"/>
  <c r="L586" i="12"/>
  <c r="N584" i="20" s="1"/>
  <c r="L587" i="12"/>
  <c r="N585" i="20" s="1"/>
  <c r="L588" i="12"/>
  <c r="N586" i="20" s="1"/>
  <c r="L589" i="12"/>
  <c r="N587" i="20" s="1"/>
  <c r="L590" i="12"/>
  <c r="N588" i="20" s="1"/>
  <c r="L591" i="12"/>
  <c r="N589" i="20" s="1"/>
  <c r="L592" i="12"/>
  <c r="N590" i="20" s="1"/>
  <c r="L593" i="12"/>
  <c r="N591" i="20" s="1"/>
  <c r="L594" i="12"/>
  <c r="N592" i="20" s="1"/>
  <c r="L595" i="12"/>
  <c r="N593" i="20" s="1"/>
  <c r="L596" i="12"/>
  <c r="N594" i="20" s="1"/>
  <c r="L597" i="12"/>
  <c r="N595" i="20" s="1"/>
  <c r="L598" i="12"/>
  <c r="N596" i="20" s="1"/>
  <c r="L599" i="12"/>
  <c r="N597" i="20" s="1"/>
  <c r="L600" i="12"/>
  <c r="N598" i="20" s="1"/>
  <c r="L601" i="12"/>
  <c r="N599" i="20" s="1"/>
  <c r="L602" i="12"/>
  <c r="N600" i="20" s="1"/>
  <c r="L603" i="12"/>
  <c r="N601" i="20" s="1"/>
  <c r="L604" i="12"/>
  <c r="N602" i="20" s="1"/>
  <c r="L605" i="12"/>
  <c r="N603" i="20" s="1"/>
  <c r="L606" i="12"/>
  <c r="N604" i="20" s="1"/>
  <c r="L607" i="12"/>
  <c r="N605" i="20" s="1"/>
  <c r="L608" i="12"/>
  <c r="N606" i="20" s="1"/>
  <c r="L609" i="12"/>
  <c r="N607" i="20" s="1"/>
  <c r="L610" i="12"/>
  <c r="N608" i="20" s="1"/>
  <c r="L611" i="12"/>
  <c r="N609" i="20" s="1"/>
  <c r="L612" i="12"/>
  <c r="N610" i="20" s="1"/>
  <c r="L613" i="12"/>
  <c r="N611" i="20" s="1"/>
  <c r="L614" i="12"/>
  <c r="N612" i="20" s="1"/>
  <c r="L615" i="12"/>
  <c r="N613" i="20" s="1"/>
  <c r="L616" i="12"/>
  <c r="N614" i="20" s="1"/>
  <c r="L617" i="12"/>
  <c r="N615" i="20" s="1"/>
  <c r="L618" i="12"/>
  <c r="N616" i="20" s="1"/>
  <c r="L619" i="12"/>
  <c r="N617" i="20" s="1"/>
  <c r="L620" i="12"/>
  <c r="N618" i="20" s="1"/>
  <c r="L621" i="12"/>
  <c r="N619" i="20" s="1"/>
  <c r="L622" i="12"/>
  <c r="N620" i="20" s="1"/>
  <c r="L623" i="12"/>
  <c r="N621" i="20" s="1"/>
  <c r="L624" i="12"/>
  <c r="N622" i="20" s="1"/>
  <c r="L625" i="12"/>
  <c r="N623" i="20" s="1"/>
  <c r="L626" i="12"/>
  <c r="N624" i="20" s="1"/>
  <c r="L627" i="12"/>
  <c r="N625" i="20" s="1"/>
  <c r="L628" i="12"/>
  <c r="N626" i="20" s="1"/>
  <c r="L629" i="12"/>
  <c r="N627" i="20" s="1"/>
  <c r="L630" i="12"/>
  <c r="N628" i="20" s="1"/>
  <c r="L631" i="12"/>
  <c r="N629" i="20" s="1"/>
  <c r="L632" i="12"/>
  <c r="N630" i="20" s="1"/>
  <c r="L633" i="12"/>
  <c r="N631" i="20" s="1"/>
  <c r="L634" i="12"/>
  <c r="N632" i="20" s="1"/>
  <c r="L635" i="12"/>
  <c r="N633" i="20" s="1"/>
  <c r="L636" i="12"/>
  <c r="N634" i="20" s="1"/>
  <c r="L637" i="12"/>
  <c r="N635" i="20" s="1"/>
  <c r="L3" i="12"/>
  <c r="K4"/>
  <c r="K5"/>
  <c r="M3" i="20" s="1"/>
  <c r="K6" i="12"/>
  <c r="M4" i="20" s="1"/>
  <c r="K7" i="12"/>
  <c r="M5" i="20" s="1"/>
  <c r="K8" i="12"/>
  <c r="M6" i="20" s="1"/>
  <c r="K9" i="12"/>
  <c r="M7" i="20" s="1"/>
  <c r="K10" i="12"/>
  <c r="M8" i="20" s="1"/>
  <c r="K11" i="12"/>
  <c r="M9" i="20" s="1"/>
  <c r="K12" i="12"/>
  <c r="M10" i="20" s="1"/>
  <c r="K13" i="12"/>
  <c r="M11" i="20" s="1"/>
  <c r="K14" i="12"/>
  <c r="M12" i="20" s="1"/>
  <c r="K15" i="12"/>
  <c r="M13" i="20" s="1"/>
  <c r="K16" i="12"/>
  <c r="M14" i="20" s="1"/>
  <c r="K17" i="12"/>
  <c r="M15" i="20" s="1"/>
  <c r="K18" i="12"/>
  <c r="M16" i="20" s="1"/>
  <c r="K19" i="12"/>
  <c r="M17" i="20" s="1"/>
  <c r="K20" i="12"/>
  <c r="M18" i="20" s="1"/>
  <c r="K21" i="12"/>
  <c r="M19" i="20" s="1"/>
  <c r="K22" i="12"/>
  <c r="M20" i="20" s="1"/>
  <c r="K23" i="12"/>
  <c r="M21" i="20" s="1"/>
  <c r="K24" i="12"/>
  <c r="M22" i="20" s="1"/>
  <c r="K25" i="12"/>
  <c r="M23" i="20" s="1"/>
  <c r="K26" i="12"/>
  <c r="M24" i="20" s="1"/>
  <c r="K27" i="12"/>
  <c r="M25" i="20" s="1"/>
  <c r="K28" i="12"/>
  <c r="M26" i="20" s="1"/>
  <c r="K29" i="12"/>
  <c r="M27" i="20" s="1"/>
  <c r="K30" i="12"/>
  <c r="M28" i="20" s="1"/>
  <c r="K31" i="12"/>
  <c r="M29" i="20" s="1"/>
  <c r="K32" i="12"/>
  <c r="M30" i="20" s="1"/>
  <c r="K33" i="12"/>
  <c r="M31" i="20" s="1"/>
  <c r="K34" i="12"/>
  <c r="M32" i="20" s="1"/>
  <c r="K35" i="12"/>
  <c r="M33" i="20" s="1"/>
  <c r="K36" i="12"/>
  <c r="M34" i="20" s="1"/>
  <c r="K37" i="12"/>
  <c r="M35" i="20" s="1"/>
  <c r="K38" i="12"/>
  <c r="M36" i="20" s="1"/>
  <c r="K39" i="12"/>
  <c r="M37" i="20" s="1"/>
  <c r="K40" i="12"/>
  <c r="M38" i="20" s="1"/>
  <c r="K41" i="12"/>
  <c r="M39" i="20" s="1"/>
  <c r="K42" i="12"/>
  <c r="M40" i="20" s="1"/>
  <c r="K43" i="12"/>
  <c r="M41" i="20" s="1"/>
  <c r="K44" i="12"/>
  <c r="M42" i="20" s="1"/>
  <c r="K45" i="12"/>
  <c r="M43" i="20" s="1"/>
  <c r="K46" i="12"/>
  <c r="M44" i="20" s="1"/>
  <c r="K47" i="12"/>
  <c r="M45" i="20" s="1"/>
  <c r="K48" i="12"/>
  <c r="M46" i="20" s="1"/>
  <c r="K49" i="12"/>
  <c r="M47" i="20" s="1"/>
  <c r="K50" i="12"/>
  <c r="M48" i="20" s="1"/>
  <c r="K51" i="12"/>
  <c r="M49" i="20" s="1"/>
  <c r="K52" i="12"/>
  <c r="M50" i="20" s="1"/>
  <c r="K53" i="12"/>
  <c r="M51" i="20" s="1"/>
  <c r="K54" i="12"/>
  <c r="M52" i="20" s="1"/>
  <c r="K55" i="12"/>
  <c r="M53" i="20" s="1"/>
  <c r="K56" i="12"/>
  <c r="M54" i="20" s="1"/>
  <c r="K57" i="12"/>
  <c r="M55" i="20" s="1"/>
  <c r="K58" i="12"/>
  <c r="M56" i="20" s="1"/>
  <c r="K59" i="12"/>
  <c r="M57" i="20" s="1"/>
  <c r="K60" i="12"/>
  <c r="M58" i="20" s="1"/>
  <c r="K61" i="12"/>
  <c r="M59" i="20" s="1"/>
  <c r="K62" i="12"/>
  <c r="M60" i="20" s="1"/>
  <c r="K63" i="12"/>
  <c r="M61" i="20" s="1"/>
  <c r="K64" i="12"/>
  <c r="M62" i="20" s="1"/>
  <c r="K65" i="12"/>
  <c r="M63" i="20" s="1"/>
  <c r="K66" i="12"/>
  <c r="M64" i="20" s="1"/>
  <c r="K67" i="12"/>
  <c r="M65" i="20" s="1"/>
  <c r="K68" i="12"/>
  <c r="M66" i="20" s="1"/>
  <c r="K69" i="12"/>
  <c r="M67" i="20" s="1"/>
  <c r="K70" i="12"/>
  <c r="M68" i="20" s="1"/>
  <c r="K71" i="12"/>
  <c r="M69" i="20" s="1"/>
  <c r="K72" i="12"/>
  <c r="M70" i="20" s="1"/>
  <c r="K73" i="12"/>
  <c r="M71" i="20" s="1"/>
  <c r="K74" i="12"/>
  <c r="M72" i="20" s="1"/>
  <c r="K75" i="12"/>
  <c r="M73" i="20" s="1"/>
  <c r="K76" i="12"/>
  <c r="M74" i="20" s="1"/>
  <c r="K77" i="12"/>
  <c r="M75" i="20" s="1"/>
  <c r="K78" i="12"/>
  <c r="M76" i="20" s="1"/>
  <c r="K79" i="12"/>
  <c r="M77" i="20" s="1"/>
  <c r="K80" i="12"/>
  <c r="M78" i="20" s="1"/>
  <c r="K81" i="12"/>
  <c r="M79" i="20" s="1"/>
  <c r="K82" i="12"/>
  <c r="M80" i="20" s="1"/>
  <c r="K83" i="12"/>
  <c r="M81" i="20" s="1"/>
  <c r="K84" i="12"/>
  <c r="M82" i="20" s="1"/>
  <c r="K85" i="12"/>
  <c r="M83" i="20" s="1"/>
  <c r="K86" i="12"/>
  <c r="M84" i="20" s="1"/>
  <c r="K87" i="12"/>
  <c r="M85" i="20" s="1"/>
  <c r="K88" i="12"/>
  <c r="M86" i="20" s="1"/>
  <c r="K89" i="12"/>
  <c r="M87" i="20" s="1"/>
  <c r="K90" i="12"/>
  <c r="M88" i="20" s="1"/>
  <c r="K91" i="12"/>
  <c r="M89" i="20" s="1"/>
  <c r="K92" i="12"/>
  <c r="M90" i="20" s="1"/>
  <c r="K93" i="12"/>
  <c r="M91" i="20" s="1"/>
  <c r="K94" i="12"/>
  <c r="M92" i="20" s="1"/>
  <c r="K95" i="12"/>
  <c r="M93" i="20" s="1"/>
  <c r="K96" i="12"/>
  <c r="M94" i="20" s="1"/>
  <c r="K97" i="12"/>
  <c r="M95" i="20" s="1"/>
  <c r="K98" i="12"/>
  <c r="M96" i="20" s="1"/>
  <c r="K99" i="12"/>
  <c r="M97" i="20" s="1"/>
  <c r="K100" i="12"/>
  <c r="M98" i="20" s="1"/>
  <c r="K101" i="12"/>
  <c r="M99" i="20" s="1"/>
  <c r="K102" i="12"/>
  <c r="M100" i="20" s="1"/>
  <c r="K103" i="12"/>
  <c r="M101" i="20" s="1"/>
  <c r="K104" i="12"/>
  <c r="M102" i="20" s="1"/>
  <c r="K105" i="12"/>
  <c r="M103" i="20" s="1"/>
  <c r="K106" i="12"/>
  <c r="M104" i="20" s="1"/>
  <c r="K107" i="12"/>
  <c r="M105" i="20" s="1"/>
  <c r="K108" i="12"/>
  <c r="M106" i="20" s="1"/>
  <c r="K109" i="12"/>
  <c r="M107" i="20" s="1"/>
  <c r="K110" i="12"/>
  <c r="M108" i="20" s="1"/>
  <c r="K111" i="12"/>
  <c r="M109" i="20" s="1"/>
  <c r="K112" i="12"/>
  <c r="M110" i="20" s="1"/>
  <c r="K113" i="12"/>
  <c r="M111" i="20" s="1"/>
  <c r="K114" i="12"/>
  <c r="M112" i="20" s="1"/>
  <c r="K115" i="12"/>
  <c r="M113" i="20" s="1"/>
  <c r="K116" i="12"/>
  <c r="M114" i="20" s="1"/>
  <c r="K117" i="12"/>
  <c r="M115" i="20" s="1"/>
  <c r="K118" i="12"/>
  <c r="M116" i="20" s="1"/>
  <c r="K119" i="12"/>
  <c r="M117" i="20" s="1"/>
  <c r="K120" i="12"/>
  <c r="M118" i="20" s="1"/>
  <c r="K121" i="12"/>
  <c r="M119" i="20" s="1"/>
  <c r="K122" i="12"/>
  <c r="M120" i="20" s="1"/>
  <c r="K123" i="12"/>
  <c r="M121" i="20" s="1"/>
  <c r="K124" i="12"/>
  <c r="M122" i="20" s="1"/>
  <c r="K125" i="12"/>
  <c r="M123" i="20" s="1"/>
  <c r="K126" i="12"/>
  <c r="M124" i="20" s="1"/>
  <c r="K127" i="12"/>
  <c r="M125" i="20" s="1"/>
  <c r="K128" i="12"/>
  <c r="M126" i="20" s="1"/>
  <c r="K129" i="12"/>
  <c r="M127" i="20" s="1"/>
  <c r="K130" i="12"/>
  <c r="M128" i="20" s="1"/>
  <c r="K131" i="12"/>
  <c r="M129" i="20" s="1"/>
  <c r="K132" i="12"/>
  <c r="M130" i="20" s="1"/>
  <c r="K133" i="12"/>
  <c r="M131" i="20" s="1"/>
  <c r="K134" i="12"/>
  <c r="M132" i="20" s="1"/>
  <c r="K135" i="12"/>
  <c r="M133" i="20" s="1"/>
  <c r="K136" i="12"/>
  <c r="M134" i="20" s="1"/>
  <c r="K137" i="12"/>
  <c r="M135" i="20" s="1"/>
  <c r="K138" i="12"/>
  <c r="M136" i="20" s="1"/>
  <c r="K139" i="12"/>
  <c r="M137" i="20" s="1"/>
  <c r="K140" i="12"/>
  <c r="M138" i="20" s="1"/>
  <c r="K141" i="12"/>
  <c r="M139" i="20" s="1"/>
  <c r="K142" i="12"/>
  <c r="M140" i="20" s="1"/>
  <c r="K143" i="12"/>
  <c r="M141" i="20" s="1"/>
  <c r="K144" i="12"/>
  <c r="M142" i="20" s="1"/>
  <c r="K145" i="12"/>
  <c r="M143" i="20" s="1"/>
  <c r="K146" i="12"/>
  <c r="M144" i="20" s="1"/>
  <c r="K147" i="12"/>
  <c r="M145" i="20" s="1"/>
  <c r="K148" i="12"/>
  <c r="M146" i="20" s="1"/>
  <c r="K149" i="12"/>
  <c r="M147" i="20" s="1"/>
  <c r="K150" i="12"/>
  <c r="M148" i="20" s="1"/>
  <c r="K151" i="12"/>
  <c r="M149" i="20" s="1"/>
  <c r="K152" i="12"/>
  <c r="M150" i="20" s="1"/>
  <c r="K153" i="12"/>
  <c r="M151" i="20" s="1"/>
  <c r="K154" i="12"/>
  <c r="M152" i="20" s="1"/>
  <c r="K155" i="12"/>
  <c r="M153" i="20" s="1"/>
  <c r="K156" i="12"/>
  <c r="M154" i="20" s="1"/>
  <c r="K157" i="12"/>
  <c r="M155" i="20" s="1"/>
  <c r="K158" i="12"/>
  <c r="M156" i="20" s="1"/>
  <c r="K159" i="12"/>
  <c r="M157" i="20" s="1"/>
  <c r="K160" i="12"/>
  <c r="M158" i="20" s="1"/>
  <c r="K161" i="12"/>
  <c r="M159" i="20" s="1"/>
  <c r="K162" i="12"/>
  <c r="M160" i="20" s="1"/>
  <c r="K163" i="12"/>
  <c r="M161" i="20" s="1"/>
  <c r="K164" i="12"/>
  <c r="M162" i="20" s="1"/>
  <c r="K165" i="12"/>
  <c r="M163" i="20" s="1"/>
  <c r="K166" i="12"/>
  <c r="M164" i="20" s="1"/>
  <c r="K167" i="12"/>
  <c r="M165" i="20" s="1"/>
  <c r="K168" i="12"/>
  <c r="M166" i="20" s="1"/>
  <c r="K169" i="12"/>
  <c r="M167" i="20" s="1"/>
  <c r="K170" i="12"/>
  <c r="M168" i="20" s="1"/>
  <c r="K171" i="12"/>
  <c r="M169" i="20" s="1"/>
  <c r="K172" i="12"/>
  <c r="M170" i="20" s="1"/>
  <c r="K173" i="12"/>
  <c r="M171" i="20" s="1"/>
  <c r="K174" i="12"/>
  <c r="M172" i="20" s="1"/>
  <c r="K175" i="12"/>
  <c r="M173" i="20" s="1"/>
  <c r="K176" i="12"/>
  <c r="M174" i="20" s="1"/>
  <c r="K177" i="12"/>
  <c r="M175" i="20" s="1"/>
  <c r="K178" i="12"/>
  <c r="M176" i="20" s="1"/>
  <c r="K179" i="12"/>
  <c r="M177" i="20" s="1"/>
  <c r="K180" i="12"/>
  <c r="M178" i="20" s="1"/>
  <c r="K181" i="12"/>
  <c r="M179" i="20" s="1"/>
  <c r="K182" i="12"/>
  <c r="M180" i="20" s="1"/>
  <c r="K183" i="12"/>
  <c r="M181" i="20" s="1"/>
  <c r="K184" i="12"/>
  <c r="M182" i="20" s="1"/>
  <c r="K185" i="12"/>
  <c r="M183" i="20" s="1"/>
  <c r="K186" i="12"/>
  <c r="M184" i="20" s="1"/>
  <c r="K187" i="12"/>
  <c r="M185" i="20" s="1"/>
  <c r="K188" i="12"/>
  <c r="M186" i="20" s="1"/>
  <c r="K189" i="12"/>
  <c r="M187" i="20" s="1"/>
  <c r="K190" i="12"/>
  <c r="M188" i="20" s="1"/>
  <c r="K191" i="12"/>
  <c r="M189" i="20" s="1"/>
  <c r="K192" i="12"/>
  <c r="M190" i="20" s="1"/>
  <c r="K193" i="12"/>
  <c r="M191" i="20" s="1"/>
  <c r="K194" i="12"/>
  <c r="M192" i="20" s="1"/>
  <c r="K195" i="12"/>
  <c r="M193" i="20" s="1"/>
  <c r="K196" i="12"/>
  <c r="M194" i="20" s="1"/>
  <c r="K197" i="12"/>
  <c r="M195" i="20" s="1"/>
  <c r="K198" i="12"/>
  <c r="M196" i="20" s="1"/>
  <c r="K199" i="12"/>
  <c r="M197" i="20" s="1"/>
  <c r="K200" i="12"/>
  <c r="M198" i="20" s="1"/>
  <c r="K201" i="12"/>
  <c r="M199" i="20" s="1"/>
  <c r="K202" i="12"/>
  <c r="M200" i="20" s="1"/>
  <c r="K203" i="12"/>
  <c r="M201" i="20" s="1"/>
  <c r="K204" i="12"/>
  <c r="M202" i="20" s="1"/>
  <c r="K205" i="12"/>
  <c r="M203" i="20" s="1"/>
  <c r="K206" i="12"/>
  <c r="M204" i="20" s="1"/>
  <c r="K207" i="12"/>
  <c r="M205" i="20" s="1"/>
  <c r="K208" i="12"/>
  <c r="M206" i="20" s="1"/>
  <c r="K209" i="12"/>
  <c r="M207" i="20" s="1"/>
  <c r="K210" i="12"/>
  <c r="M208" i="20" s="1"/>
  <c r="K211" i="12"/>
  <c r="M209" i="20" s="1"/>
  <c r="K212" i="12"/>
  <c r="M210" i="20" s="1"/>
  <c r="K213" i="12"/>
  <c r="M211" i="20" s="1"/>
  <c r="K214" i="12"/>
  <c r="M212" i="20" s="1"/>
  <c r="K215" i="12"/>
  <c r="M213" i="20" s="1"/>
  <c r="K216" i="12"/>
  <c r="M214" i="20" s="1"/>
  <c r="K217" i="12"/>
  <c r="M215" i="20" s="1"/>
  <c r="K218" i="12"/>
  <c r="M216" i="20" s="1"/>
  <c r="K219" i="12"/>
  <c r="M217" i="20" s="1"/>
  <c r="K220" i="12"/>
  <c r="M218" i="20" s="1"/>
  <c r="K221" i="12"/>
  <c r="M219" i="20" s="1"/>
  <c r="K222" i="12"/>
  <c r="M220" i="20" s="1"/>
  <c r="K223" i="12"/>
  <c r="M221" i="20" s="1"/>
  <c r="K224" i="12"/>
  <c r="M222" i="20" s="1"/>
  <c r="K225" i="12"/>
  <c r="M223" i="20" s="1"/>
  <c r="K226" i="12"/>
  <c r="M224" i="20" s="1"/>
  <c r="K227" i="12"/>
  <c r="M225" i="20" s="1"/>
  <c r="K228" i="12"/>
  <c r="M226" i="20" s="1"/>
  <c r="K229" i="12"/>
  <c r="M227" i="20" s="1"/>
  <c r="K230" i="12"/>
  <c r="M228" i="20" s="1"/>
  <c r="K231" i="12"/>
  <c r="M229" i="20" s="1"/>
  <c r="K232" i="12"/>
  <c r="M230" i="20" s="1"/>
  <c r="K233" i="12"/>
  <c r="M231" i="20" s="1"/>
  <c r="K234" i="12"/>
  <c r="M232" i="20" s="1"/>
  <c r="K235" i="12"/>
  <c r="M233" i="20" s="1"/>
  <c r="K236" i="12"/>
  <c r="M234" i="20" s="1"/>
  <c r="K237" i="12"/>
  <c r="M235" i="20" s="1"/>
  <c r="K238" i="12"/>
  <c r="M236" i="20" s="1"/>
  <c r="K239" i="12"/>
  <c r="M237" i="20" s="1"/>
  <c r="K240" i="12"/>
  <c r="M238" i="20" s="1"/>
  <c r="K241" i="12"/>
  <c r="M239" i="20" s="1"/>
  <c r="K242" i="12"/>
  <c r="M240" i="20" s="1"/>
  <c r="K243" i="12"/>
  <c r="M241" i="20" s="1"/>
  <c r="K244" i="12"/>
  <c r="M242" i="20" s="1"/>
  <c r="K245" i="12"/>
  <c r="M243" i="20" s="1"/>
  <c r="K246" i="12"/>
  <c r="M244" i="20" s="1"/>
  <c r="K247" i="12"/>
  <c r="M245" i="20" s="1"/>
  <c r="K248" i="12"/>
  <c r="M246" i="20" s="1"/>
  <c r="K249" i="12"/>
  <c r="M247" i="20" s="1"/>
  <c r="K250" i="12"/>
  <c r="M248" i="20" s="1"/>
  <c r="K251" i="12"/>
  <c r="M249" i="20" s="1"/>
  <c r="K252" i="12"/>
  <c r="M250" i="20" s="1"/>
  <c r="K253" i="12"/>
  <c r="M251" i="20" s="1"/>
  <c r="K254" i="12"/>
  <c r="M252" i="20" s="1"/>
  <c r="K255" i="12"/>
  <c r="M253" i="20" s="1"/>
  <c r="K256" i="12"/>
  <c r="M254" i="20" s="1"/>
  <c r="K257" i="12"/>
  <c r="M255" i="20" s="1"/>
  <c r="K258" i="12"/>
  <c r="M256" i="20" s="1"/>
  <c r="K259" i="12"/>
  <c r="M257" i="20" s="1"/>
  <c r="K260" i="12"/>
  <c r="M258" i="20" s="1"/>
  <c r="K261" i="12"/>
  <c r="M259" i="20" s="1"/>
  <c r="K262" i="12"/>
  <c r="M260" i="20" s="1"/>
  <c r="K263" i="12"/>
  <c r="M261" i="20" s="1"/>
  <c r="K264" i="12"/>
  <c r="M262" i="20" s="1"/>
  <c r="K265" i="12"/>
  <c r="M263" i="20" s="1"/>
  <c r="K266" i="12"/>
  <c r="M264" i="20" s="1"/>
  <c r="K267" i="12"/>
  <c r="M265" i="20" s="1"/>
  <c r="K268" i="12"/>
  <c r="M266" i="20" s="1"/>
  <c r="K269" i="12"/>
  <c r="M267" i="20" s="1"/>
  <c r="K270" i="12"/>
  <c r="M268" i="20" s="1"/>
  <c r="K271" i="12"/>
  <c r="M269" i="20" s="1"/>
  <c r="K272" i="12"/>
  <c r="M270" i="20" s="1"/>
  <c r="K273" i="12"/>
  <c r="M271" i="20" s="1"/>
  <c r="K274" i="12"/>
  <c r="M272" i="20" s="1"/>
  <c r="K275" i="12"/>
  <c r="M273" i="20" s="1"/>
  <c r="K276" i="12"/>
  <c r="M274" i="20" s="1"/>
  <c r="K277" i="12"/>
  <c r="M275" i="20" s="1"/>
  <c r="K278" i="12"/>
  <c r="M276" i="20" s="1"/>
  <c r="K279" i="12"/>
  <c r="M277" i="20" s="1"/>
  <c r="K280" i="12"/>
  <c r="M278" i="20" s="1"/>
  <c r="K281" i="12"/>
  <c r="M279" i="20" s="1"/>
  <c r="K282" i="12"/>
  <c r="M280" i="20" s="1"/>
  <c r="K283" i="12"/>
  <c r="M281" i="20" s="1"/>
  <c r="K284" i="12"/>
  <c r="M282" i="20" s="1"/>
  <c r="K285" i="12"/>
  <c r="M283" i="20" s="1"/>
  <c r="K286" i="12"/>
  <c r="M284" i="20" s="1"/>
  <c r="K287" i="12"/>
  <c r="M285" i="20" s="1"/>
  <c r="K288" i="12"/>
  <c r="M286" i="20" s="1"/>
  <c r="K289" i="12"/>
  <c r="M287" i="20" s="1"/>
  <c r="K290" i="12"/>
  <c r="M288" i="20" s="1"/>
  <c r="K291" i="12"/>
  <c r="M289" i="20" s="1"/>
  <c r="K292" i="12"/>
  <c r="M290" i="20" s="1"/>
  <c r="K293" i="12"/>
  <c r="M291" i="20" s="1"/>
  <c r="K294" i="12"/>
  <c r="M292" i="20" s="1"/>
  <c r="K295" i="12"/>
  <c r="M293" i="20" s="1"/>
  <c r="K296" i="12"/>
  <c r="M294" i="20" s="1"/>
  <c r="K297" i="12"/>
  <c r="M295" i="20" s="1"/>
  <c r="K298" i="12"/>
  <c r="M296" i="20" s="1"/>
  <c r="K299" i="12"/>
  <c r="M297" i="20" s="1"/>
  <c r="K300" i="12"/>
  <c r="M298" i="20" s="1"/>
  <c r="K301" i="12"/>
  <c r="M299" i="20" s="1"/>
  <c r="K302" i="12"/>
  <c r="M300" i="20" s="1"/>
  <c r="K303" i="12"/>
  <c r="M301" i="20" s="1"/>
  <c r="K304" i="12"/>
  <c r="M302" i="20" s="1"/>
  <c r="K305" i="12"/>
  <c r="M303" i="20" s="1"/>
  <c r="K306" i="12"/>
  <c r="M304" i="20" s="1"/>
  <c r="K307" i="12"/>
  <c r="M305" i="20" s="1"/>
  <c r="K308" i="12"/>
  <c r="M306" i="20" s="1"/>
  <c r="K309" i="12"/>
  <c r="M307" i="20" s="1"/>
  <c r="K310" i="12"/>
  <c r="M308" i="20" s="1"/>
  <c r="K311" i="12"/>
  <c r="M309" i="20" s="1"/>
  <c r="K312" i="12"/>
  <c r="M310" i="20" s="1"/>
  <c r="K313" i="12"/>
  <c r="M311" i="20" s="1"/>
  <c r="K314" i="12"/>
  <c r="M312" i="20" s="1"/>
  <c r="K315" i="12"/>
  <c r="M313" i="20" s="1"/>
  <c r="K316" i="12"/>
  <c r="M314" i="20" s="1"/>
  <c r="K317" i="12"/>
  <c r="M315" i="20" s="1"/>
  <c r="K318" i="12"/>
  <c r="M316" i="20" s="1"/>
  <c r="K319" i="12"/>
  <c r="M317" i="20" s="1"/>
  <c r="K320" i="12"/>
  <c r="M318" i="20" s="1"/>
  <c r="K321" i="12"/>
  <c r="M319" i="20" s="1"/>
  <c r="K322" i="12"/>
  <c r="M320" i="20" s="1"/>
  <c r="K323" i="12"/>
  <c r="M321" i="20" s="1"/>
  <c r="K324" i="12"/>
  <c r="M322" i="20" s="1"/>
  <c r="K325" i="12"/>
  <c r="M323" i="20" s="1"/>
  <c r="K326" i="12"/>
  <c r="M324" i="20" s="1"/>
  <c r="K327" i="12"/>
  <c r="M325" i="20" s="1"/>
  <c r="K328" i="12"/>
  <c r="M326" i="20" s="1"/>
  <c r="K329" i="12"/>
  <c r="M327" i="20" s="1"/>
  <c r="K330" i="12"/>
  <c r="M328" i="20" s="1"/>
  <c r="K331" i="12"/>
  <c r="M329" i="20" s="1"/>
  <c r="K332" i="12"/>
  <c r="M330" i="20" s="1"/>
  <c r="K333" i="12"/>
  <c r="M331" i="20" s="1"/>
  <c r="K334" i="12"/>
  <c r="M332" i="20" s="1"/>
  <c r="K335" i="12"/>
  <c r="M333" i="20" s="1"/>
  <c r="K336" i="12"/>
  <c r="M334" i="20" s="1"/>
  <c r="K337" i="12"/>
  <c r="M335" i="20" s="1"/>
  <c r="K338" i="12"/>
  <c r="M336" i="20" s="1"/>
  <c r="K339" i="12"/>
  <c r="M337" i="20" s="1"/>
  <c r="K340" i="12"/>
  <c r="M338" i="20" s="1"/>
  <c r="K341" i="12"/>
  <c r="M339" i="20" s="1"/>
  <c r="K342" i="12"/>
  <c r="M340" i="20" s="1"/>
  <c r="K343" i="12"/>
  <c r="M341" i="20" s="1"/>
  <c r="K344" i="12"/>
  <c r="M342" i="20" s="1"/>
  <c r="K345" i="12"/>
  <c r="M343" i="20" s="1"/>
  <c r="K346" i="12"/>
  <c r="M344" i="20" s="1"/>
  <c r="K347" i="12"/>
  <c r="M345" i="20" s="1"/>
  <c r="K348" i="12"/>
  <c r="M346" i="20" s="1"/>
  <c r="K349" i="12"/>
  <c r="M347" i="20" s="1"/>
  <c r="K350" i="12"/>
  <c r="M348" i="20" s="1"/>
  <c r="K351" i="12"/>
  <c r="M349" i="20" s="1"/>
  <c r="K352" i="12"/>
  <c r="M350" i="20" s="1"/>
  <c r="K353" i="12"/>
  <c r="M351" i="20" s="1"/>
  <c r="K354" i="12"/>
  <c r="M352" i="20" s="1"/>
  <c r="K355" i="12"/>
  <c r="M353" i="20" s="1"/>
  <c r="K356" i="12"/>
  <c r="M354" i="20" s="1"/>
  <c r="K357" i="12"/>
  <c r="M355" i="20" s="1"/>
  <c r="K358" i="12"/>
  <c r="M356" i="20" s="1"/>
  <c r="K359" i="12"/>
  <c r="M357" i="20" s="1"/>
  <c r="K360" i="12"/>
  <c r="M358" i="20" s="1"/>
  <c r="K361" i="12"/>
  <c r="M359" i="20" s="1"/>
  <c r="K362" i="12"/>
  <c r="M360" i="20" s="1"/>
  <c r="K363" i="12"/>
  <c r="M361" i="20" s="1"/>
  <c r="K364" i="12"/>
  <c r="M362" i="20" s="1"/>
  <c r="K365" i="12"/>
  <c r="M363" i="20" s="1"/>
  <c r="K366" i="12"/>
  <c r="M364" i="20" s="1"/>
  <c r="K367" i="12"/>
  <c r="M365" i="20" s="1"/>
  <c r="K368" i="12"/>
  <c r="M366" i="20" s="1"/>
  <c r="K369" i="12"/>
  <c r="M367" i="20" s="1"/>
  <c r="K370" i="12"/>
  <c r="M368" i="20" s="1"/>
  <c r="K371" i="12"/>
  <c r="M369" i="20" s="1"/>
  <c r="K372" i="12"/>
  <c r="M370" i="20" s="1"/>
  <c r="K373" i="12"/>
  <c r="M371" i="20" s="1"/>
  <c r="K374" i="12"/>
  <c r="M372" i="20" s="1"/>
  <c r="K375" i="12"/>
  <c r="M373" i="20" s="1"/>
  <c r="K376" i="12"/>
  <c r="M374" i="20" s="1"/>
  <c r="K377" i="12"/>
  <c r="M375" i="20" s="1"/>
  <c r="K378" i="12"/>
  <c r="M376" i="20" s="1"/>
  <c r="K379" i="12"/>
  <c r="M377" i="20" s="1"/>
  <c r="K380" i="12"/>
  <c r="M378" i="20" s="1"/>
  <c r="K381" i="12"/>
  <c r="M379" i="20" s="1"/>
  <c r="K382" i="12"/>
  <c r="M380" i="20" s="1"/>
  <c r="K383" i="12"/>
  <c r="M381" i="20" s="1"/>
  <c r="K384" i="12"/>
  <c r="M382" i="20" s="1"/>
  <c r="K385" i="12"/>
  <c r="M383" i="20" s="1"/>
  <c r="K386" i="12"/>
  <c r="M384" i="20" s="1"/>
  <c r="K387" i="12"/>
  <c r="M385" i="20" s="1"/>
  <c r="K388" i="12"/>
  <c r="M386" i="20" s="1"/>
  <c r="K389" i="12"/>
  <c r="M387" i="20" s="1"/>
  <c r="K390" i="12"/>
  <c r="M388" i="20" s="1"/>
  <c r="K391" i="12"/>
  <c r="M389" i="20" s="1"/>
  <c r="K392" i="12"/>
  <c r="M390" i="20" s="1"/>
  <c r="K393" i="12"/>
  <c r="M391" i="20" s="1"/>
  <c r="K394" i="12"/>
  <c r="M392" i="20" s="1"/>
  <c r="K395" i="12"/>
  <c r="M393" i="20" s="1"/>
  <c r="K396" i="12"/>
  <c r="M394" i="20" s="1"/>
  <c r="K397" i="12"/>
  <c r="M395" i="20" s="1"/>
  <c r="K398" i="12"/>
  <c r="M396" i="20" s="1"/>
  <c r="K399" i="12"/>
  <c r="M397" i="20" s="1"/>
  <c r="K400" i="12"/>
  <c r="M398" i="20" s="1"/>
  <c r="K401" i="12"/>
  <c r="M399" i="20" s="1"/>
  <c r="K402" i="12"/>
  <c r="M400" i="20" s="1"/>
  <c r="K403" i="12"/>
  <c r="M401" i="20" s="1"/>
  <c r="K404" i="12"/>
  <c r="M402" i="20" s="1"/>
  <c r="K405" i="12"/>
  <c r="M403" i="20" s="1"/>
  <c r="K406" i="12"/>
  <c r="M404" i="20" s="1"/>
  <c r="K407" i="12"/>
  <c r="M405" i="20" s="1"/>
  <c r="K408" i="12"/>
  <c r="M406" i="20" s="1"/>
  <c r="K409" i="12"/>
  <c r="M407" i="20" s="1"/>
  <c r="K410" i="12"/>
  <c r="M408" i="20" s="1"/>
  <c r="K411" i="12"/>
  <c r="M409" i="20" s="1"/>
  <c r="K412" i="12"/>
  <c r="M410" i="20" s="1"/>
  <c r="K413" i="12"/>
  <c r="M411" i="20" s="1"/>
  <c r="K414" i="12"/>
  <c r="M412" i="20" s="1"/>
  <c r="K415" i="12"/>
  <c r="M413" i="20" s="1"/>
  <c r="K416" i="12"/>
  <c r="M414" i="20" s="1"/>
  <c r="K417" i="12"/>
  <c r="M415" i="20" s="1"/>
  <c r="K418" i="12"/>
  <c r="M416" i="20" s="1"/>
  <c r="K419" i="12"/>
  <c r="M417" i="20" s="1"/>
  <c r="K420" i="12"/>
  <c r="M418" i="20" s="1"/>
  <c r="K421" i="12"/>
  <c r="M419" i="20" s="1"/>
  <c r="K422" i="12"/>
  <c r="M420" i="20" s="1"/>
  <c r="K423" i="12"/>
  <c r="M421" i="20" s="1"/>
  <c r="K424" i="12"/>
  <c r="M422" i="20" s="1"/>
  <c r="K425" i="12"/>
  <c r="M423" i="20" s="1"/>
  <c r="K426" i="12"/>
  <c r="M424" i="20" s="1"/>
  <c r="K427" i="12"/>
  <c r="M425" i="20" s="1"/>
  <c r="K428" i="12"/>
  <c r="M426" i="20" s="1"/>
  <c r="K429" i="12"/>
  <c r="M427" i="20" s="1"/>
  <c r="K430" i="12"/>
  <c r="M428" i="20" s="1"/>
  <c r="K431" i="12"/>
  <c r="M429" i="20" s="1"/>
  <c r="K432" i="12"/>
  <c r="M430" i="20" s="1"/>
  <c r="K433" i="12"/>
  <c r="M431" i="20" s="1"/>
  <c r="K434" i="12"/>
  <c r="M432" i="20" s="1"/>
  <c r="K435" i="12"/>
  <c r="M433" i="20" s="1"/>
  <c r="K436" i="12"/>
  <c r="M434" i="20" s="1"/>
  <c r="K437" i="12"/>
  <c r="M435" i="20" s="1"/>
  <c r="K438" i="12"/>
  <c r="M436" i="20" s="1"/>
  <c r="K439" i="12"/>
  <c r="M437" i="20" s="1"/>
  <c r="K440" i="12"/>
  <c r="M438" i="20" s="1"/>
  <c r="K441" i="12"/>
  <c r="M439" i="20" s="1"/>
  <c r="K442" i="12"/>
  <c r="M440" i="20" s="1"/>
  <c r="K443" i="12"/>
  <c r="M441" i="20" s="1"/>
  <c r="K444" i="12"/>
  <c r="M442" i="20" s="1"/>
  <c r="K445" i="12"/>
  <c r="M443" i="20" s="1"/>
  <c r="K446" i="12"/>
  <c r="M444" i="20" s="1"/>
  <c r="K447" i="12"/>
  <c r="M445" i="20" s="1"/>
  <c r="K448" i="12"/>
  <c r="M446" i="20" s="1"/>
  <c r="K449" i="12"/>
  <c r="M447" i="20" s="1"/>
  <c r="K450" i="12"/>
  <c r="M448" i="20" s="1"/>
  <c r="K451" i="12"/>
  <c r="M449" i="20" s="1"/>
  <c r="K452" i="12"/>
  <c r="M450" i="20" s="1"/>
  <c r="K453" i="12"/>
  <c r="M451" i="20" s="1"/>
  <c r="K454" i="12"/>
  <c r="M452" i="20" s="1"/>
  <c r="K455" i="12"/>
  <c r="M453" i="20" s="1"/>
  <c r="K456" i="12"/>
  <c r="M454" i="20" s="1"/>
  <c r="K457" i="12"/>
  <c r="M455" i="20" s="1"/>
  <c r="K458" i="12"/>
  <c r="M456" i="20" s="1"/>
  <c r="K459" i="12"/>
  <c r="M457" i="20" s="1"/>
  <c r="K460" i="12"/>
  <c r="M458" i="20" s="1"/>
  <c r="K461" i="12"/>
  <c r="M459" i="20" s="1"/>
  <c r="K462" i="12"/>
  <c r="M460" i="20" s="1"/>
  <c r="K463" i="12"/>
  <c r="M461" i="20" s="1"/>
  <c r="K464" i="12"/>
  <c r="M462" i="20" s="1"/>
  <c r="K465" i="12"/>
  <c r="M463" i="20" s="1"/>
  <c r="K466" i="12"/>
  <c r="M464" i="20" s="1"/>
  <c r="K467" i="12"/>
  <c r="M465" i="20" s="1"/>
  <c r="K468" i="12"/>
  <c r="M466" i="20" s="1"/>
  <c r="K469" i="12"/>
  <c r="M467" i="20" s="1"/>
  <c r="K470" i="12"/>
  <c r="M468" i="20" s="1"/>
  <c r="K471" i="12"/>
  <c r="M469" i="20" s="1"/>
  <c r="K472" i="12"/>
  <c r="M470" i="20" s="1"/>
  <c r="K473" i="12"/>
  <c r="M471" i="20" s="1"/>
  <c r="K474" i="12"/>
  <c r="M472" i="20" s="1"/>
  <c r="K475" i="12"/>
  <c r="M473" i="20" s="1"/>
  <c r="K476" i="12"/>
  <c r="M474" i="20" s="1"/>
  <c r="K477" i="12"/>
  <c r="M475" i="20" s="1"/>
  <c r="K478" i="12"/>
  <c r="M476" i="20" s="1"/>
  <c r="K479" i="12"/>
  <c r="M477" i="20" s="1"/>
  <c r="K480" i="12"/>
  <c r="M478" i="20" s="1"/>
  <c r="K481" i="12"/>
  <c r="M479" i="20" s="1"/>
  <c r="K482" i="12"/>
  <c r="M480" i="20" s="1"/>
  <c r="K483" i="12"/>
  <c r="M481" i="20" s="1"/>
  <c r="K484" i="12"/>
  <c r="M482" i="20" s="1"/>
  <c r="K485" i="12"/>
  <c r="M483" i="20" s="1"/>
  <c r="K486" i="12"/>
  <c r="M484" i="20" s="1"/>
  <c r="K487" i="12"/>
  <c r="M485" i="20" s="1"/>
  <c r="K488" i="12"/>
  <c r="M486" i="20" s="1"/>
  <c r="K489" i="12"/>
  <c r="M487" i="20" s="1"/>
  <c r="K490" i="12"/>
  <c r="M488" i="20" s="1"/>
  <c r="K491" i="12"/>
  <c r="M489" i="20" s="1"/>
  <c r="K492" i="12"/>
  <c r="M490" i="20" s="1"/>
  <c r="K493" i="12"/>
  <c r="M491" i="20" s="1"/>
  <c r="K494" i="12"/>
  <c r="M492" i="20" s="1"/>
  <c r="K495" i="12"/>
  <c r="M493" i="20" s="1"/>
  <c r="K496" i="12"/>
  <c r="M494" i="20" s="1"/>
  <c r="K497" i="12"/>
  <c r="M495" i="20" s="1"/>
  <c r="K498" i="12"/>
  <c r="M496" i="20" s="1"/>
  <c r="K499" i="12"/>
  <c r="M497" i="20" s="1"/>
  <c r="K500" i="12"/>
  <c r="M498" i="20" s="1"/>
  <c r="K501" i="12"/>
  <c r="M499" i="20" s="1"/>
  <c r="K502" i="12"/>
  <c r="M500" i="20" s="1"/>
  <c r="K503" i="12"/>
  <c r="M501" i="20" s="1"/>
  <c r="K504" i="12"/>
  <c r="M502" i="20" s="1"/>
  <c r="K505" i="12"/>
  <c r="M503" i="20" s="1"/>
  <c r="K506" i="12"/>
  <c r="M504" i="20" s="1"/>
  <c r="K507" i="12"/>
  <c r="M505" i="20" s="1"/>
  <c r="K508" i="12"/>
  <c r="M506" i="20" s="1"/>
  <c r="K509" i="12"/>
  <c r="M507" i="20" s="1"/>
  <c r="K510" i="12"/>
  <c r="M508" i="20" s="1"/>
  <c r="K511" i="12"/>
  <c r="M509" i="20" s="1"/>
  <c r="K512" i="12"/>
  <c r="M510" i="20" s="1"/>
  <c r="K513" i="12"/>
  <c r="M511" i="20" s="1"/>
  <c r="K514" i="12"/>
  <c r="M512" i="20" s="1"/>
  <c r="K515" i="12"/>
  <c r="M513" i="20" s="1"/>
  <c r="K516" i="12"/>
  <c r="M514" i="20" s="1"/>
  <c r="K517" i="12"/>
  <c r="M515" i="20" s="1"/>
  <c r="K518" i="12"/>
  <c r="M516" i="20" s="1"/>
  <c r="K519" i="12"/>
  <c r="M517" i="20" s="1"/>
  <c r="K520" i="12"/>
  <c r="M518" i="20" s="1"/>
  <c r="K521" i="12"/>
  <c r="M519" i="20" s="1"/>
  <c r="K522" i="12"/>
  <c r="M520" i="20" s="1"/>
  <c r="K523" i="12"/>
  <c r="M521" i="20" s="1"/>
  <c r="K524" i="12"/>
  <c r="M522" i="20" s="1"/>
  <c r="K525" i="12"/>
  <c r="M523" i="20" s="1"/>
  <c r="K526" i="12"/>
  <c r="M524" i="20" s="1"/>
  <c r="K527" i="12"/>
  <c r="M525" i="20" s="1"/>
  <c r="K528" i="12"/>
  <c r="M526" i="20" s="1"/>
  <c r="K529" i="12"/>
  <c r="M527" i="20" s="1"/>
  <c r="K530" i="12"/>
  <c r="M528" i="20" s="1"/>
  <c r="K531" i="12"/>
  <c r="M529" i="20" s="1"/>
  <c r="K532" i="12"/>
  <c r="M530" i="20" s="1"/>
  <c r="K533" i="12"/>
  <c r="M531" i="20" s="1"/>
  <c r="K534" i="12"/>
  <c r="M532" i="20" s="1"/>
  <c r="K535" i="12"/>
  <c r="M533" i="20" s="1"/>
  <c r="K536" i="12"/>
  <c r="M534" i="20" s="1"/>
  <c r="K537" i="12"/>
  <c r="M535" i="20" s="1"/>
  <c r="K538" i="12"/>
  <c r="M536" i="20" s="1"/>
  <c r="K539" i="12"/>
  <c r="M537" i="20" s="1"/>
  <c r="K540" i="12"/>
  <c r="M538" i="20" s="1"/>
  <c r="K541" i="12"/>
  <c r="M539" i="20" s="1"/>
  <c r="K542" i="12"/>
  <c r="M540" i="20" s="1"/>
  <c r="K543" i="12"/>
  <c r="M541" i="20" s="1"/>
  <c r="K544" i="12"/>
  <c r="M542" i="20" s="1"/>
  <c r="K545" i="12"/>
  <c r="M543" i="20" s="1"/>
  <c r="K546" i="12"/>
  <c r="M544" i="20" s="1"/>
  <c r="K547" i="12"/>
  <c r="M545" i="20" s="1"/>
  <c r="K548" i="12"/>
  <c r="M546" i="20" s="1"/>
  <c r="K549" i="12"/>
  <c r="M547" i="20" s="1"/>
  <c r="K550" i="12"/>
  <c r="M548" i="20" s="1"/>
  <c r="K551" i="12"/>
  <c r="M549" i="20" s="1"/>
  <c r="K552" i="12"/>
  <c r="M550" i="20" s="1"/>
  <c r="K553" i="12"/>
  <c r="M551" i="20" s="1"/>
  <c r="K554" i="12"/>
  <c r="M552" i="20" s="1"/>
  <c r="K555" i="12"/>
  <c r="M553" i="20" s="1"/>
  <c r="K556" i="12"/>
  <c r="M554" i="20" s="1"/>
  <c r="K557" i="12"/>
  <c r="M555" i="20" s="1"/>
  <c r="K558" i="12"/>
  <c r="M556" i="20" s="1"/>
  <c r="K559" i="12"/>
  <c r="M557" i="20" s="1"/>
  <c r="K560" i="12"/>
  <c r="M558" i="20" s="1"/>
  <c r="K561" i="12"/>
  <c r="M559" i="20" s="1"/>
  <c r="K562" i="12"/>
  <c r="M560" i="20" s="1"/>
  <c r="K563" i="12"/>
  <c r="M561" i="20" s="1"/>
  <c r="K564" i="12"/>
  <c r="M562" i="20" s="1"/>
  <c r="K565" i="12"/>
  <c r="M563" i="20" s="1"/>
  <c r="K566" i="12"/>
  <c r="M564" i="20" s="1"/>
  <c r="K567" i="12"/>
  <c r="M565" i="20" s="1"/>
  <c r="K568" i="12"/>
  <c r="M566" i="20" s="1"/>
  <c r="K569" i="12"/>
  <c r="M567" i="20" s="1"/>
  <c r="K570" i="12"/>
  <c r="M568" i="20" s="1"/>
  <c r="K571" i="12"/>
  <c r="M569" i="20" s="1"/>
  <c r="K572" i="12"/>
  <c r="M570" i="20" s="1"/>
  <c r="K573" i="12"/>
  <c r="M571" i="20" s="1"/>
  <c r="K574" i="12"/>
  <c r="M572" i="20" s="1"/>
  <c r="K575" i="12"/>
  <c r="M573" i="20" s="1"/>
  <c r="K576" i="12"/>
  <c r="M574" i="20" s="1"/>
  <c r="K577" i="12"/>
  <c r="M575" i="20" s="1"/>
  <c r="K578" i="12"/>
  <c r="M576" i="20" s="1"/>
  <c r="K579" i="12"/>
  <c r="M577" i="20" s="1"/>
  <c r="K580" i="12"/>
  <c r="M578" i="20" s="1"/>
  <c r="K581" i="12"/>
  <c r="M579" i="20" s="1"/>
  <c r="K582" i="12"/>
  <c r="M580" i="20" s="1"/>
  <c r="K583" i="12"/>
  <c r="M581" i="20" s="1"/>
  <c r="K584" i="12"/>
  <c r="M582" i="20" s="1"/>
  <c r="K585" i="12"/>
  <c r="M583" i="20" s="1"/>
  <c r="K586" i="12"/>
  <c r="M584" i="20" s="1"/>
  <c r="K587" i="12"/>
  <c r="M585" i="20" s="1"/>
  <c r="K588" i="12"/>
  <c r="M586" i="20" s="1"/>
  <c r="K589" i="12"/>
  <c r="M587" i="20" s="1"/>
  <c r="K590" i="12"/>
  <c r="M588" i="20" s="1"/>
  <c r="K591" i="12"/>
  <c r="M589" i="20" s="1"/>
  <c r="K592" i="12"/>
  <c r="M590" i="20" s="1"/>
  <c r="K593" i="12"/>
  <c r="M591" i="20" s="1"/>
  <c r="K594" i="12"/>
  <c r="M592" i="20" s="1"/>
  <c r="K595" i="12"/>
  <c r="M593" i="20" s="1"/>
  <c r="K596" i="12"/>
  <c r="M594" i="20" s="1"/>
  <c r="K597" i="12"/>
  <c r="M595" i="20" s="1"/>
  <c r="K598" i="12"/>
  <c r="M596" i="20" s="1"/>
  <c r="K599" i="12"/>
  <c r="M597" i="20" s="1"/>
  <c r="K600" i="12"/>
  <c r="M598" i="20" s="1"/>
  <c r="K601" i="12"/>
  <c r="M599" i="20" s="1"/>
  <c r="K602" i="12"/>
  <c r="M600" i="20" s="1"/>
  <c r="K603" i="12"/>
  <c r="M601" i="20" s="1"/>
  <c r="K604" i="12"/>
  <c r="M602" i="20" s="1"/>
  <c r="K605" i="12"/>
  <c r="M603" i="20" s="1"/>
  <c r="K606" i="12"/>
  <c r="M604" i="20" s="1"/>
  <c r="K607" i="12"/>
  <c r="M605" i="20" s="1"/>
  <c r="K608" i="12"/>
  <c r="M606" i="20" s="1"/>
  <c r="K609" i="12"/>
  <c r="M607" i="20" s="1"/>
  <c r="K610" i="12"/>
  <c r="M608" i="20" s="1"/>
  <c r="K611" i="12"/>
  <c r="M609" i="20" s="1"/>
  <c r="K612" i="12"/>
  <c r="M610" i="20" s="1"/>
  <c r="K613" i="12"/>
  <c r="M611" i="20" s="1"/>
  <c r="K614" i="12"/>
  <c r="M612" i="20" s="1"/>
  <c r="K615" i="12"/>
  <c r="M613" i="20" s="1"/>
  <c r="K616" i="12"/>
  <c r="M614" i="20" s="1"/>
  <c r="K617" i="12"/>
  <c r="M615" i="20" s="1"/>
  <c r="K618" i="12"/>
  <c r="M616" i="20" s="1"/>
  <c r="K619" i="12"/>
  <c r="M617" i="20" s="1"/>
  <c r="K620" i="12"/>
  <c r="M618" i="20" s="1"/>
  <c r="K621" i="12"/>
  <c r="M619" i="20" s="1"/>
  <c r="K622" i="12"/>
  <c r="M620" i="20" s="1"/>
  <c r="K623" i="12"/>
  <c r="M621" i="20" s="1"/>
  <c r="K624" i="12"/>
  <c r="M622" i="20" s="1"/>
  <c r="K625" i="12"/>
  <c r="M623" i="20" s="1"/>
  <c r="K626" i="12"/>
  <c r="M624" i="20" s="1"/>
  <c r="K627" i="12"/>
  <c r="M625" i="20" s="1"/>
  <c r="K628" i="12"/>
  <c r="M626" i="20" s="1"/>
  <c r="K629" i="12"/>
  <c r="M627" i="20" s="1"/>
  <c r="K630" i="12"/>
  <c r="M628" i="20" s="1"/>
  <c r="K631" i="12"/>
  <c r="M629" i="20" s="1"/>
  <c r="K632" i="12"/>
  <c r="M630" i="20" s="1"/>
  <c r="K633" i="12"/>
  <c r="M631" i="20" s="1"/>
  <c r="K634" i="12"/>
  <c r="M632" i="20" s="1"/>
  <c r="K635" i="12"/>
  <c r="M633" i="20" s="1"/>
  <c r="K636" i="12"/>
  <c r="M634" i="20" s="1"/>
  <c r="K637" i="12"/>
  <c r="M635" i="20" s="1"/>
  <c r="K3" i="12"/>
  <c r="J4"/>
  <c r="J5"/>
  <c r="L3" i="20" s="1"/>
  <c r="J6" i="12"/>
  <c r="L4" i="20" s="1"/>
  <c r="J7" i="12"/>
  <c r="L5" i="20" s="1"/>
  <c r="J8" i="12"/>
  <c r="L6" i="20" s="1"/>
  <c r="J9" i="12"/>
  <c r="L7" i="20" s="1"/>
  <c r="J10" i="12"/>
  <c r="L8" i="20" s="1"/>
  <c r="J11" i="12"/>
  <c r="L9" i="20" s="1"/>
  <c r="J12" i="12"/>
  <c r="J13"/>
  <c r="L11" i="20" s="1"/>
  <c r="J14" i="12"/>
  <c r="L12" i="20" s="1"/>
  <c r="J15" i="12"/>
  <c r="L13" i="20" s="1"/>
  <c r="J16" i="12"/>
  <c r="L14" i="20" s="1"/>
  <c r="J17" i="12"/>
  <c r="L15" i="20" s="1"/>
  <c r="J18" i="12"/>
  <c r="L16" i="20" s="1"/>
  <c r="J19" i="12"/>
  <c r="L17" i="20" s="1"/>
  <c r="J20" i="12"/>
  <c r="L18" i="20" s="1"/>
  <c r="J21" i="12"/>
  <c r="L19" i="20" s="1"/>
  <c r="J22" i="12"/>
  <c r="L20" i="20" s="1"/>
  <c r="J23" i="12"/>
  <c r="L21" i="20" s="1"/>
  <c r="J24" i="12"/>
  <c r="J25"/>
  <c r="L23" i="20" s="1"/>
  <c r="J26" i="12"/>
  <c r="L24" i="20" s="1"/>
  <c r="J27" i="12"/>
  <c r="L25" i="20" s="1"/>
  <c r="J28" i="12"/>
  <c r="L26" i="20" s="1"/>
  <c r="J29" i="12"/>
  <c r="L27" i="20" s="1"/>
  <c r="J30" i="12"/>
  <c r="L28" i="20" s="1"/>
  <c r="J31" i="12"/>
  <c r="L29" i="20" s="1"/>
  <c r="J32" i="12"/>
  <c r="L30" i="20" s="1"/>
  <c r="J33" i="12"/>
  <c r="L31" i="20" s="1"/>
  <c r="J34" i="12"/>
  <c r="L32" i="20" s="1"/>
  <c r="J35" i="12"/>
  <c r="L33" i="20" s="1"/>
  <c r="J36" i="12"/>
  <c r="J37"/>
  <c r="L35" i="20" s="1"/>
  <c r="J38" i="12"/>
  <c r="L36" i="20" s="1"/>
  <c r="J39" i="12"/>
  <c r="L37" i="20" s="1"/>
  <c r="J40" i="12"/>
  <c r="L38" i="20" s="1"/>
  <c r="J41" i="12"/>
  <c r="L39" i="20" s="1"/>
  <c r="J42" i="12"/>
  <c r="L40" i="20" s="1"/>
  <c r="J43" i="12"/>
  <c r="L41" i="20" s="1"/>
  <c r="J44" i="12"/>
  <c r="L42" i="20" s="1"/>
  <c r="J45" i="12"/>
  <c r="L43" i="20" s="1"/>
  <c r="J46" i="12"/>
  <c r="L44" i="20" s="1"/>
  <c r="J47" i="12"/>
  <c r="L45" i="20" s="1"/>
  <c r="J48" i="12"/>
  <c r="J49"/>
  <c r="L47" i="20" s="1"/>
  <c r="J50" i="12"/>
  <c r="L48" i="20" s="1"/>
  <c r="J51" i="12"/>
  <c r="L49" i="20" s="1"/>
  <c r="J52" i="12"/>
  <c r="L50" i="20" s="1"/>
  <c r="J53" i="12"/>
  <c r="L51" i="20" s="1"/>
  <c r="J54" i="12"/>
  <c r="L52" i="20" s="1"/>
  <c r="J55" i="12"/>
  <c r="L53" i="20" s="1"/>
  <c r="J56" i="12"/>
  <c r="L54" i="20" s="1"/>
  <c r="J57" i="12"/>
  <c r="L55" i="20" s="1"/>
  <c r="J58" i="12"/>
  <c r="L56" i="20" s="1"/>
  <c r="J59" i="12"/>
  <c r="L57" i="20" s="1"/>
  <c r="J60" i="12"/>
  <c r="J61"/>
  <c r="L59" i="20" s="1"/>
  <c r="J62" i="12"/>
  <c r="L60" i="20" s="1"/>
  <c r="J63" i="12"/>
  <c r="L61" i="20" s="1"/>
  <c r="J64" i="12"/>
  <c r="L62" i="20" s="1"/>
  <c r="J65" i="12"/>
  <c r="L63" i="20" s="1"/>
  <c r="J66" i="12"/>
  <c r="L64" i="20" s="1"/>
  <c r="J67" i="12"/>
  <c r="L65" i="20" s="1"/>
  <c r="J68" i="12"/>
  <c r="L66" i="20" s="1"/>
  <c r="J69" i="12"/>
  <c r="L67" i="20" s="1"/>
  <c r="J70" i="12"/>
  <c r="L68" i="20" s="1"/>
  <c r="J71" i="12"/>
  <c r="L69" i="20" s="1"/>
  <c r="J72" i="12"/>
  <c r="J73"/>
  <c r="L71" i="20" s="1"/>
  <c r="J74" i="12"/>
  <c r="L72" i="20" s="1"/>
  <c r="J75" i="12"/>
  <c r="L73" i="20" s="1"/>
  <c r="J76" i="12"/>
  <c r="L74" i="20" s="1"/>
  <c r="J77" i="12"/>
  <c r="L75" i="20" s="1"/>
  <c r="J78" i="12"/>
  <c r="L76" i="20" s="1"/>
  <c r="J79" i="12"/>
  <c r="L77" i="20" s="1"/>
  <c r="J80" i="12"/>
  <c r="L78" i="20" s="1"/>
  <c r="J81" i="12"/>
  <c r="L79" i="20" s="1"/>
  <c r="J82" i="12"/>
  <c r="L80" i="20" s="1"/>
  <c r="J83" i="12"/>
  <c r="L81" i="20" s="1"/>
  <c r="J84" i="12"/>
  <c r="J85"/>
  <c r="L83" i="20" s="1"/>
  <c r="J86" i="12"/>
  <c r="L84" i="20" s="1"/>
  <c r="J87" i="12"/>
  <c r="L85" i="20" s="1"/>
  <c r="J88" i="12"/>
  <c r="L86" i="20" s="1"/>
  <c r="J89" i="12"/>
  <c r="L87" i="20" s="1"/>
  <c r="J90" i="12"/>
  <c r="L88" i="20" s="1"/>
  <c r="J91" i="12"/>
  <c r="L89" i="20" s="1"/>
  <c r="J92" i="12"/>
  <c r="L90" i="20" s="1"/>
  <c r="J93" i="12"/>
  <c r="L91" i="20" s="1"/>
  <c r="J94" i="12"/>
  <c r="L92" i="20" s="1"/>
  <c r="J95" i="12"/>
  <c r="L93" i="20" s="1"/>
  <c r="J96" i="12"/>
  <c r="J97"/>
  <c r="L95" i="20" s="1"/>
  <c r="J98" i="12"/>
  <c r="L96" i="20" s="1"/>
  <c r="J99" i="12"/>
  <c r="L97" i="20" s="1"/>
  <c r="J100" i="12"/>
  <c r="L98" i="20" s="1"/>
  <c r="J101" i="12"/>
  <c r="L99" i="20" s="1"/>
  <c r="J102" i="12"/>
  <c r="L100" i="20" s="1"/>
  <c r="J103" i="12"/>
  <c r="L101" i="20" s="1"/>
  <c r="J104" i="12"/>
  <c r="L102" i="20" s="1"/>
  <c r="J105" i="12"/>
  <c r="L103" i="20" s="1"/>
  <c r="J106" i="12"/>
  <c r="L104" i="20" s="1"/>
  <c r="J107" i="12"/>
  <c r="L105" i="20" s="1"/>
  <c r="J108" i="12"/>
  <c r="J109"/>
  <c r="L107" i="20" s="1"/>
  <c r="J110" i="12"/>
  <c r="L108" i="20" s="1"/>
  <c r="J111" i="12"/>
  <c r="L109" i="20" s="1"/>
  <c r="J112" i="12"/>
  <c r="L110" i="20" s="1"/>
  <c r="J113" i="12"/>
  <c r="L111" i="20" s="1"/>
  <c r="J114" i="12"/>
  <c r="L112" i="20" s="1"/>
  <c r="J115" i="12"/>
  <c r="L113" i="20" s="1"/>
  <c r="J116" i="12"/>
  <c r="L114" i="20" s="1"/>
  <c r="J117" i="12"/>
  <c r="L115" i="20" s="1"/>
  <c r="J118" i="12"/>
  <c r="L116" i="20" s="1"/>
  <c r="J119" i="12"/>
  <c r="L117" i="20" s="1"/>
  <c r="J120" i="12"/>
  <c r="J121"/>
  <c r="L119" i="20" s="1"/>
  <c r="J122" i="12"/>
  <c r="L120" i="20" s="1"/>
  <c r="J123" i="12"/>
  <c r="L121" i="20" s="1"/>
  <c r="J124" i="12"/>
  <c r="L122" i="20" s="1"/>
  <c r="J125" i="12"/>
  <c r="L123" i="20" s="1"/>
  <c r="J126" i="12"/>
  <c r="L124" i="20" s="1"/>
  <c r="J127" i="12"/>
  <c r="L125" i="20" s="1"/>
  <c r="J128" i="12"/>
  <c r="L126" i="20" s="1"/>
  <c r="J129" i="12"/>
  <c r="L127" i="20" s="1"/>
  <c r="J130" i="12"/>
  <c r="L128" i="20" s="1"/>
  <c r="J131" i="12"/>
  <c r="L129" i="20" s="1"/>
  <c r="J132" i="12"/>
  <c r="J133"/>
  <c r="L131" i="20" s="1"/>
  <c r="J134" i="12"/>
  <c r="L132" i="20" s="1"/>
  <c r="J135" i="12"/>
  <c r="L133" i="20" s="1"/>
  <c r="J136" i="12"/>
  <c r="L134" i="20" s="1"/>
  <c r="J137" i="12"/>
  <c r="L135" i="20" s="1"/>
  <c r="J138" i="12"/>
  <c r="L136" i="20" s="1"/>
  <c r="J139" i="12"/>
  <c r="L137" i="20" s="1"/>
  <c r="J140" i="12"/>
  <c r="L138" i="20" s="1"/>
  <c r="J141" i="12"/>
  <c r="L139" i="20" s="1"/>
  <c r="J142" i="12"/>
  <c r="L140" i="20" s="1"/>
  <c r="J143" i="12"/>
  <c r="L141" i="20" s="1"/>
  <c r="J144" i="12"/>
  <c r="J145"/>
  <c r="L143" i="20" s="1"/>
  <c r="J146" i="12"/>
  <c r="L144" i="20" s="1"/>
  <c r="J147" i="12"/>
  <c r="L145" i="20" s="1"/>
  <c r="J148" i="12"/>
  <c r="L146" i="20" s="1"/>
  <c r="J149" i="12"/>
  <c r="L147" i="20" s="1"/>
  <c r="J150" i="12"/>
  <c r="L148" i="20" s="1"/>
  <c r="J151" i="12"/>
  <c r="L149" i="20" s="1"/>
  <c r="J152" i="12"/>
  <c r="L150" i="20" s="1"/>
  <c r="J153" i="12"/>
  <c r="L151" i="20" s="1"/>
  <c r="J154" i="12"/>
  <c r="L152" i="20" s="1"/>
  <c r="J155" i="12"/>
  <c r="L153" i="20" s="1"/>
  <c r="J156" i="12"/>
  <c r="J157"/>
  <c r="L155" i="20" s="1"/>
  <c r="J158" i="12"/>
  <c r="L156" i="20" s="1"/>
  <c r="J159" i="12"/>
  <c r="L157" i="20" s="1"/>
  <c r="J160" i="12"/>
  <c r="L158" i="20" s="1"/>
  <c r="J161" i="12"/>
  <c r="L159" i="20" s="1"/>
  <c r="J162" i="12"/>
  <c r="L160" i="20" s="1"/>
  <c r="J163" i="12"/>
  <c r="L161" i="20" s="1"/>
  <c r="J164" i="12"/>
  <c r="L162" i="20" s="1"/>
  <c r="J165" i="12"/>
  <c r="L163" i="20" s="1"/>
  <c r="J166" i="12"/>
  <c r="L164" i="20" s="1"/>
  <c r="J167" i="12"/>
  <c r="L165" i="20" s="1"/>
  <c r="J168" i="12"/>
  <c r="J169"/>
  <c r="L167" i="20" s="1"/>
  <c r="J170" i="12"/>
  <c r="L168" i="20" s="1"/>
  <c r="J171" i="12"/>
  <c r="L169" i="20" s="1"/>
  <c r="J172" i="12"/>
  <c r="L170" i="20" s="1"/>
  <c r="J173" i="12"/>
  <c r="L171" i="20" s="1"/>
  <c r="J174" i="12"/>
  <c r="L172" i="20" s="1"/>
  <c r="J175" i="12"/>
  <c r="L173" i="20" s="1"/>
  <c r="J176" i="12"/>
  <c r="L174" i="20" s="1"/>
  <c r="J177" i="12"/>
  <c r="L175" i="20" s="1"/>
  <c r="J178" i="12"/>
  <c r="L176" i="20" s="1"/>
  <c r="J179" i="12"/>
  <c r="L177" i="20" s="1"/>
  <c r="J180" i="12"/>
  <c r="J181"/>
  <c r="L179" i="20" s="1"/>
  <c r="J182" i="12"/>
  <c r="L180" i="20" s="1"/>
  <c r="J183" i="12"/>
  <c r="L181" i="20" s="1"/>
  <c r="J184" i="12"/>
  <c r="L182" i="20" s="1"/>
  <c r="J185" i="12"/>
  <c r="L183" i="20" s="1"/>
  <c r="J186" i="12"/>
  <c r="L184" i="20" s="1"/>
  <c r="J187" i="12"/>
  <c r="L185" i="20" s="1"/>
  <c r="J188" i="12"/>
  <c r="L186" i="20" s="1"/>
  <c r="J189" i="12"/>
  <c r="L187" i="20" s="1"/>
  <c r="J190" i="12"/>
  <c r="L188" i="20" s="1"/>
  <c r="J191" i="12"/>
  <c r="L189" i="20" s="1"/>
  <c r="J192" i="12"/>
  <c r="J193"/>
  <c r="L191" i="20" s="1"/>
  <c r="J194" i="12"/>
  <c r="L192" i="20" s="1"/>
  <c r="J195" i="12"/>
  <c r="L193" i="20" s="1"/>
  <c r="J196" i="12"/>
  <c r="L194" i="20" s="1"/>
  <c r="J197" i="12"/>
  <c r="L195" i="20" s="1"/>
  <c r="J198" i="12"/>
  <c r="L196" i="20" s="1"/>
  <c r="J199" i="12"/>
  <c r="L197" i="20" s="1"/>
  <c r="J200" i="12"/>
  <c r="L198" i="20" s="1"/>
  <c r="J201" i="12"/>
  <c r="L199" i="20" s="1"/>
  <c r="J202" i="12"/>
  <c r="L200" i="20" s="1"/>
  <c r="J203" i="12"/>
  <c r="L201" i="20" s="1"/>
  <c r="J204" i="12"/>
  <c r="J205"/>
  <c r="L203" i="20" s="1"/>
  <c r="J206" i="12"/>
  <c r="L204" i="20" s="1"/>
  <c r="J207" i="12"/>
  <c r="L205" i="20" s="1"/>
  <c r="J208" i="12"/>
  <c r="L206" i="20" s="1"/>
  <c r="J209" i="12"/>
  <c r="L207" i="20" s="1"/>
  <c r="J210" i="12"/>
  <c r="L208" i="20" s="1"/>
  <c r="J211" i="12"/>
  <c r="L209" i="20" s="1"/>
  <c r="J212" i="12"/>
  <c r="L210" i="20" s="1"/>
  <c r="J213" i="12"/>
  <c r="L211" i="20" s="1"/>
  <c r="J214" i="12"/>
  <c r="L212" i="20" s="1"/>
  <c r="J215" i="12"/>
  <c r="L213" i="20" s="1"/>
  <c r="J216" i="12"/>
  <c r="J217"/>
  <c r="L215" i="20" s="1"/>
  <c r="J218" i="12"/>
  <c r="L216" i="20" s="1"/>
  <c r="J219" i="12"/>
  <c r="L217" i="20" s="1"/>
  <c r="J220" i="12"/>
  <c r="L218" i="20" s="1"/>
  <c r="J221" i="12"/>
  <c r="L219" i="20" s="1"/>
  <c r="J222" i="12"/>
  <c r="L220" i="20" s="1"/>
  <c r="J223" i="12"/>
  <c r="L221" i="20" s="1"/>
  <c r="J224" i="12"/>
  <c r="L222" i="20" s="1"/>
  <c r="J225" i="12"/>
  <c r="L223" i="20" s="1"/>
  <c r="J226" i="12"/>
  <c r="L224" i="20" s="1"/>
  <c r="J227" i="12"/>
  <c r="L225" i="20" s="1"/>
  <c r="J228" i="12"/>
  <c r="J229"/>
  <c r="L227" i="20" s="1"/>
  <c r="J230" i="12"/>
  <c r="L228" i="20" s="1"/>
  <c r="J231" i="12"/>
  <c r="L229" i="20" s="1"/>
  <c r="J232" i="12"/>
  <c r="L230" i="20" s="1"/>
  <c r="J233" i="12"/>
  <c r="L231" i="20" s="1"/>
  <c r="J234" i="12"/>
  <c r="L232" i="20" s="1"/>
  <c r="J235" i="12"/>
  <c r="L233" i="20" s="1"/>
  <c r="J236" i="12"/>
  <c r="L234" i="20" s="1"/>
  <c r="J237" i="12"/>
  <c r="L235" i="20" s="1"/>
  <c r="J238" i="12"/>
  <c r="L236" i="20" s="1"/>
  <c r="J239" i="12"/>
  <c r="L237" i="20" s="1"/>
  <c r="J240" i="12"/>
  <c r="J241"/>
  <c r="L239" i="20" s="1"/>
  <c r="J242" i="12"/>
  <c r="L240" i="20" s="1"/>
  <c r="J243" i="12"/>
  <c r="L241" i="20" s="1"/>
  <c r="J244" i="12"/>
  <c r="L242" i="20" s="1"/>
  <c r="J245" i="12"/>
  <c r="L243" i="20" s="1"/>
  <c r="J246" i="12"/>
  <c r="L244" i="20" s="1"/>
  <c r="J247" i="12"/>
  <c r="L245" i="20" s="1"/>
  <c r="J248" i="12"/>
  <c r="L246" i="20" s="1"/>
  <c r="J249" i="12"/>
  <c r="L247" i="20" s="1"/>
  <c r="J250" i="12"/>
  <c r="L248" i="20" s="1"/>
  <c r="J251" i="12"/>
  <c r="L249" i="20" s="1"/>
  <c r="J252" i="12"/>
  <c r="J253"/>
  <c r="L251" i="20" s="1"/>
  <c r="J254" i="12"/>
  <c r="L252" i="20" s="1"/>
  <c r="J255" i="12"/>
  <c r="L253" i="20" s="1"/>
  <c r="J256" i="12"/>
  <c r="L254" i="20" s="1"/>
  <c r="J257" i="12"/>
  <c r="L255" i="20" s="1"/>
  <c r="J258" i="12"/>
  <c r="L256" i="20" s="1"/>
  <c r="J259" i="12"/>
  <c r="L257" i="20" s="1"/>
  <c r="J260" i="12"/>
  <c r="L258" i="20" s="1"/>
  <c r="J261" i="12"/>
  <c r="L259" i="20" s="1"/>
  <c r="J262" i="12"/>
  <c r="L260" i="20" s="1"/>
  <c r="J263" i="12"/>
  <c r="L261" i="20" s="1"/>
  <c r="J264" i="12"/>
  <c r="J265"/>
  <c r="L263" i="20" s="1"/>
  <c r="J266" i="12"/>
  <c r="L264" i="20" s="1"/>
  <c r="J267" i="12"/>
  <c r="L265" i="20" s="1"/>
  <c r="J268" i="12"/>
  <c r="L266" i="20" s="1"/>
  <c r="J269" i="12"/>
  <c r="L267" i="20" s="1"/>
  <c r="J270" i="12"/>
  <c r="L268" i="20" s="1"/>
  <c r="J271" i="12"/>
  <c r="L269" i="20" s="1"/>
  <c r="J272" i="12"/>
  <c r="L270" i="20" s="1"/>
  <c r="J273" i="12"/>
  <c r="L271" i="20" s="1"/>
  <c r="J274" i="12"/>
  <c r="L272" i="20" s="1"/>
  <c r="J275" i="12"/>
  <c r="L273" i="20" s="1"/>
  <c r="J276" i="12"/>
  <c r="J277"/>
  <c r="L275" i="20" s="1"/>
  <c r="J278" i="12"/>
  <c r="L276" i="20" s="1"/>
  <c r="J279" i="12"/>
  <c r="L277" i="20" s="1"/>
  <c r="J280" i="12"/>
  <c r="L278" i="20" s="1"/>
  <c r="J281" i="12"/>
  <c r="L279" i="20" s="1"/>
  <c r="J282" i="12"/>
  <c r="L280" i="20" s="1"/>
  <c r="J283" i="12"/>
  <c r="L281" i="20" s="1"/>
  <c r="J284" i="12"/>
  <c r="L282" i="20" s="1"/>
  <c r="J285" i="12"/>
  <c r="L283" i="20" s="1"/>
  <c r="J286" i="12"/>
  <c r="L284" i="20" s="1"/>
  <c r="J287" i="12"/>
  <c r="L285" i="20" s="1"/>
  <c r="J288" i="12"/>
  <c r="J289"/>
  <c r="L287" i="20" s="1"/>
  <c r="J290" i="12"/>
  <c r="L288" i="20" s="1"/>
  <c r="J291" i="12"/>
  <c r="L289" i="20" s="1"/>
  <c r="J292" i="12"/>
  <c r="L290" i="20" s="1"/>
  <c r="J293" i="12"/>
  <c r="L291" i="20" s="1"/>
  <c r="J294" i="12"/>
  <c r="L292" i="20" s="1"/>
  <c r="J295" i="12"/>
  <c r="L293" i="20" s="1"/>
  <c r="J296" i="12"/>
  <c r="L294" i="20" s="1"/>
  <c r="J297" i="12"/>
  <c r="L295" i="20" s="1"/>
  <c r="J298" i="12"/>
  <c r="L296" i="20" s="1"/>
  <c r="J299" i="12"/>
  <c r="L297" i="20" s="1"/>
  <c r="J300" i="12"/>
  <c r="J301"/>
  <c r="L299" i="20" s="1"/>
  <c r="J302" i="12"/>
  <c r="L300" i="20" s="1"/>
  <c r="J303" i="12"/>
  <c r="L301" i="20" s="1"/>
  <c r="J304" i="12"/>
  <c r="L302" i="20" s="1"/>
  <c r="J305" i="12"/>
  <c r="L303" i="20" s="1"/>
  <c r="J306" i="12"/>
  <c r="L304" i="20" s="1"/>
  <c r="J307" i="12"/>
  <c r="L305" i="20" s="1"/>
  <c r="J308" i="12"/>
  <c r="L306" i="20" s="1"/>
  <c r="J309" i="12"/>
  <c r="L307" i="20" s="1"/>
  <c r="J310" i="12"/>
  <c r="L308" i="20" s="1"/>
  <c r="J311" i="12"/>
  <c r="L309" i="20" s="1"/>
  <c r="J312" i="12"/>
  <c r="J313"/>
  <c r="L311" i="20" s="1"/>
  <c r="J314" i="12"/>
  <c r="L312" i="20" s="1"/>
  <c r="J315" i="12"/>
  <c r="L313" i="20" s="1"/>
  <c r="J316" i="12"/>
  <c r="L314" i="20" s="1"/>
  <c r="J317" i="12"/>
  <c r="L315" i="20" s="1"/>
  <c r="J318" i="12"/>
  <c r="L316" i="20" s="1"/>
  <c r="J319" i="12"/>
  <c r="L317" i="20" s="1"/>
  <c r="J320" i="12"/>
  <c r="L318" i="20" s="1"/>
  <c r="J321" i="12"/>
  <c r="L319" i="20" s="1"/>
  <c r="J322" i="12"/>
  <c r="L320" i="20" s="1"/>
  <c r="J323" i="12"/>
  <c r="L321" i="20" s="1"/>
  <c r="J324" i="12"/>
  <c r="J325"/>
  <c r="L323" i="20" s="1"/>
  <c r="J326" i="12"/>
  <c r="L324" i="20" s="1"/>
  <c r="J327" i="12"/>
  <c r="L325" i="20" s="1"/>
  <c r="J328" i="12"/>
  <c r="L326" i="20" s="1"/>
  <c r="J329" i="12"/>
  <c r="L327" i="20" s="1"/>
  <c r="J330" i="12"/>
  <c r="L328" i="20" s="1"/>
  <c r="J331" i="12"/>
  <c r="L329" i="20" s="1"/>
  <c r="J332" i="12"/>
  <c r="L330" i="20" s="1"/>
  <c r="J333" i="12"/>
  <c r="L331" i="20" s="1"/>
  <c r="J334" i="12"/>
  <c r="L332" i="20" s="1"/>
  <c r="J335" i="12"/>
  <c r="L333" i="20" s="1"/>
  <c r="J336" i="12"/>
  <c r="J337"/>
  <c r="L335" i="20" s="1"/>
  <c r="J338" i="12"/>
  <c r="L336" i="20" s="1"/>
  <c r="J339" i="12"/>
  <c r="L337" i="20" s="1"/>
  <c r="J340" i="12"/>
  <c r="L338" i="20" s="1"/>
  <c r="J341" i="12"/>
  <c r="L339" i="20" s="1"/>
  <c r="J342" i="12"/>
  <c r="L340" i="20" s="1"/>
  <c r="J343" i="12"/>
  <c r="L341" i="20" s="1"/>
  <c r="J344" i="12"/>
  <c r="L342" i="20" s="1"/>
  <c r="J345" i="12"/>
  <c r="L343" i="20" s="1"/>
  <c r="J346" i="12"/>
  <c r="L344" i="20" s="1"/>
  <c r="J347" i="12"/>
  <c r="L345" i="20" s="1"/>
  <c r="J348" i="12"/>
  <c r="J349"/>
  <c r="L347" i="20" s="1"/>
  <c r="J350" i="12"/>
  <c r="L348" i="20" s="1"/>
  <c r="J351" i="12"/>
  <c r="L349" i="20" s="1"/>
  <c r="J352" i="12"/>
  <c r="L350" i="20" s="1"/>
  <c r="J353" i="12"/>
  <c r="L351" i="20" s="1"/>
  <c r="J354" i="12"/>
  <c r="L352" i="20" s="1"/>
  <c r="J355" i="12"/>
  <c r="L353" i="20" s="1"/>
  <c r="J356" i="12"/>
  <c r="L354" i="20" s="1"/>
  <c r="J357" i="12"/>
  <c r="L355" i="20" s="1"/>
  <c r="J358" i="12"/>
  <c r="L356" i="20" s="1"/>
  <c r="J359" i="12"/>
  <c r="L357" i="20" s="1"/>
  <c r="J360" i="12"/>
  <c r="J361"/>
  <c r="L359" i="20" s="1"/>
  <c r="J362" i="12"/>
  <c r="L360" i="20" s="1"/>
  <c r="J363" i="12"/>
  <c r="L361" i="20" s="1"/>
  <c r="J364" i="12"/>
  <c r="L362" i="20" s="1"/>
  <c r="J365" i="12"/>
  <c r="L363" i="20" s="1"/>
  <c r="J366" i="12"/>
  <c r="L364" i="20" s="1"/>
  <c r="J367" i="12"/>
  <c r="L365" i="20" s="1"/>
  <c r="J368" i="12"/>
  <c r="L366" i="20" s="1"/>
  <c r="J369" i="12"/>
  <c r="L367" i="20" s="1"/>
  <c r="J370" i="12"/>
  <c r="L368" i="20" s="1"/>
  <c r="J371" i="12"/>
  <c r="L369" i="20" s="1"/>
  <c r="J372" i="12"/>
  <c r="J373"/>
  <c r="L371" i="20" s="1"/>
  <c r="J374" i="12"/>
  <c r="L372" i="20" s="1"/>
  <c r="J375" i="12"/>
  <c r="L373" i="20" s="1"/>
  <c r="J376" i="12"/>
  <c r="L374" i="20" s="1"/>
  <c r="J377" i="12"/>
  <c r="L375" i="20" s="1"/>
  <c r="J378" i="12"/>
  <c r="L376" i="20" s="1"/>
  <c r="J379" i="12"/>
  <c r="L377" i="20" s="1"/>
  <c r="J380" i="12"/>
  <c r="L378" i="20" s="1"/>
  <c r="J381" i="12"/>
  <c r="L379" i="20" s="1"/>
  <c r="J382" i="12"/>
  <c r="L380" i="20" s="1"/>
  <c r="J383" i="12"/>
  <c r="L381" i="20" s="1"/>
  <c r="J384" i="12"/>
  <c r="L382" i="20" s="1"/>
  <c r="J385" i="12"/>
  <c r="L383" i="20" s="1"/>
  <c r="J386" i="12"/>
  <c r="L384" i="20" s="1"/>
  <c r="J387" i="12"/>
  <c r="L385" i="20" s="1"/>
  <c r="J388" i="12"/>
  <c r="L386" i="20" s="1"/>
  <c r="J389" i="12"/>
  <c r="L387" i="20" s="1"/>
  <c r="J390" i="12"/>
  <c r="L388" i="20" s="1"/>
  <c r="J391" i="12"/>
  <c r="L389" i="20" s="1"/>
  <c r="J392" i="12"/>
  <c r="L390" i="20" s="1"/>
  <c r="J393" i="12"/>
  <c r="L391" i="20" s="1"/>
  <c r="J394" i="12"/>
  <c r="L392" i="20" s="1"/>
  <c r="J395" i="12"/>
  <c r="L393" i="20" s="1"/>
  <c r="J396" i="12"/>
  <c r="L394" i="20" s="1"/>
  <c r="J397" i="12"/>
  <c r="L395" i="20" s="1"/>
  <c r="J398" i="12"/>
  <c r="L396" i="20" s="1"/>
  <c r="J399" i="12"/>
  <c r="L397" i="20" s="1"/>
  <c r="J400" i="12"/>
  <c r="L398" i="20" s="1"/>
  <c r="J401" i="12"/>
  <c r="L399" i="20" s="1"/>
  <c r="J402" i="12"/>
  <c r="L400" i="20" s="1"/>
  <c r="J403" i="12"/>
  <c r="L401" i="20" s="1"/>
  <c r="J404" i="12"/>
  <c r="L402" i="20" s="1"/>
  <c r="J405" i="12"/>
  <c r="L403" i="20" s="1"/>
  <c r="J406" i="12"/>
  <c r="L404" i="20" s="1"/>
  <c r="J407" i="12"/>
  <c r="L405" i="20" s="1"/>
  <c r="J408" i="12"/>
  <c r="L406" i="20" s="1"/>
  <c r="J409" i="12"/>
  <c r="L407" i="20" s="1"/>
  <c r="J410" i="12"/>
  <c r="L408" i="20" s="1"/>
  <c r="J411" i="12"/>
  <c r="L409" i="20" s="1"/>
  <c r="J412" i="12"/>
  <c r="L410" i="20" s="1"/>
  <c r="J413" i="12"/>
  <c r="L411" i="20" s="1"/>
  <c r="J414" i="12"/>
  <c r="L412" i="20" s="1"/>
  <c r="J415" i="12"/>
  <c r="L413" i="20" s="1"/>
  <c r="J416" i="12"/>
  <c r="L414" i="20" s="1"/>
  <c r="J417" i="12"/>
  <c r="L415" i="20" s="1"/>
  <c r="J418" i="12"/>
  <c r="L416" i="20" s="1"/>
  <c r="J419" i="12"/>
  <c r="L417" i="20" s="1"/>
  <c r="J420" i="12"/>
  <c r="L418" i="20" s="1"/>
  <c r="J421" i="12"/>
  <c r="L419" i="20" s="1"/>
  <c r="J422" i="12"/>
  <c r="L420" i="20" s="1"/>
  <c r="J423" i="12"/>
  <c r="L421" i="20" s="1"/>
  <c r="J424" i="12"/>
  <c r="L422" i="20" s="1"/>
  <c r="J425" i="12"/>
  <c r="L423" i="20" s="1"/>
  <c r="J426" i="12"/>
  <c r="L424" i="20" s="1"/>
  <c r="J427" i="12"/>
  <c r="L425" i="20" s="1"/>
  <c r="J428" i="12"/>
  <c r="L426" i="20" s="1"/>
  <c r="J429" i="12"/>
  <c r="L427" i="20" s="1"/>
  <c r="J430" i="12"/>
  <c r="L428" i="20" s="1"/>
  <c r="J431" i="12"/>
  <c r="L429" i="20" s="1"/>
  <c r="J432" i="12"/>
  <c r="L430" i="20" s="1"/>
  <c r="J433" i="12"/>
  <c r="L431" i="20" s="1"/>
  <c r="J434" i="12"/>
  <c r="L432" i="20" s="1"/>
  <c r="J435" i="12"/>
  <c r="L433" i="20" s="1"/>
  <c r="J436" i="12"/>
  <c r="L434" i="20" s="1"/>
  <c r="J437" i="12"/>
  <c r="L435" i="20" s="1"/>
  <c r="J438" i="12"/>
  <c r="L436" i="20" s="1"/>
  <c r="J439" i="12"/>
  <c r="L437" i="20" s="1"/>
  <c r="J440" i="12"/>
  <c r="L438" i="20" s="1"/>
  <c r="J441" i="12"/>
  <c r="L439" i="20" s="1"/>
  <c r="J442" i="12"/>
  <c r="L440" i="20" s="1"/>
  <c r="J443" i="12"/>
  <c r="L441" i="20" s="1"/>
  <c r="J444" i="12"/>
  <c r="L442" i="20" s="1"/>
  <c r="J445" i="12"/>
  <c r="L443" i="20" s="1"/>
  <c r="J446" i="12"/>
  <c r="L444" i="20" s="1"/>
  <c r="J447" i="12"/>
  <c r="L445" i="20" s="1"/>
  <c r="J448" i="12"/>
  <c r="L446" i="20" s="1"/>
  <c r="J449" i="12"/>
  <c r="L447" i="20" s="1"/>
  <c r="J450" i="12"/>
  <c r="L448" i="20" s="1"/>
  <c r="J451" i="12"/>
  <c r="L449" i="20" s="1"/>
  <c r="J452" i="12"/>
  <c r="L450" i="20" s="1"/>
  <c r="J453" i="12"/>
  <c r="L451" i="20" s="1"/>
  <c r="J454" i="12"/>
  <c r="L452" i="20" s="1"/>
  <c r="J455" i="12"/>
  <c r="L453" i="20" s="1"/>
  <c r="J456" i="12"/>
  <c r="L454" i="20" s="1"/>
  <c r="J457" i="12"/>
  <c r="L455" i="20" s="1"/>
  <c r="J458" i="12"/>
  <c r="L456" i="20" s="1"/>
  <c r="J459" i="12"/>
  <c r="L457" i="20" s="1"/>
  <c r="J460" i="12"/>
  <c r="L458" i="20" s="1"/>
  <c r="J461" i="12"/>
  <c r="L459" i="20" s="1"/>
  <c r="J462" i="12"/>
  <c r="L460" i="20" s="1"/>
  <c r="J463" i="12"/>
  <c r="L461" i="20" s="1"/>
  <c r="J464" i="12"/>
  <c r="L462" i="20" s="1"/>
  <c r="J465" i="12"/>
  <c r="L463" i="20" s="1"/>
  <c r="J466" i="12"/>
  <c r="L464" i="20" s="1"/>
  <c r="J467" i="12"/>
  <c r="L465" i="20" s="1"/>
  <c r="J468" i="12"/>
  <c r="L466" i="20" s="1"/>
  <c r="J469" i="12"/>
  <c r="L467" i="20" s="1"/>
  <c r="J470" i="12"/>
  <c r="L468" i="20" s="1"/>
  <c r="J471" i="12"/>
  <c r="L469" i="20" s="1"/>
  <c r="J472" i="12"/>
  <c r="L470" i="20" s="1"/>
  <c r="J473" i="12"/>
  <c r="L471" i="20" s="1"/>
  <c r="J474" i="12"/>
  <c r="L472" i="20" s="1"/>
  <c r="J475" i="12"/>
  <c r="L473" i="20" s="1"/>
  <c r="J476" i="12"/>
  <c r="L474" i="20" s="1"/>
  <c r="J477" i="12"/>
  <c r="L475" i="20" s="1"/>
  <c r="J478" i="12"/>
  <c r="L476" i="20" s="1"/>
  <c r="J479" i="12"/>
  <c r="L477" i="20" s="1"/>
  <c r="J480" i="12"/>
  <c r="L478" i="20" s="1"/>
  <c r="J481" i="12"/>
  <c r="L479" i="20" s="1"/>
  <c r="J482" i="12"/>
  <c r="L480" i="20" s="1"/>
  <c r="J483" i="12"/>
  <c r="L481" i="20" s="1"/>
  <c r="J484" i="12"/>
  <c r="L482" i="20" s="1"/>
  <c r="J485" i="12"/>
  <c r="L483" i="20" s="1"/>
  <c r="J486" i="12"/>
  <c r="L484" i="20" s="1"/>
  <c r="J487" i="12"/>
  <c r="L485" i="20" s="1"/>
  <c r="J488" i="12"/>
  <c r="L486" i="20" s="1"/>
  <c r="J489" i="12"/>
  <c r="L487" i="20" s="1"/>
  <c r="J490" i="12"/>
  <c r="L488" i="20" s="1"/>
  <c r="J491" i="12"/>
  <c r="L489" i="20" s="1"/>
  <c r="J492" i="12"/>
  <c r="L490" i="20" s="1"/>
  <c r="J493" i="12"/>
  <c r="L491" i="20" s="1"/>
  <c r="J494" i="12"/>
  <c r="L492" i="20" s="1"/>
  <c r="J495" i="12"/>
  <c r="L493" i="20" s="1"/>
  <c r="J496" i="12"/>
  <c r="L494" i="20" s="1"/>
  <c r="J497" i="12"/>
  <c r="L495" i="20" s="1"/>
  <c r="J498" i="12"/>
  <c r="L496" i="20" s="1"/>
  <c r="J499" i="12"/>
  <c r="L497" i="20" s="1"/>
  <c r="J500" i="12"/>
  <c r="L498" i="20" s="1"/>
  <c r="J501" i="12"/>
  <c r="L499" i="20" s="1"/>
  <c r="J502" i="12"/>
  <c r="L500" i="20" s="1"/>
  <c r="J503" i="12"/>
  <c r="L501" i="20" s="1"/>
  <c r="J504" i="12"/>
  <c r="L502" i="20" s="1"/>
  <c r="J505" i="12"/>
  <c r="L503" i="20" s="1"/>
  <c r="J506" i="12"/>
  <c r="L504" i="20" s="1"/>
  <c r="J507" i="12"/>
  <c r="L505" i="20" s="1"/>
  <c r="J508" i="12"/>
  <c r="L506" i="20" s="1"/>
  <c r="J509" i="12"/>
  <c r="L507" i="20" s="1"/>
  <c r="J510" i="12"/>
  <c r="L508" i="20" s="1"/>
  <c r="J511" i="12"/>
  <c r="L509" i="20" s="1"/>
  <c r="J512" i="12"/>
  <c r="L510" i="20" s="1"/>
  <c r="J513" i="12"/>
  <c r="L511" i="20" s="1"/>
  <c r="J514" i="12"/>
  <c r="L512" i="20" s="1"/>
  <c r="J515" i="12"/>
  <c r="L513" i="20" s="1"/>
  <c r="J516" i="12"/>
  <c r="L514" i="20" s="1"/>
  <c r="J517" i="12"/>
  <c r="L515" i="20" s="1"/>
  <c r="J518" i="12"/>
  <c r="L516" i="20" s="1"/>
  <c r="J519" i="12"/>
  <c r="L517" i="20" s="1"/>
  <c r="J520" i="12"/>
  <c r="L518" i="20" s="1"/>
  <c r="J521" i="12"/>
  <c r="L519" i="20" s="1"/>
  <c r="J522" i="12"/>
  <c r="L520" i="20" s="1"/>
  <c r="J523" i="12"/>
  <c r="L521" i="20" s="1"/>
  <c r="J524" i="12"/>
  <c r="L522" i="20" s="1"/>
  <c r="J525" i="12"/>
  <c r="L523" i="20" s="1"/>
  <c r="J526" i="12"/>
  <c r="L524" i="20" s="1"/>
  <c r="J527" i="12"/>
  <c r="L525" i="20" s="1"/>
  <c r="J528" i="12"/>
  <c r="L526" i="20" s="1"/>
  <c r="J529" i="12"/>
  <c r="L527" i="20" s="1"/>
  <c r="J530" i="12"/>
  <c r="L528" i="20" s="1"/>
  <c r="J531" i="12"/>
  <c r="L529" i="20" s="1"/>
  <c r="J532" i="12"/>
  <c r="L530" i="20" s="1"/>
  <c r="J533" i="12"/>
  <c r="L531" i="20" s="1"/>
  <c r="J534" i="12"/>
  <c r="L532" i="20" s="1"/>
  <c r="J535" i="12"/>
  <c r="L533" i="20" s="1"/>
  <c r="J536" i="12"/>
  <c r="L534" i="20" s="1"/>
  <c r="J537" i="12"/>
  <c r="L535" i="20" s="1"/>
  <c r="J538" i="12"/>
  <c r="L536" i="20" s="1"/>
  <c r="J539" i="12"/>
  <c r="L537" i="20" s="1"/>
  <c r="J540" i="12"/>
  <c r="L538" i="20" s="1"/>
  <c r="J541" i="12"/>
  <c r="L539" i="20" s="1"/>
  <c r="J542" i="12"/>
  <c r="L540" i="20" s="1"/>
  <c r="J543" i="12"/>
  <c r="L541" i="20" s="1"/>
  <c r="J544" i="12"/>
  <c r="L542" i="20" s="1"/>
  <c r="J545" i="12"/>
  <c r="L543" i="20" s="1"/>
  <c r="J546" i="12"/>
  <c r="L544" i="20" s="1"/>
  <c r="J547" i="12"/>
  <c r="L545" i="20" s="1"/>
  <c r="J548" i="12"/>
  <c r="L546" i="20" s="1"/>
  <c r="J549" i="12"/>
  <c r="L547" i="20" s="1"/>
  <c r="J550" i="12"/>
  <c r="L548" i="20" s="1"/>
  <c r="J551" i="12"/>
  <c r="L549" i="20" s="1"/>
  <c r="J552" i="12"/>
  <c r="L550" i="20" s="1"/>
  <c r="J553" i="12"/>
  <c r="L551" i="20" s="1"/>
  <c r="J554" i="12"/>
  <c r="L552" i="20" s="1"/>
  <c r="J555" i="12"/>
  <c r="L553" i="20" s="1"/>
  <c r="J556" i="12"/>
  <c r="L554" i="20" s="1"/>
  <c r="J557" i="12"/>
  <c r="L555" i="20" s="1"/>
  <c r="J558" i="12"/>
  <c r="L556" i="20" s="1"/>
  <c r="J559" i="12"/>
  <c r="L557" i="20" s="1"/>
  <c r="J560" i="12"/>
  <c r="L558" i="20" s="1"/>
  <c r="J561" i="12"/>
  <c r="L559" i="20" s="1"/>
  <c r="J562" i="12"/>
  <c r="L560" i="20" s="1"/>
  <c r="J563" i="12"/>
  <c r="L561" i="20" s="1"/>
  <c r="J564" i="12"/>
  <c r="L562" i="20" s="1"/>
  <c r="J565" i="12"/>
  <c r="L563" i="20" s="1"/>
  <c r="J566" i="12"/>
  <c r="L564" i="20" s="1"/>
  <c r="J567" i="12"/>
  <c r="L565" i="20" s="1"/>
  <c r="J568" i="12"/>
  <c r="L566" i="20" s="1"/>
  <c r="J569" i="12"/>
  <c r="L567" i="20" s="1"/>
  <c r="J570" i="12"/>
  <c r="L568" i="20" s="1"/>
  <c r="J571" i="12"/>
  <c r="L569" i="20" s="1"/>
  <c r="J572" i="12"/>
  <c r="L570" i="20" s="1"/>
  <c r="J573" i="12"/>
  <c r="L571" i="20" s="1"/>
  <c r="J574" i="12"/>
  <c r="L572" i="20" s="1"/>
  <c r="J575" i="12"/>
  <c r="L573" i="20" s="1"/>
  <c r="J576" i="12"/>
  <c r="L574" i="20" s="1"/>
  <c r="J577" i="12"/>
  <c r="L575" i="20" s="1"/>
  <c r="J578" i="12"/>
  <c r="L576" i="20" s="1"/>
  <c r="J579" i="12"/>
  <c r="L577" i="20" s="1"/>
  <c r="J580" i="12"/>
  <c r="L578" i="20" s="1"/>
  <c r="J581" i="12"/>
  <c r="L579" i="20" s="1"/>
  <c r="J582" i="12"/>
  <c r="L580" i="20" s="1"/>
  <c r="J583" i="12"/>
  <c r="L581" i="20" s="1"/>
  <c r="J584" i="12"/>
  <c r="L582" i="20" s="1"/>
  <c r="J585" i="12"/>
  <c r="L583" i="20" s="1"/>
  <c r="J586" i="12"/>
  <c r="L584" i="20" s="1"/>
  <c r="J587" i="12"/>
  <c r="L585" i="20" s="1"/>
  <c r="J588" i="12"/>
  <c r="L586" i="20" s="1"/>
  <c r="J589" i="12"/>
  <c r="L587" i="20" s="1"/>
  <c r="J590" i="12"/>
  <c r="L588" i="20" s="1"/>
  <c r="J591" i="12"/>
  <c r="L589" i="20" s="1"/>
  <c r="J592" i="12"/>
  <c r="L590" i="20" s="1"/>
  <c r="J593" i="12"/>
  <c r="L591" i="20" s="1"/>
  <c r="J594" i="12"/>
  <c r="L592" i="20" s="1"/>
  <c r="J595" i="12"/>
  <c r="L593" i="20" s="1"/>
  <c r="J596" i="12"/>
  <c r="L594" i="20" s="1"/>
  <c r="J597" i="12"/>
  <c r="L595" i="20" s="1"/>
  <c r="J598" i="12"/>
  <c r="L596" i="20" s="1"/>
  <c r="J599" i="12"/>
  <c r="L597" i="20" s="1"/>
  <c r="J600" i="12"/>
  <c r="L598" i="20" s="1"/>
  <c r="J601" i="12"/>
  <c r="L599" i="20" s="1"/>
  <c r="J602" i="12"/>
  <c r="L600" i="20" s="1"/>
  <c r="J603" i="12"/>
  <c r="L601" i="20" s="1"/>
  <c r="J604" i="12"/>
  <c r="L602" i="20" s="1"/>
  <c r="J605" i="12"/>
  <c r="L603" i="20" s="1"/>
  <c r="J606" i="12"/>
  <c r="L604" i="20" s="1"/>
  <c r="J607" i="12"/>
  <c r="L605" i="20" s="1"/>
  <c r="J608" i="12"/>
  <c r="L606" i="20" s="1"/>
  <c r="J609" i="12"/>
  <c r="L607" i="20" s="1"/>
  <c r="J610" i="12"/>
  <c r="L608" i="20" s="1"/>
  <c r="J611" i="12"/>
  <c r="L609" i="20" s="1"/>
  <c r="J612" i="12"/>
  <c r="L610" i="20" s="1"/>
  <c r="J613" i="12"/>
  <c r="L611" i="20" s="1"/>
  <c r="J614" i="12"/>
  <c r="L612" i="20" s="1"/>
  <c r="J615" i="12"/>
  <c r="L613" i="20" s="1"/>
  <c r="J616" i="12"/>
  <c r="L614" i="20" s="1"/>
  <c r="J617" i="12"/>
  <c r="L615" i="20" s="1"/>
  <c r="J618" i="12"/>
  <c r="L616" i="20" s="1"/>
  <c r="J619" i="12"/>
  <c r="L617" i="20" s="1"/>
  <c r="J620" i="12"/>
  <c r="L618" i="20" s="1"/>
  <c r="J621" i="12"/>
  <c r="L619" i="20" s="1"/>
  <c r="J622" i="12"/>
  <c r="L620" i="20" s="1"/>
  <c r="J623" i="12"/>
  <c r="L621" i="20" s="1"/>
  <c r="J624" i="12"/>
  <c r="L622" i="20" s="1"/>
  <c r="J625" i="12"/>
  <c r="L623" i="20" s="1"/>
  <c r="J626" i="12"/>
  <c r="L624" i="20" s="1"/>
  <c r="J627" i="12"/>
  <c r="L625" i="20" s="1"/>
  <c r="J628" i="12"/>
  <c r="L626" i="20" s="1"/>
  <c r="J629" i="12"/>
  <c r="L627" i="20" s="1"/>
  <c r="J630" i="12"/>
  <c r="L628" i="20" s="1"/>
  <c r="J631" i="12"/>
  <c r="L629" i="20" s="1"/>
  <c r="J632" i="12"/>
  <c r="L630" i="20" s="1"/>
  <c r="J633" i="12"/>
  <c r="L631" i="20" s="1"/>
  <c r="J634" i="12"/>
  <c r="L632" i="20" s="1"/>
  <c r="J635" i="12"/>
  <c r="L633" i="20" s="1"/>
  <c r="J636" i="12"/>
  <c r="L634" i="20" s="1"/>
  <c r="J637" i="12"/>
  <c r="L635" i="20" s="1"/>
  <c r="J3" i="12"/>
  <c r="I4" l="1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K635" i="20" s="1"/>
  <c r="I3" i="12"/>
  <c r="H4"/>
  <c r="H5"/>
  <c r="J3" i="20" s="1"/>
  <c r="H6" i="12"/>
  <c r="J4" i="20" s="1"/>
  <c r="H7" i="12"/>
  <c r="J5" i="20" s="1"/>
  <c r="H8" i="12"/>
  <c r="J6" i="20" s="1"/>
  <c r="H9" i="12"/>
  <c r="J7" i="20" s="1"/>
  <c r="H10" i="12"/>
  <c r="J8" i="20" s="1"/>
  <c r="H11" i="12"/>
  <c r="J9" i="20" s="1"/>
  <c r="H12" i="12"/>
  <c r="J10" i="20" s="1"/>
  <c r="H13" i="12"/>
  <c r="J11" i="20" s="1"/>
  <c r="H14" i="12"/>
  <c r="J12" i="20" s="1"/>
  <c r="H15" i="12"/>
  <c r="J13" i="20" s="1"/>
  <c r="H16" i="12"/>
  <c r="J14" i="20" s="1"/>
  <c r="H17" i="12"/>
  <c r="J15" i="20" s="1"/>
  <c r="H18" i="12"/>
  <c r="J16" i="20" s="1"/>
  <c r="H19" i="12"/>
  <c r="J17" i="20" s="1"/>
  <c r="H20" i="12"/>
  <c r="J18" i="20" s="1"/>
  <c r="H21" i="12"/>
  <c r="J19" i="20" s="1"/>
  <c r="H22" i="12"/>
  <c r="J20" i="20" s="1"/>
  <c r="H23" i="12"/>
  <c r="J21" i="20" s="1"/>
  <c r="H24" i="12"/>
  <c r="J22" i="20" s="1"/>
  <c r="H25" i="12"/>
  <c r="J23" i="20" s="1"/>
  <c r="H26" i="12"/>
  <c r="J24" i="20" s="1"/>
  <c r="H27" i="12"/>
  <c r="J25" i="20" s="1"/>
  <c r="H28" i="12"/>
  <c r="J26" i="20" s="1"/>
  <c r="H29" i="12"/>
  <c r="J27" i="20" s="1"/>
  <c r="H30" i="12"/>
  <c r="J28" i="20" s="1"/>
  <c r="H31" i="12"/>
  <c r="J29" i="20" s="1"/>
  <c r="H32" i="12"/>
  <c r="J30" i="20" s="1"/>
  <c r="H33" i="12"/>
  <c r="J31" i="20" s="1"/>
  <c r="H34" i="12"/>
  <c r="J32" i="20" s="1"/>
  <c r="H35" i="12"/>
  <c r="J33" i="20" s="1"/>
  <c r="H36" i="12"/>
  <c r="J34" i="20" s="1"/>
  <c r="H37" i="12"/>
  <c r="J35" i="20" s="1"/>
  <c r="H38" i="12"/>
  <c r="J36" i="20" s="1"/>
  <c r="H39" i="12"/>
  <c r="J37" i="20" s="1"/>
  <c r="H40" i="12"/>
  <c r="J38" i="20" s="1"/>
  <c r="H41" i="12"/>
  <c r="J39" i="20" s="1"/>
  <c r="H42" i="12"/>
  <c r="J40" i="20" s="1"/>
  <c r="H43" i="12"/>
  <c r="J41" i="20" s="1"/>
  <c r="H44" i="12"/>
  <c r="J42" i="20" s="1"/>
  <c r="H45" i="12"/>
  <c r="J43" i="20" s="1"/>
  <c r="H46" i="12"/>
  <c r="J44" i="20" s="1"/>
  <c r="H47" i="12"/>
  <c r="J45" i="20" s="1"/>
  <c r="H48" i="12"/>
  <c r="J46" i="20" s="1"/>
  <c r="H49" i="12"/>
  <c r="J47" i="20" s="1"/>
  <c r="H50" i="12"/>
  <c r="J48" i="20" s="1"/>
  <c r="H51" i="12"/>
  <c r="J49" i="20" s="1"/>
  <c r="H52" i="12"/>
  <c r="J50" i="20" s="1"/>
  <c r="H53" i="12"/>
  <c r="J51" i="20" s="1"/>
  <c r="H54" i="12"/>
  <c r="J52" i="20" s="1"/>
  <c r="H55" i="12"/>
  <c r="J53" i="20" s="1"/>
  <c r="H56" i="12"/>
  <c r="J54" i="20" s="1"/>
  <c r="H57" i="12"/>
  <c r="J55" i="20" s="1"/>
  <c r="H58" i="12"/>
  <c r="J56" i="20" s="1"/>
  <c r="H59" i="12"/>
  <c r="J57" i="20" s="1"/>
  <c r="H60" i="12"/>
  <c r="J58" i="20" s="1"/>
  <c r="H61" i="12"/>
  <c r="J59" i="20" s="1"/>
  <c r="H62" i="12"/>
  <c r="J60" i="20" s="1"/>
  <c r="H63" i="12"/>
  <c r="J61" i="20" s="1"/>
  <c r="H64" i="12"/>
  <c r="J62" i="20" s="1"/>
  <c r="H65" i="12"/>
  <c r="J63" i="20" s="1"/>
  <c r="H66" i="12"/>
  <c r="J64" i="20" s="1"/>
  <c r="H67" i="12"/>
  <c r="J65" i="20" s="1"/>
  <c r="H68" i="12"/>
  <c r="J66" i="20" s="1"/>
  <c r="H69" i="12"/>
  <c r="J67" i="20" s="1"/>
  <c r="H70" i="12"/>
  <c r="J68" i="20" s="1"/>
  <c r="H71" i="12"/>
  <c r="J69" i="20" s="1"/>
  <c r="H72" i="12"/>
  <c r="J70" i="20" s="1"/>
  <c r="H73" i="12"/>
  <c r="J71" i="20" s="1"/>
  <c r="H74" i="12"/>
  <c r="J72" i="20" s="1"/>
  <c r="H75" i="12"/>
  <c r="J73" i="20" s="1"/>
  <c r="H76" i="12"/>
  <c r="J74" i="20" s="1"/>
  <c r="H77" i="12"/>
  <c r="J75" i="20" s="1"/>
  <c r="H78" i="12"/>
  <c r="J76" i="20" s="1"/>
  <c r="H79" i="12"/>
  <c r="J77" i="20" s="1"/>
  <c r="H80" i="12"/>
  <c r="J78" i="20" s="1"/>
  <c r="H81" i="12"/>
  <c r="J79" i="20" s="1"/>
  <c r="H82" i="12"/>
  <c r="J80" i="20" s="1"/>
  <c r="H83" i="12"/>
  <c r="J81" i="20" s="1"/>
  <c r="H84" i="12"/>
  <c r="J82" i="20" s="1"/>
  <c r="H85" i="12"/>
  <c r="J83" i="20" s="1"/>
  <c r="H86" i="12"/>
  <c r="J84" i="20" s="1"/>
  <c r="H87" i="12"/>
  <c r="J85" i="20" s="1"/>
  <c r="H88" i="12"/>
  <c r="J86" i="20" s="1"/>
  <c r="H89" i="12"/>
  <c r="J87" i="20" s="1"/>
  <c r="H90" i="12"/>
  <c r="J88" i="20" s="1"/>
  <c r="H91" i="12"/>
  <c r="J89" i="20" s="1"/>
  <c r="H92" i="12"/>
  <c r="J90" i="20" s="1"/>
  <c r="H93" i="12"/>
  <c r="J91" i="20" s="1"/>
  <c r="H94" i="12"/>
  <c r="J92" i="20" s="1"/>
  <c r="H95" i="12"/>
  <c r="J93" i="20" s="1"/>
  <c r="H96" i="12"/>
  <c r="J94" i="20" s="1"/>
  <c r="H97" i="12"/>
  <c r="J95" i="20" s="1"/>
  <c r="H98" i="12"/>
  <c r="J96" i="20" s="1"/>
  <c r="H99" i="12"/>
  <c r="J97" i="20" s="1"/>
  <c r="H100" i="12"/>
  <c r="J98" i="20" s="1"/>
  <c r="H101" i="12"/>
  <c r="J99" i="20" s="1"/>
  <c r="H102" i="12"/>
  <c r="J100" i="20" s="1"/>
  <c r="H103" i="12"/>
  <c r="J101" i="20" s="1"/>
  <c r="H104" i="12"/>
  <c r="J102" i="20" s="1"/>
  <c r="H105" i="12"/>
  <c r="J103" i="20" s="1"/>
  <c r="H106" i="12"/>
  <c r="J104" i="20" s="1"/>
  <c r="H107" i="12"/>
  <c r="J105" i="20" s="1"/>
  <c r="H108" i="12"/>
  <c r="J106" i="20" s="1"/>
  <c r="H109" i="12"/>
  <c r="J107" i="20" s="1"/>
  <c r="H110" i="12"/>
  <c r="J108" i="20" s="1"/>
  <c r="H111" i="12"/>
  <c r="J109" i="20" s="1"/>
  <c r="H112" i="12"/>
  <c r="J110" i="20" s="1"/>
  <c r="H113" i="12"/>
  <c r="J111" i="20" s="1"/>
  <c r="H114" i="12"/>
  <c r="J112" i="20" s="1"/>
  <c r="H115" i="12"/>
  <c r="J113" i="20" s="1"/>
  <c r="H116" i="12"/>
  <c r="J114" i="20" s="1"/>
  <c r="H117" i="12"/>
  <c r="J115" i="20" s="1"/>
  <c r="H118" i="12"/>
  <c r="J116" i="20" s="1"/>
  <c r="H119" i="12"/>
  <c r="J117" i="20" s="1"/>
  <c r="H120" i="12"/>
  <c r="J118" i="20" s="1"/>
  <c r="H121" i="12"/>
  <c r="J119" i="20" s="1"/>
  <c r="H122" i="12"/>
  <c r="J120" i="20" s="1"/>
  <c r="H123" i="12"/>
  <c r="J121" i="20" s="1"/>
  <c r="H124" i="12"/>
  <c r="J122" i="20" s="1"/>
  <c r="H125" i="12"/>
  <c r="J123" i="20" s="1"/>
  <c r="H126" i="12"/>
  <c r="J124" i="20" s="1"/>
  <c r="H127" i="12"/>
  <c r="J125" i="20" s="1"/>
  <c r="H128" i="12"/>
  <c r="J126" i="20" s="1"/>
  <c r="H129" i="12"/>
  <c r="J127" i="20" s="1"/>
  <c r="H130" i="12"/>
  <c r="J128" i="20" s="1"/>
  <c r="H131" i="12"/>
  <c r="J129" i="20" s="1"/>
  <c r="H132" i="12"/>
  <c r="J130" i="20" s="1"/>
  <c r="H133" i="12"/>
  <c r="J131" i="20" s="1"/>
  <c r="H134" i="12"/>
  <c r="J132" i="20" s="1"/>
  <c r="H135" i="12"/>
  <c r="J133" i="20" s="1"/>
  <c r="H136" i="12"/>
  <c r="J134" i="20" s="1"/>
  <c r="H137" i="12"/>
  <c r="J135" i="20" s="1"/>
  <c r="H138" i="12"/>
  <c r="J136" i="20" s="1"/>
  <c r="H139" i="12"/>
  <c r="J137" i="20" s="1"/>
  <c r="H140" i="12"/>
  <c r="J138" i="20" s="1"/>
  <c r="H141" i="12"/>
  <c r="J139" i="20" s="1"/>
  <c r="H142" i="12"/>
  <c r="J140" i="20" s="1"/>
  <c r="H143" i="12"/>
  <c r="J141" i="20" s="1"/>
  <c r="H144" i="12"/>
  <c r="J142" i="20" s="1"/>
  <c r="H145" i="12"/>
  <c r="J143" i="20" s="1"/>
  <c r="H146" i="12"/>
  <c r="J144" i="20" s="1"/>
  <c r="H147" i="12"/>
  <c r="J145" i="20" s="1"/>
  <c r="H148" i="12"/>
  <c r="J146" i="20" s="1"/>
  <c r="H149" i="12"/>
  <c r="J147" i="20" s="1"/>
  <c r="H150" i="12"/>
  <c r="J148" i="20" s="1"/>
  <c r="H151" i="12"/>
  <c r="J149" i="20" s="1"/>
  <c r="H152" i="12"/>
  <c r="J150" i="20" s="1"/>
  <c r="H153" i="12"/>
  <c r="J151" i="20" s="1"/>
  <c r="H154" i="12"/>
  <c r="J152" i="20" s="1"/>
  <c r="H155" i="12"/>
  <c r="J153" i="20" s="1"/>
  <c r="H156" i="12"/>
  <c r="J154" i="20" s="1"/>
  <c r="H157" i="12"/>
  <c r="J155" i="20" s="1"/>
  <c r="H158" i="12"/>
  <c r="J156" i="20" s="1"/>
  <c r="H159" i="12"/>
  <c r="J157" i="20" s="1"/>
  <c r="H160" i="12"/>
  <c r="J158" i="20" s="1"/>
  <c r="H161" i="12"/>
  <c r="J159" i="20" s="1"/>
  <c r="H162" i="12"/>
  <c r="J160" i="20" s="1"/>
  <c r="H163" i="12"/>
  <c r="J161" i="20" s="1"/>
  <c r="H164" i="12"/>
  <c r="J162" i="20" s="1"/>
  <c r="H165" i="12"/>
  <c r="J163" i="20" s="1"/>
  <c r="H166" i="12"/>
  <c r="J164" i="20" s="1"/>
  <c r="H167" i="12"/>
  <c r="J165" i="20" s="1"/>
  <c r="H168" i="12"/>
  <c r="J166" i="20" s="1"/>
  <c r="H169" i="12"/>
  <c r="J167" i="20" s="1"/>
  <c r="H170" i="12"/>
  <c r="J168" i="20" s="1"/>
  <c r="H171" i="12"/>
  <c r="J169" i="20" s="1"/>
  <c r="H172" i="12"/>
  <c r="J170" i="20" s="1"/>
  <c r="H173" i="12"/>
  <c r="J171" i="20" s="1"/>
  <c r="H174" i="12"/>
  <c r="J172" i="20" s="1"/>
  <c r="H175" i="12"/>
  <c r="J173" i="20" s="1"/>
  <c r="H176" i="12"/>
  <c r="J174" i="20" s="1"/>
  <c r="H177" i="12"/>
  <c r="J175" i="20" s="1"/>
  <c r="H178" i="12"/>
  <c r="J176" i="20" s="1"/>
  <c r="H179" i="12"/>
  <c r="J177" i="20" s="1"/>
  <c r="H180" i="12"/>
  <c r="J178" i="20" s="1"/>
  <c r="H181" i="12"/>
  <c r="J179" i="20" s="1"/>
  <c r="H182" i="12"/>
  <c r="J180" i="20" s="1"/>
  <c r="H183" i="12"/>
  <c r="J181" i="20" s="1"/>
  <c r="H184" i="12"/>
  <c r="J182" i="20" s="1"/>
  <c r="H185" i="12"/>
  <c r="J183" i="20" s="1"/>
  <c r="H186" i="12"/>
  <c r="J184" i="20" s="1"/>
  <c r="H187" i="12"/>
  <c r="J185" i="20" s="1"/>
  <c r="H188" i="12"/>
  <c r="J186" i="20" s="1"/>
  <c r="H189" i="12"/>
  <c r="J187" i="20" s="1"/>
  <c r="H190" i="12"/>
  <c r="J188" i="20" s="1"/>
  <c r="H191" i="12"/>
  <c r="J189" i="20" s="1"/>
  <c r="H192" i="12"/>
  <c r="J190" i="20" s="1"/>
  <c r="H193" i="12"/>
  <c r="J191" i="20" s="1"/>
  <c r="H194" i="12"/>
  <c r="J192" i="20" s="1"/>
  <c r="H195" i="12"/>
  <c r="J193" i="20" s="1"/>
  <c r="H196" i="12"/>
  <c r="J194" i="20" s="1"/>
  <c r="H197" i="12"/>
  <c r="J195" i="20" s="1"/>
  <c r="H198" i="12"/>
  <c r="J196" i="20" s="1"/>
  <c r="H199" i="12"/>
  <c r="J197" i="20" s="1"/>
  <c r="H200" i="12"/>
  <c r="J198" i="20" s="1"/>
  <c r="H201" i="12"/>
  <c r="J199" i="20" s="1"/>
  <c r="H202" i="12"/>
  <c r="J200" i="20" s="1"/>
  <c r="H203" i="12"/>
  <c r="J201" i="20" s="1"/>
  <c r="H204" i="12"/>
  <c r="J202" i="20" s="1"/>
  <c r="H205" i="12"/>
  <c r="J203" i="20" s="1"/>
  <c r="H206" i="12"/>
  <c r="J204" i="20" s="1"/>
  <c r="H207" i="12"/>
  <c r="J205" i="20" s="1"/>
  <c r="H208" i="12"/>
  <c r="J206" i="20" s="1"/>
  <c r="H209" i="12"/>
  <c r="J207" i="20" s="1"/>
  <c r="H210" i="12"/>
  <c r="J208" i="20" s="1"/>
  <c r="H211" i="12"/>
  <c r="J209" i="20" s="1"/>
  <c r="H212" i="12"/>
  <c r="J210" i="20" s="1"/>
  <c r="H213" i="12"/>
  <c r="J211" i="20" s="1"/>
  <c r="H214" i="12"/>
  <c r="J212" i="20" s="1"/>
  <c r="H215" i="12"/>
  <c r="J213" i="20" s="1"/>
  <c r="H216" i="12"/>
  <c r="J214" i="20" s="1"/>
  <c r="H217" i="12"/>
  <c r="J215" i="20" s="1"/>
  <c r="H218" i="12"/>
  <c r="J216" i="20" s="1"/>
  <c r="H219" i="12"/>
  <c r="J217" i="20" s="1"/>
  <c r="H220" i="12"/>
  <c r="J218" i="20" s="1"/>
  <c r="H221" i="12"/>
  <c r="J219" i="20" s="1"/>
  <c r="H222" i="12"/>
  <c r="J220" i="20" s="1"/>
  <c r="H223" i="12"/>
  <c r="J221" i="20" s="1"/>
  <c r="H224" i="12"/>
  <c r="J222" i="20" s="1"/>
  <c r="H225" i="12"/>
  <c r="J223" i="20" s="1"/>
  <c r="H226" i="12"/>
  <c r="J224" i="20" s="1"/>
  <c r="H227" i="12"/>
  <c r="J225" i="20" s="1"/>
  <c r="H228" i="12"/>
  <c r="J226" i="20" s="1"/>
  <c r="H229" i="12"/>
  <c r="J227" i="20" s="1"/>
  <c r="H230" i="12"/>
  <c r="J228" i="20" s="1"/>
  <c r="H231" i="12"/>
  <c r="J229" i="20" s="1"/>
  <c r="H232" i="12"/>
  <c r="J230" i="20" s="1"/>
  <c r="H233" i="12"/>
  <c r="J231" i="20" s="1"/>
  <c r="H234" i="12"/>
  <c r="J232" i="20" s="1"/>
  <c r="H235" i="12"/>
  <c r="J233" i="20" s="1"/>
  <c r="H236" i="12"/>
  <c r="J234" i="20" s="1"/>
  <c r="H237" i="12"/>
  <c r="J235" i="20" s="1"/>
  <c r="H238" i="12"/>
  <c r="J236" i="20" s="1"/>
  <c r="H239" i="12"/>
  <c r="J237" i="20" s="1"/>
  <c r="H240" i="12"/>
  <c r="J238" i="20" s="1"/>
  <c r="H241" i="12"/>
  <c r="J239" i="20" s="1"/>
  <c r="H242" i="12"/>
  <c r="J240" i="20" s="1"/>
  <c r="H243" i="12"/>
  <c r="J241" i="20" s="1"/>
  <c r="H244" i="12"/>
  <c r="J242" i="20" s="1"/>
  <c r="H245" i="12"/>
  <c r="J243" i="20" s="1"/>
  <c r="H246" i="12"/>
  <c r="J244" i="20" s="1"/>
  <c r="H247" i="12"/>
  <c r="J245" i="20" s="1"/>
  <c r="H248" i="12"/>
  <c r="J246" i="20" s="1"/>
  <c r="H249" i="12"/>
  <c r="J247" i="20" s="1"/>
  <c r="H250" i="12"/>
  <c r="J248" i="20" s="1"/>
  <c r="H251" i="12"/>
  <c r="J249" i="20" s="1"/>
  <c r="H252" i="12"/>
  <c r="J250" i="20" s="1"/>
  <c r="H253" i="12"/>
  <c r="J251" i="20" s="1"/>
  <c r="H254" i="12"/>
  <c r="J252" i="20" s="1"/>
  <c r="H255" i="12"/>
  <c r="J253" i="20" s="1"/>
  <c r="H256" i="12"/>
  <c r="J254" i="20" s="1"/>
  <c r="H257" i="12"/>
  <c r="J255" i="20" s="1"/>
  <c r="H258" i="12"/>
  <c r="J256" i="20" s="1"/>
  <c r="H259" i="12"/>
  <c r="J257" i="20" s="1"/>
  <c r="H260" i="12"/>
  <c r="J258" i="20" s="1"/>
  <c r="H261" i="12"/>
  <c r="J259" i="20" s="1"/>
  <c r="H262" i="12"/>
  <c r="J260" i="20" s="1"/>
  <c r="H263" i="12"/>
  <c r="J261" i="20" s="1"/>
  <c r="H264" i="12"/>
  <c r="J262" i="20" s="1"/>
  <c r="H265" i="12"/>
  <c r="J263" i="20" s="1"/>
  <c r="H266" i="12"/>
  <c r="J264" i="20" s="1"/>
  <c r="H267" i="12"/>
  <c r="J265" i="20" s="1"/>
  <c r="H268" i="12"/>
  <c r="J266" i="20" s="1"/>
  <c r="H269" i="12"/>
  <c r="J267" i="20" s="1"/>
  <c r="H270" i="12"/>
  <c r="J268" i="20" s="1"/>
  <c r="H271" i="12"/>
  <c r="J269" i="20" s="1"/>
  <c r="H272" i="12"/>
  <c r="J270" i="20" s="1"/>
  <c r="H273" i="12"/>
  <c r="J271" i="20" s="1"/>
  <c r="H274" i="12"/>
  <c r="J272" i="20" s="1"/>
  <c r="H275" i="12"/>
  <c r="J273" i="20" s="1"/>
  <c r="H276" i="12"/>
  <c r="J274" i="20" s="1"/>
  <c r="H277" i="12"/>
  <c r="J275" i="20" s="1"/>
  <c r="H278" i="12"/>
  <c r="J276" i="20" s="1"/>
  <c r="H279" i="12"/>
  <c r="J277" i="20" s="1"/>
  <c r="H280" i="12"/>
  <c r="J278" i="20" s="1"/>
  <c r="H281" i="12"/>
  <c r="J279" i="20" s="1"/>
  <c r="H282" i="12"/>
  <c r="J280" i="20" s="1"/>
  <c r="H283" i="12"/>
  <c r="J281" i="20" s="1"/>
  <c r="H284" i="12"/>
  <c r="J282" i="20" s="1"/>
  <c r="H285" i="12"/>
  <c r="J283" i="20" s="1"/>
  <c r="H286" i="12"/>
  <c r="J284" i="20" s="1"/>
  <c r="H287" i="12"/>
  <c r="J285" i="20" s="1"/>
  <c r="H288" i="12"/>
  <c r="J286" i="20" s="1"/>
  <c r="H289" i="12"/>
  <c r="J287" i="20" s="1"/>
  <c r="H290" i="12"/>
  <c r="J288" i="20" s="1"/>
  <c r="H291" i="12"/>
  <c r="J289" i="20" s="1"/>
  <c r="H292" i="12"/>
  <c r="J290" i="20" s="1"/>
  <c r="H293" i="12"/>
  <c r="J291" i="20" s="1"/>
  <c r="H294" i="12"/>
  <c r="J292" i="20" s="1"/>
  <c r="H295" i="12"/>
  <c r="J293" i="20" s="1"/>
  <c r="H296" i="12"/>
  <c r="J294" i="20" s="1"/>
  <c r="H297" i="12"/>
  <c r="J295" i="20" s="1"/>
  <c r="H298" i="12"/>
  <c r="J296" i="20" s="1"/>
  <c r="H299" i="12"/>
  <c r="J297" i="20" s="1"/>
  <c r="H300" i="12"/>
  <c r="J298" i="20" s="1"/>
  <c r="H301" i="12"/>
  <c r="J299" i="20" s="1"/>
  <c r="H302" i="12"/>
  <c r="J300" i="20" s="1"/>
  <c r="H303" i="12"/>
  <c r="J301" i="20" s="1"/>
  <c r="H304" i="12"/>
  <c r="J302" i="20" s="1"/>
  <c r="H305" i="12"/>
  <c r="J303" i="20" s="1"/>
  <c r="H306" i="12"/>
  <c r="J304" i="20" s="1"/>
  <c r="H307" i="12"/>
  <c r="J305" i="20" s="1"/>
  <c r="H308" i="12"/>
  <c r="J306" i="20" s="1"/>
  <c r="H309" i="12"/>
  <c r="J307" i="20" s="1"/>
  <c r="H310" i="12"/>
  <c r="J308" i="20" s="1"/>
  <c r="H311" i="12"/>
  <c r="J309" i="20" s="1"/>
  <c r="H312" i="12"/>
  <c r="J310" i="20" s="1"/>
  <c r="H313" i="12"/>
  <c r="J311" i="20" s="1"/>
  <c r="H314" i="12"/>
  <c r="J312" i="20" s="1"/>
  <c r="H315" i="12"/>
  <c r="J313" i="20" s="1"/>
  <c r="H316" i="12"/>
  <c r="J314" i="20" s="1"/>
  <c r="H317" i="12"/>
  <c r="J315" i="20" s="1"/>
  <c r="H318" i="12"/>
  <c r="J316" i="20" s="1"/>
  <c r="H319" i="12"/>
  <c r="J317" i="20" s="1"/>
  <c r="H320" i="12"/>
  <c r="J318" i="20" s="1"/>
  <c r="H321" i="12"/>
  <c r="J319" i="20" s="1"/>
  <c r="H322" i="12"/>
  <c r="J320" i="20" s="1"/>
  <c r="H323" i="12"/>
  <c r="J321" i="20" s="1"/>
  <c r="H324" i="12"/>
  <c r="J322" i="20" s="1"/>
  <c r="H325" i="12"/>
  <c r="J323" i="20" s="1"/>
  <c r="H326" i="12"/>
  <c r="J324" i="20" s="1"/>
  <c r="H327" i="12"/>
  <c r="J325" i="20" s="1"/>
  <c r="H328" i="12"/>
  <c r="J326" i="20" s="1"/>
  <c r="H329" i="12"/>
  <c r="J327" i="20" s="1"/>
  <c r="H330" i="12"/>
  <c r="J328" i="20" s="1"/>
  <c r="H331" i="12"/>
  <c r="J329" i="20" s="1"/>
  <c r="H332" i="12"/>
  <c r="J330" i="20" s="1"/>
  <c r="H333" i="12"/>
  <c r="J331" i="20" s="1"/>
  <c r="H334" i="12"/>
  <c r="J332" i="20" s="1"/>
  <c r="H335" i="12"/>
  <c r="J333" i="20" s="1"/>
  <c r="H336" i="12"/>
  <c r="J334" i="20" s="1"/>
  <c r="H337" i="12"/>
  <c r="J335" i="20" s="1"/>
  <c r="H338" i="12"/>
  <c r="J336" i="20" s="1"/>
  <c r="H339" i="12"/>
  <c r="J337" i="20" s="1"/>
  <c r="H340" i="12"/>
  <c r="J338" i="20" s="1"/>
  <c r="H341" i="12"/>
  <c r="J339" i="20" s="1"/>
  <c r="H342" i="12"/>
  <c r="J340" i="20" s="1"/>
  <c r="H343" i="12"/>
  <c r="J341" i="20" s="1"/>
  <c r="H344" i="12"/>
  <c r="J342" i="20" s="1"/>
  <c r="H345" i="12"/>
  <c r="J343" i="20" s="1"/>
  <c r="H346" i="12"/>
  <c r="J344" i="20" s="1"/>
  <c r="H347" i="12"/>
  <c r="J345" i="20" s="1"/>
  <c r="H348" i="12"/>
  <c r="J346" i="20" s="1"/>
  <c r="H349" i="12"/>
  <c r="J347" i="20" s="1"/>
  <c r="H350" i="12"/>
  <c r="J348" i="20" s="1"/>
  <c r="H351" i="12"/>
  <c r="J349" i="20" s="1"/>
  <c r="H352" i="12"/>
  <c r="J350" i="20" s="1"/>
  <c r="H353" i="12"/>
  <c r="J351" i="20" s="1"/>
  <c r="H354" i="12"/>
  <c r="J352" i="20" s="1"/>
  <c r="H355" i="12"/>
  <c r="J353" i="20" s="1"/>
  <c r="H356" i="12"/>
  <c r="J354" i="20" s="1"/>
  <c r="H357" i="12"/>
  <c r="J355" i="20" s="1"/>
  <c r="H358" i="12"/>
  <c r="J356" i="20" s="1"/>
  <c r="H359" i="12"/>
  <c r="J357" i="20" s="1"/>
  <c r="H360" i="12"/>
  <c r="J358" i="20" s="1"/>
  <c r="H361" i="12"/>
  <c r="J359" i="20" s="1"/>
  <c r="H362" i="12"/>
  <c r="J360" i="20" s="1"/>
  <c r="H363" i="12"/>
  <c r="J361" i="20" s="1"/>
  <c r="H364" i="12"/>
  <c r="J362" i="20" s="1"/>
  <c r="H365" i="12"/>
  <c r="J363" i="20" s="1"/>
  <c r="H366" i="12"/>
  <c r="J364" i="20" s="1"/>
  <c r="H367" i="12"/>
  <c r="J365" i="20" s="1"/>
  <c r="H368" i="12"/>
  <c r="J366" i="20" s="1"/>
  <c r="H369" i="12"/>
  <c r="J367" i="20" s="1"/>
  <c r="H370" i="12"/>
  <c r="J368" i="20" s="1"/>
  <c r="H371" i="12"/>
  <c r="J369" i="20" s="1"/>
  <c r="H372" i="12"/>
  <c r="J370" i="20" s="1"/>
  <c r="H373" i="12"/>
  <c r="J371" i="20" s="1"/>
  <c r="H374" i="12"/>
  <c r="J372" i="20" s="1"/>
  <c r="H375" i="12"/>
  <c r="J373" i="20" s="1"/>
  <c r="H376" i="12"/>
  <c r="J374" i="20" s="1"/>
  <c r="H377" i="12"/>
  <c r="J375" i="20" s="1"/>
  <c r="H378" i="12"/>
  <c r="J376" i="20" s="1"/>
  <c r="H379" i="12"/>
  <c r="J377" i="20" s="1"/>
  <c r="H380" i="12"/>
  <c r="J378" i="20" s="1"/>
  <c r="H381" i="12"/>
  <c r="J379" i="20" s="1"/>
  <c r="H382" i="12"/>
  <c r="J380" i="20" s="1"/>
  <c r="H383" i="12"/>
  <c r="J381" i="20" s="1"/>
  <c r="H384" i="12"/>
  <c r="J382" i="20" s="1"/>
  <c r="H385" i="12"/>
  <c r="J383" i="20" s="1"/>
  <c r="H386" i="12"/>
  <c r="J384" i="20" s="1"/>
  <c r="H387" i="12"/>
  <c r="J385" i="20" s="1"/>
  <c r="H388" i="12"/>
  <c r="J386" i="20" s="1"/>
  <c r="H389" i="12"/>
  <c r="J387" i="20" s="1"/>
  <c r="H390" i="12"/>
  <c r="J388" i="20" s="1"/>
  <c r="H391" i="12"/>
  <c r="J389" i="20" s="1"/>
  <c r="H392" i="12"/>
  <c r="J390" i="20" s="1"/>
  <c r="H393" i="12"/>
  <c r="J391" i="20" s="1"/>
  <c r="H394" i="12"/>
  <c r="J392" i="20" s="1"/>
  <c r="H395" i="12"/>
  <c r="J393" i="20" s="1"/>
  <c r="H396" i="12"/>
  <c r="J394" i="20" s="1"/>
  <c r="H397" i="12"/>
  <c r="J395" i="20" s="1"/>
  <c r="H398" i="12"/>
  <c r="J396" i="20" s="1"/>
  <c r="H399" i="12"/>
  <c r="J397" i="20" s="1"/>
  <c r="H400" i="12"/>
  <c r="J398" i="20" s="1"/>
  <c r="H401" i="12"/>
  <c r="J399" i="20" s="1"/>
  <c r="H402" i="12"/>
  <c r="J400" i="20" s="1"/>
  <c r="H403" i="12"/>
  <c r="J401" i="20" s="1"/>
  <c r="H404" i="12"/>
  <c r="J402" i="20" s="1"/>
  <c r="H405" i="12"/>
  <c r="J403" i="20" s="1"/>
  <c r="H406" i="12"/>
  <c r="J404" i="20" s="1"/>
  <c r="H407" i="12"/>
  <c r="J405" i="20" s="1"/>
  <c r="H408" i="12"/>
  <c r="J406" i="20" s="1"/>
  <c r="H409" i="12"/>
  <c r="J407" i="20" s="1"/>
  <c r="H410" i="12"/>
  <c r="J408" i="20" s="1"/>
  <c r="H411" i="12"/>
  <c r="J409" i="20" s="1"/>
  <c r="H412" i="12"/>
  <c r="J410" i="20" s="1"/>
  <c r="H413" i="12"/>
  <c r="J411" i="20" s="1"/>
  <c r="H414" i="12"/>
  <c r="J412" i="20" s="1"/>
  <c r="H415" i="12"/>
  <c r="J413" i="20" s="1"/>
  <c r="H416" i="12"/>
  <c r="J414" i="20" s="1"/>
  <c r="H417" i="12"/>
  <c r="J415" i="20" s="1"/>
  <c r="H418" i="12"/>
  <c r="J416" i="20" s="1"/>
  <c r="H419" i="12"/>
  <c r="J417" i="20" s="1"/>
  <c r="H420" i="12"/>
  <c r="J418" i="20" s="1"/>
  <c r="H421" i="12"/>
  <c r="J419" i="20" s="1"/>
  <c r="H422" i="12"/>
  <c r="J420" i="20" s="1"/>
  <c r="H423" i="12"/>
  <c r="J421" i="20" s="1"/>
  <c r="H424" i="12"/>
  <c r="J422" i="20" s="1"/>
  <c r="H425" i="12"/>
  <c r="J423" i="20" s="1"/>
  <c r="H426" i="12"/>
  <c r="J424" i="20" s="1"/>
  <c r="H427" i="12"/>
  <c r="J425" i="20" s="1"/>
  <c r="H428" i="12"/>
  <c r="J426" i="20" s="1"/>
  <c r="H429" i="12"/>
  <c r="J427" i="20" s="1"/>
  <c r="H430" i="12"/>
  <c r="J428" i="20" s="1"/>
  <c r="H431" i="12"/>
  <c r="J429" i="20" s="1"/>
  <c r="H432" i="12"/>
  <c r="J430" i="20" s="1"/>
  <c r="H433" i="12"/>
  <c r="J431" i="20" s="1"/>
  <c r="H434" i="12"/>
  <c r="J432" i="20" s="1"/>
  <c r="H435" i="12"/>
  <c r="J433" i="20" s="1"/>
  <c r="H436" i="12"/>
  <c r="J434" i="20" s="1"/>
  <c r="H437" i="12"/>
  <c r="J435" i="20" s="1"/>
  <c r="H438" i="12"/>
  <c r="J436" i="20" s="1"/>
  <c r="H439" i="12"/>
  <c r="J437" i="20" s="1"/>
  <c r="H440" i="12"/>
  <c r="J438" i="20" s="1"/>
  <c r="H441" i="12"/>
  <c r="J439" i="20" s="1"/>
  <c r="H442" i="12"/>
  <c r="J440" i="20" s="1"/>
  <c r="H443" i="12"/>
  <c r="J441" i="20" s="1"/>
  <c r="H444" i="12"/>
  <c r="J442" i="20" s="1"/>
  <c r="H445" i="12"/>
  <c r="J443" i="20" s="1"/>
  <c r="H446" i="12"/>
  <c r="J444" i="20" s="1"/>
  <c r="H447" i="12"/>
  <c r="J445" i="20" s="1"/>
  <c r="H448" i="12"/>
  <c r="J446" i="20" s="1"/>
  <c r="H449" i="12"/>
  <c r="J447" i="20" s="1"/>
  <c r="H450" i="12"/>
  <c r="J448" i="20" s="1"/>
  <c r="H451" i="12"/>
  <c r="J449" i="20" s="1"/>
  <c r="H452" i="12"/>
  <c r="J450" i="20" s="1"/>
  <c r="H453" i="12"/>
  <c r="J451" i="20" s="1"/>
  <c r="H454" i="12"/>
  <c r="J452" i="20" s="1"/>
  <c r="H455" i="12"/>
  <c r="J453" i="20" s="1"/>
  <c r="H456" i="12"/>
  <c r="J454" i="20" s="1"/>
  <c r="H457" i="12"/>
  <c r="J455" i="20" s="1"/>
  <c r="H458" i="12"/>
  <c r="J456" i="20" s="1"/>
  <c r="H459" i="12"/>
  <c r="J457" i="20" s="1"/>
  <c r="H460" i="12"/>
  <c r="J458" i="20" s="1"/>
  <c r="H461" i="12"/>
  <c r="J459" i="20" s="1"/>
  <c r="H462" i="12"/>
  <c r="J460" i="20" s="1"/>
  <c r="H463" i="12"/>
  <c r="J461" i="20" s="1"/>
  <c r="H464" i="12"/>
  <c r="J462" i="20" s="1"/>
  <c r="H465" i="12"/>
  <c r="J463" i="20" s="1"/>
  <c r="H466" i="12"/>
  <c r="J464" i="20" s="1"/>
  <c r="H467" i="12"/>
  <c r="J465" i="20" s="1"/>
  <c r="H468" i="12"/>
  <c r="J466" i="20" s="1"/>
  <c r="H469" i="12"/>
  <c r="J467" i="20" s="1"/>
  <c r="H470" i="12"/>
  <c r="J468" i="20" s="1"/>
  <c r="H471" i="12"/>
  <c r="J469" i="20" s="1"/>
  <c r="H472" i="12"/>
  <c r="J470" i="20" s="1"/>
  <c r="H473" i="12"/>
  <c r="J471" i="20" s="1"/>
  <c r="H474" i="12"/>
  <c r="J472" i="20" s="1"/>
  <c r="H475" i="12"/>
  <c r="J473" i="20" s="1"/>
  <c r="H476" i="12"/>
  <c r="J474" i="20" s="1"/>
  <c r="H477" i="12"/>
  <c r="J475" i="20" s="1"/>
  <c r="H478" i="12"/>
  <c r="J476" i="20" s="1"/>
  <c r="H479" i="12"/>
  <c r="J477" i="20" s="1"/>
  <c r="H480" i="12"/>
  <c r="J478" i="20" s="1"/>
  <c r="H481" i="12"/>
  <c r="J479" i="20" s="1"/>
  <c r="H482" i="12"/>
  <c r="J480" i="20" s="1"/>
  <c r="H483" i="12"/>
  <c r="J481" i="20" s="1"/>
  <c r="H484" i="12"/>
  <c r="J482" i="20" s="1"/>
  <c r="H485" i="12"/>
  <c r="J483" i="20" s="1"/>
  <c r="H486" i="12"/>
  <c r="J484" i="20" s="1"/>
  <c r="H487" i="12"/>
  <c r="J485" i="20" s="1"/>
  <c r="H488" i="12"/>
  <c r="J486" i="20" s="1"/>
  <c r="H489" i="12"/>
  <c r="J487" i="20" s="1"/>
  <c r="H490" i="12"/>
  <c r="J488" i="20" s="1"/>
  <c r="H491" i="12"/>
  <c r="J489" i="20" s="1"/>
  <c r="H492" i="12"/>
  <c r="J490" i="20" s="1"/>
  <c r="H493" i="12"/>
  <c r="J491" i="20" s="1"/>
  <c r="H494" i="12"/>
  <c r="J492" i="20" s="1"/>
  <c r="H495" i="12"/>
  <c r="J493" i="20" s="1"/>
  <c r="H496" i="12"/>
  <c r="J494" i="20" s="1"/>
  <c r="H497" i="12"/>
  <c r="J495" i="20" s="1"/>
  <c r="H498" i="12"/>
  <c r="J496" i="20" s="1"/>
  <c r="H499" i="12"/>
  <c r="J497" i="20" s="1"/>
  <c r="H500" i="12"/>
  <c r="J498" i="20" s="1"/>
  <c r="H501" i="12"/>
  <c r="J499" i="20" s="1"/>
  <c r="H502" i="12"/>
  <c r="J500" i="20" s="1"/>
  <c r="H503" i="12"/>
  <c r="J501" i="20" s="1"/>
  <c r="H504" i="12"/>
  <c r="J502" i="20" s="1"/>
  <c r="H505" i="12"/>
  <c r="J503" i="20" s="1"/>
  <c r="H506" i="12"/>
  <c r="J504" i="20" s="1"/>
  <c r="H507" i="12"/>
  <c r="J505" i="20" s="1"/>
  <c r="H508" i="12"/>
  <c r="J506" i="20" s="1"/>
  <c r="H509" i="12"/>
  <c r="J507" i="20" s="1"/>
  <c r="H510" i="12"/>
  <c r="J508" i="20" s="1"/>
  <c r="H511" i="12"/>
  <c r="J509" i="20" s="1"/>
  <c r="H512" i="12"/>
  <c r="J510" i="20" s="1"/>
  <c r="H513" i="12"/>
  <c r="J511" i="20" s="1"/>
  <c r="H514" i="12"/>
  <c r="J512" i="20" s="1"/>
  <c r="H515" i="12"/>
  <c r="J513" i="20" s="1"/>
  <c r="H516" i="12"/>
  <c r="J514" i="20" s="1"/>
  <c r="H517" i="12"/>
  <c r="J515" i="20" s="1"/>
  <c r="H518" i="12"/>
  <c r="J516" i="20" s="1"/>
  <c r="H519" i="12"/>
  <c r="J517" i="20" s="1"/>
  <c r="H520" i="12"/>
  <c r="J518" i="20" s="1"/>
  <c r="H521" i="12"/>
  <c r="J519" i="20" s="1"/>
  <c r="H522" i="12"/>
  <c r="J520" i="20" s="1"/>
  <c r="H523" i="12"/>
  <c r="J521" i="20" s="1"/>
  <c r="H524" i="12"/>
  <c r="J522" i="20" s="1"/>
  <c r="H525" i="12"/>
  <c r="J523" i="20" s="1"/>
  <c r="H526" i="12"/>
  <c r="J524" i="20" s="1"/>
  <c r="H527" i="12"/>
  <c r="J525" i="20" s="1"/>
  <c r="H528" i="12"/>
  <c r="J526" i="20" s="1"/>
  <c r="H529" i="12"/>
  <c r="J527" i="20" s="1"/>
  <c r="H530" i="12"/>
  <c r="J528" i="20" s="1"/>
  <c r="H531" i="12"/>
  <c r="J529" i="20" s="1"/>
  <c r="H532" i="12"/>
  <c r="J530" i="20" s="1"/>
  <c r="H533" i="12"/>
  <c r="J531" i="20" s="1"/>
  <c r="H534" i="12"/>
  <c r="J532" i="20" s="1"/>
  <c r="H535" i="12"/>
  <c r="J533" i="20" s="1"/>
  <c r="H536" i="12"/>
  <c r="J534" i="20" s="1"/>
  <c r="H537" i="12"/>
  <c r="J535" i="20" s="1"/>
  <c r="H538" i="12"/>
  <c r="J536" i="20" s="1"/>
  <c r="H539" i="12"/>
  <c r="J537" i="20" s="1"/>
  <c r="H540" i="12"/>
  <c r="J538" i="20" s="1"/>
  <c r="H541" i="12"/>
  <c r="J539" i="20" s="1"/>
  <c r="H542" i="12"/>
  <c r="J540" i="20" s="1"/>
  <c r="H543" i="12"/>
  <c r="J541" i="20" s="1"/>
  <c r="H544" i="12"/>
  <c r="J542" i="20" s="1"/>
  <c r="H545" i="12"/>
  <c r="J543" i="20" s="1"/>
  <c r="H546" i="12"/>
  <c r="J544" i="20" s="1"/>
  <c r="H547" i="12"/>
  <c r="J545" i="20" s="1"/>
  <c r="H548" i="12"/>
  <c r="J546" i="20" s="1"/>
  <c r="H549" i="12"/>
  <c r="J547" i="20" s="1"/>
  <c r="H550" i="12"/>
  <c r="J548" i="20" s="1"/>
  <c r="H551" i="12"/>
  <c r="J549" i="20" s="1"/>
  <c r="H552" i="12"/>
  <c r="J550" i="20" s="1"/>
  <c r="H553" i="12"/>
  <c r="J551" i="20" s="1"/>
  <c r="H554" i="12"/>
  <c r="J552" i="20" s="1"/>
  <c r="H555" i="12"/>
  <c r="J553" i="20" s="1"/>
  <c r="H556" i="12"/>
  <c r="J554" i="20" s="1"/>
  <c r="H557" i="12"/>
  <c r="J555" i="20" s="1"/>
  <c r="H558" i="12"/>
  <c r="J556" i="20" s="1"/>
  <c r="H559" i="12"/>
  <c r="J557" i="20" s="1"/>
  <c r="H560" i="12"/>
  <c r="J558" i="20" s="1"/>
  <c r="H561" i="12"/>
  <c r="J559" i="20" s="1"/>
  <c r="H562" i="12"/>
  <c r="J560" i="20" s="1"/>
  <c r="H563" i="12"/>
  <c r="J561" i="20" s="1"/>
  <c r="H564" i="12"/>
  <c r="J562" i="20" s="1"/>
  <c r="H565" i="12"/>
  <c r="J563" i="20" s="1"/>
  <c r="H566" i="12"/>
  <c r="J564" i="20" s="1"/>
  <c r="H567" i="12"/>
  <c r="J565" i="20" s="1"/>
  <c r="H568" i="12"/>
  <c r="J566" i="20" s="1"/>
  <c r="H569" i="12"/>
  <c r="J567" i="20" s="1"/>
  <c r="H570" i="12"/>
  <c r="J568" i="20" s="1"/>
  <c r="H571" i="12"/>
  <c r="J569" i="20" s="1"/>
  <c r="H572" i="12"/>
  <c r="J570" i="20" s="1"/>
  <c r="H573" i="12"/>
  <c r="J571" i="20" s="1"/>
  <c r="H574" i="12"/>
  <c r="J572" i="20" s="1"/>
  <c r="H575" i="12"/>
  <c r="J573" i="20" s="1"/>
  <c r="H576" i="12"/>
  <c r="J574" i="20" s="1"/>
  <c r="H577" i="12"/>
  <c r="J575" i="20" s="1"/>
  <c r="H578" i="12"/>
  <c r="J576" i="20" s="1"/>
  <c r="H579" i="12"/>
  <c r="J577" i="20" s="1"/>
  <c r="H580" i="12"/>
  <c r="J578" i="20" s="1"/>
  <c r="H581" i="12"/>
  <c r="J579" i="20" s="1"/>
  <c r="H582" i="12"/>
  <c r="J580" i="20" s="1"/>
  <c r="H583" i="12"/>
  <c r="J581" i="20" s="1"/>
  <c r="H584" i="12"/>
  <c r="J582" i="20" s="1"/>
  <c r="H585" i="12"/>
  <c r="J583" i="20" s="1"/>
  <c r="H586" i="12"/>
  <c r="J584" i="20" s="1"/>
  <c r="H587" i="12"/>
  <c r="J585" i="20" s="1"/>
  <c r="H588" i="12"/>
  <c r="J586" i="20" s="1"/>
  <c r="H589" i="12"/>
  <c r="J587" i="20" s="1"/>
  <c r="H590" i="12"/>
  <c r="J588" i="20" s="1"/>
  <c r="H591" i="12"/>
  <c r="J589" i="20" s="1"/>
  <c r="H592" i="12"/>
  <c r="J590" i="20" s="1"/>
  <c r="H593" i="12"/>
  <c r="J591" i="20" s="1"/>
  <c r="H594" i="12"/>
  <c r="J592" i="20" s="1"/>
  <c r="H595" i="12"/>
  <c r="J593" i="20" s="1"/>
  <c r="H596" i="12"/>
  <c r="J594" i="20" s="1"/>
  <c r="H597" i="12"/>
  <c r="J595" i="20" s="1"/>
  <c r="H598" i="12"/>
  <c r="J596" i="20" s="1"/>
  <c r="H599" i="12"/>
  <c r="J597" i="20" s="1"/>
  <c r="H600" i="12"/>
  <c r="J598" i="20" s="1"/>
  <c r="H601" i="12"/>
  <c r="J599" i="20" s="1"/>
  <c r="H602" i="12"/>
  <c r="J600" i="20" s="1"/>
  <c r="H603" i="12"/>
  <c r="J601" i="20" s="1"/>
  <c r="H604" i="12"/>
  <c r="J602" i="20" s="1"/>
  <c r="H605" i="12"/>
  <c r="J603" i="20" s="1"/>
  <c r="H606" i="12"/>
  <c r="J604" i="20" s="1"/>
  <c r="H607" i="12"/>
  <c r="J605" i="20" s="1"/>
  <c r="H608" i="12"/>
  <c r="J606" i="20" s="1"/>
  <c r="H609" i="12"/>
  <c r="J607" i="20" s="1"/>
  <c r="H610" i="12"/>
  <c r="J608" i="20" s="1"/>
  <c r="H611" i="12"/>
  <c r="J609" i="20" s="1"/>
  <c r="H612" i="12"/>
  <c r="J610" i="20" s="1"/>
  <c r="H613" i="12"/>
  <c r="J611" i="20" s="1"/>
  <c r="H614" i="12"/>
  <c r="J612" i="20" s="1"/>
  <c r="H615" i="12"/>
  <c r="J613" i="20" s="1"/>
  <c r="H616" i="12"/>
  <c r="J614" i="20" s="1"/>
  <c r="H617" i="12"/>
  <c r="J615" i="20" s="1"/>
  <c r="H618" i="12"/>
  <c r="J616" i="20" s="1"/>
  <c r="H619" i="12"/>
  <c r="J617" i="20" s="1"/>
  <c r="H620" i="12"/>
  <c r="J618" i="20" s="1"/>
  <c r="H621" i="12"/>
  <c r="J619" i="20" s="1"/>
  <c r="H622" i="12"/>
  <c r="J620" i="20" s="1"/>
  <c r="H623" i="12"/>
  <c r="J621" i="20" s="1"/>
  <c r="H624" i="12"/>
  <c r="J622" i="20" s="1"/>
  <c r="H625" i="12"/>
  <c r="J623" i="20" s="1"/>
  <c r="H626" i="12"/>
  <c r="J624" i="20" s="1"/>
  <c r="H627" i="12"/>
  <c r="J625" i="20" s="1"/>
  <c r="H628" i="12"/>
  <c r="J626" i="20" s="1"/>
  <c r="H629" i="12"/>
  <c r="J627" i="20" s="1"/>
  <c r="H630" i="12"/>
  <c r="J628" i="20" s="1"/>
  <c r="H631" i="12"/>
  <c r="J629" i="20" s="1"/>
  <c r="H632" i="12"/>
  <c r="J630" i="20" s="1"/>
  <c r="H633" i="12"/>
  <c r="J631" i="20" s="1"/>
  <c r="H634" i="12"/>
  <c r="J632" i="20" s="1"/>
  <c r="H635" i="12"/>
  <c r="J633" i="20" s="1"/>
  <c r="H636" i="12"/>
  <c r="J634" i="20" s="1"/>
  <c r="H637" i="12"/>
  <c r="J635" i="20" s="1"/>
  <c r="H3" i="12"/>
  <c r="G4"/>
  <c r="G5"/>
  <c r="I3" i="20" s="1"/>
  <c r="G6" i="12"/>
  <c r="I4" i="20" s="1"/>
  <c r="G7" i="12"/>
  <c r="I5" i="20" s="1"/>
  <c r="G8" i="12"/>
  <c r="I6" i="20" s="1"/>
  <c r="G9" i="12"/>
  <c r="I7" i="20" s="1"/>
  <c r="G10" i="12"/>
  <c r="I8" i="20" s="1"/>
  <c r="G11" i="12"/>
  <c r="I9" i="20" s="1"/>
  <c r="G12" i="12"/>
  <c r="I10" i="20" s="1"/>
  <c r="G13" i="12"/>
  <c r="I11" i="20" s="1"/>
  <c r="G14" i="12"/>
  <c r="I12" i="20" s="1"/>
  <c r="G15" i="12"/>
  <c r="I13" i="20" s="1"/>
  <c r="G16" i="12"/>
  <c r="I14" i="20" s="1"/>
  <c r="G17" i="12"/>
  <c r="I15" i="20" s="1"/>
  <c r="G18" i="12"/>
  <c r="I16" i="20" s="1"/>
  <c r="G19" i="12"/>
  <c r="I17" i="20" s="1"/>
  <c r="G20" i="12"/>
  <c r="I18" i="20" s="1"/>
  <c r="G21" i="12"/>
  <c r="I19" i="20" s="1"/>
  <c r="G22" i="12"/>
  <c r="I20" i="20" s="1"/>
  <c r="G23" i="12"/>
  <c r="I21" i="20" s="1"/>
  <c r="G24" i="12"/>
  <c r="I22" i="20" s="1"/>
  <c r="G25" i="12"/>
  <c r="I23" i="20" s="1"/>
  <c r="G26" i="12"/>
  <c r="I24" i="20" s="1"/>
  <c r="G27" i="12"/>
  <c r="I25" i="20" s="1"/>
  <c r="G28" i="12"/>
  <c r="I26" i="20" s="1"/>
  <c r="G29" i="12"/>
  <c r="I27" i="20" s="1"/>
  <c r="G30" i="12"/>
  <c r="I28" i="20" s="1"/>
  <c r="G31" i="12"/>
  <c r="I29" i="20" s="1"/>
  <c r="G32" i="12"/>
  <c r="I30" i="20" s="1"/>
  <c r="G33" i="12"/>
  <c r="I31" i="20" s="1"/>
  <c r="G34" i="12"/>
  <c r="I32" i="20" s="1"/>
  <c r="G35" i="12"/>
  <c r="I33" i="20" s="1"/>
  <c r="G36" i="12"/>
  <c r="I34" i="20" s="1"/>
  <c r="G37" i="12"/>
  <c r="I35" i="20" s="1"/>
  <c r="G38" i="12"/>
  <c r="I36" i="20" s="1"/>
  <c r="G39" i="12"/>
  <c r="I37" i="20" s="1"/>
  <c r="G40" i="12"/>
  <c r="I38" i="20" s="1"/>
  <c r="G41" i="12"/>
  <c r="I39" i="20" s="1"/>
  <c r="G42" i="12"/>
  <c r="I40" i="20" s="1"/>
  <c r="G43" i="12"/>
  <c r="I41" i="20" s="1"/>
  <c r="G44" i="12"/>
  <c r="I42" i="20" s="1"/>
  <c r="G45" i="12"/>
  <c r="I43" i="20" s="1"/>
  <c r="G46" i="12"/>
  <c r="I44" i="20" s="1"/>
  <c r="G47" i="12"/>
  <c r="I45" i="20" s="1"/>
  <c r="G48" i="12"/>
  <c r="I46" i="20" s="1"/>
  <c r="G49" i="12"/>
  <c r="I47" i="20" s="1"/>
  <c r="G50" i="12"/>
  <c r="I48" i="20" s="1"/>
  <c r="G51" i="12"/>
  <c r="I49" i="20" s="1"/>
  <c r="G52" i="12"/>
  <c r="I50" i="20" s="1"/>
  <c r="G53" i="12"/>
  <c r="I51" i="20" s="1"/>
  <c r="G54" i="12"/>
  <c r="I52" i="20" s="1"/>
  <c r="G55" i="12"/>
  <c r="I53" i="20" s="1"/>
  <c r="G56" i="12"/>
  <c r="I54" i="20" s="1"/>
  <c r="G57" i="12"/>
  <c r="I55" i="20" s="1"/>
  <c r="G58" i="12"/>
  <c r="I56" i="20" s="1"/>
  <c r="G59" i="12"/>
  <c r="I57" i="20" s="1"/>
  <c r="G60" i="12"/>
  <c r="I58" i="20" s="1"/>
  <c r="G61" i="12"/>
  <c r="I59" i="20" s="1"/>
  <c r="G62" i="12"/>
  <c r="I60" i="20" s="1"/>
  <c r="G63" i="12"/>
  <c r="I61" i="20" s="1"/>
  <c r="G64" i="12"/>
  <c r="I62" i="20" s="1"/>
  <c r="G65" i="12"/>
  <c r="I63" i="20" s="1"/>
  <c r="G66" i="12"/>
  <c r="I64" i="20" s="1"/>
  <c r="G67" i="12"/>
  <c r="I65" i="20" s="1"/>
  <c r="G68" i="12"/>
  <c r="I66" i="20" s="1"/>
  <c r="G69" i="12"/>
  <c r="I67" i="20" s="1"/>
  <c r="G70" i="12"/>
  <c r="I68" i="20" s="1"/>
  <c r="G71" i="12"/>
  <c r="I69" i="20" s="1"/>
  <c r="G72" i="12"/>
  <c r="I70" i="20" s="1"/>
  <c r="G73" i="12"/>
  <c r="I71" i="20" s="1"/>
  <c r="G74" i="12"/>
  <c r="I72" i="20" s="1"/>
  <c r="G75" i="12"/>
  <c r="I73" i="20" s="1"/>
  <c r="G76" i="12"/>
  <c r="I74" i="20" s="1"/>
  <c r="G77" i="12"/>
  <c r="I75" i="20" s="1"/>
  <c r="G78" i="12"/>
  <c r="I76" i="20" s="1"/>
  <c r="G79" i="12"/>
  <c r="I77" i="20" s="1"/>
  <c r="G80" i="12"/>
  <c r="I78" i="20" s="1"/>
  <c r="G81" i="12"/>
  <c r="I79" i="20" s="1"/>
  <c r="G82" i="12"/>
  <c r="I80" i="20" s="1"/>
  <c r="G83" i="12"/>
  <c r="I81" i="20" s="1"/>
  <c r="G84" i="12"/>
  <c r="I82" i="20" s="1"/>
  <c r="G85" i="12"/>
  <c r="I83" i="20" s="1"/>
  <c r="G86" i="12"/>
  <c r="I84" i="20" s="1"/>
  <c r="G87" i="12"/>
  <c r="I85" i="20" s="1"/>
  <c r="G88" i="12"/>
  <c r="I86" i="20" s="1"/>
  <c r="G89" i="12"/>
  <c r="I87" i="20" s="1"/>
  <c r="G90" i="12"/>
  <c r="I88" i="20" s="1"/>
  <c r="G91" i="12"/>
  <c r="I89" i="20" s="1"/>
  <c r="G92" i="12"/>
  <c r="I90" i="20" s="1"/>
  <c r="G93" i="12"/>
  <c r="I91" i="20" s="1"/>
  <c r="G94" i="12"/>
  <c r="I92" i="20" s="1"/>
  <c r="G95" i="12"/>
  <c r="I93" i="20" s="1"/>
  <c r="G96" i="12"/>
  <c r="I94" i="20" s="1"/>
  <c r="G97" i="12"/>
  <c r="I95" i="20" s="1"/>
  <c r="G98" i="12"/>
  <c r="I96" i="20" s="1"/>
  <c r="G99" i="12"/>
  <c r="I97" i="20" s="1"/>
  <c r="G100" i="12"/>
  <c r="I98" i="20" s="1"/>
  <c r="G101" i="12"/>
  <c r="I99" i="20" s="1"/>
  <c r="G102" i="12"/>
  <c r="I100" i="20" s="1"/>
  <c r="G103" i="12"/>
  <c r="I101" i="20" s="1"/>
  <c r="G104" i="12"/>
  <c r="I102" i="20" s="1"/>
  <c r="G105" i="12"/>
  <c r="I103" i="20" s="1"/>
  <c r="G106" i="12"/>
  <c r="I104" i="20" s="1"/>
  <c r="G107" i="12"/>
  <c r="I105" i="20" s="1"/>
  <c r="G108" i="12"/>
  <c r="I106" i="20" s="1"/>
  <c r="G109" i="12"/>
  <c r="I107" i="20" s="1"/>
  <c r="G110" i="12"/>
  <c r="I108" i="20" s="1"/>
  <c r="G111" i="12"/>
  <c r="I109" i="20" s="1"/>
  <c r="G112" i="12"/>
  <c r="I110" i="20" s="1"/>
  <c r="G113" i="12"/>
  <c r="I111" i="20" s="1"/>
  <c r="G114" i="12"/>
  <c r="I112" i="20" s="1"/>
  <c r="G115" i="12"/>
  <c r="I113" i="20" s="1"/>
  <c r="G116" i="12"/>
  <c r="I114" i="20" s="1"/>
  <c r="G117" i="12"/>
  <c r="I115" i="20" s="1"/>
  <c r="G118" i="12"/>
  <c r="I116" i="20" s="1"/>
  <c r="G119" i="12"/>
  <c r="I117" i="20" s="1"/>
  <c r="G120" i="12"/>
  <c r="I118" i="20" s="1"/>
  <c r="G121" i="12"/>
  <c r="I119" i="20" s="1"/>
  <c r="G122" i="12"/>
  <c r="I120" i="20" s="1"/>
  <c r="G123" i="12"/>
  <c r="I121" i="20" s="1"/>
  <c r="G124" i="12"/>
  <c r="I122" i="20" s="1"/>
  <c r="G125" i="12"/>
  <c r="I123" i="20" s="1"/>
  <c r="G126" i="12"/>
  <c r="I124" i="20" s="1"/>
  <c r="G127" i="12"/>
  <c r="I125" i="20" s="1"/>
  <c r="G128" i="12"/>
  <c r="I126" i="20" s="1"/>
  <c r="G129" i="12"/>
  <c r="I127" i="20" s="1"/>
  <c r="G130" i="12"/>
  <c r="I128" i="20" s="1"/>
  <c r="G131" i="12"/>
  <c r="I129" i="20" s="1"/>
  <c r="G132" i="12"/>
  <c r="I130" i="20" s="1"/>
  <c r="G133" i="12"/>
  <c r="I131" i="20" s="1"/>
  <c r="G134" i="12"/>
  <c r="I132" i="20" s="1"/>
  <c r="G135" i="12"/>
  <c r="I133" i="20" s="1"/>
  <c r="G136" i="12"/>
  <c r="I134" i="20" s="1"/>
  <c r="G137" i="12"/>
  <c r="I135" i="20" s="1"/>
  <c r="G138" i="12"/>
  <c r="I136" i="20" s="1"/>
  <c r="G139" i="12"/>
  <c r="I137" i="20" s="1"/>
  <c r="G140" i="12"/>
  <c r="I138" i="20" s="1"/>
  <c r="G141" i="12"/>
  <c r="I139" i="20" s="1"/>
  <c r="G142" i="12"/>
  <c r="I140" i="20" s="1"/>
  <c r="G143" i="12"/>
  <c r="I141" i="20" s="1"/>
  <c r="G144" i="12"/>
  <c r="I142" i="20" s="1"/>
  <c r="G145" i="12"/>
  <c r="I143" i="20" s="1"/>
  <c r="G146" i="12"/>
  <c r="I144" i="20" s="1"/>
  <c r="G147" i="12"/>
  <c r="I145" i="20" s="1"/>
  <c r="G148" i="12"/>
  <c r="I146" i="20" s="1"/>
  <c r="G149" i="12"/>
  <c r="I147" i="20" s="1"/>
  <c r="G150" i="12"/>
  <c r="I148" i="20" s="1"/>
  <c r="G151" i="12"/>
  <c r="I149" i="20" s="1"/>
  <c r="G152" i="12"/>
  <c r="I150" i="20" s="1"/>
  <c r="G153" i="12"/>
  <c r="I151" i="20" s="1"/>
  <c r="G154" i="12"/>
  <c r="I152" i="20" s="1"/>
  <c r="G155" i="12"/>
  <c r="I153" i="20" s="1"/>
  <c r="G156" i="12"/>
  <c r="I154" i="20" s="1"/>
  <c r="G157" i="12"/>
  <c r="I155" i="20" s="1"/>
  <c r="G158" i="12"/>
  <c r="I156" i="20" s="1"/>
  <c r="G159" i="12"/>
  <c r="I157" i="20" s="1"/>
  <c r="G160" i="12"/>
  <c r="I158" i="20" s="1"/>
  <c r="G161" i="12"/>
  <c r="I159" i="20" s="1"/>
  <c r="G162" i="12"/>
  <c r="I160" i="20" s="1"/>
  <c r="G163" i="12"/>
  <c r="I161" i="20" s="1"/>
  <c r="G164" i="12"/>
  <c r="I162" i="20" s="1"/>
  <c r="G165" i="12"/>
  <c r="I163" i="20" s="1"/>
  <c r="G166" i="12"/>
  <c r="I164" i="20" s="1"/>
  <c r="G167" i="12"/>
  <c r="I165" i="20" s="1"/>
  <c r="G168" i="12"/>
  <c r="I166" i="20" s="1"/>
  <c r="G169" i="12"/>
  <c r="I167" i="20" s="1"/>
  <c r="G170" i="12"/>
  <c r="I168" i="20" s="1"/>
  <c r="G171" i="12"/>
  <c r="I169" i="20" s="1"/>
  <c r="G172" i="12"/>
  <c r="I170" i="20" s="1"/>
  <c r="G173" i="12"/>
  <c r="I171" i="20" s="1"/>
  <c r="G174" i="12"/>
  <c r="I172" i="20" s="1"/>
  <c r="G175" i="12"/>
  <c r="I173" i="20" s="1"/>
  <c r="G176" i="12"/>
  <c r="I174" i="20" s="1"/>
  <c r="G177" i="12"/>
  <c r="I175" i="20" s="1"/>
  <c r="G178" i="12"/>
  <c r="I176" i="20" s="1"/>
  <c r="G179" i="12"/>
  <c r="I177" i="20" s="1"/>
  <c r="G180" i="12"/>
  <c r="I178" i="20" s="1"/>
  <c r="G181" i="12"/>
  <c r="I179" i="20" s="1"/>
  <c r="G182" i="12"/>
  <c r="I180" i="20" s="1"/>
  <c r="G183" i="12"/>
  <c r="I181" i="20" s="1"/>
  <c r="G184" i="12"/>
  <c r="I182" i="20" s="1"/>
  <c r="G185" i="12"/>
  <c r="I183" i="20" s="1"/>
  <c r="G186" i="12"/>
  <c r="I184" i="20" s="1"/>
  <c r="G187" i="12"/>
  <c r="I185" i="20" s="1"/>
  <c r="G188" i="12"/>
  <c r="I186" i="20" s="1"/>
  <c r="G189" i="12"/>
  <c r="I187" i="20" s="1"/>
  <c r="G190" i="12"/>
  <c r="I188" i="20" s="1"/>
  <c r="G191" i="12"/>
  <c r="I189" i="20" s="1"/>
  <c r="G192" i="12"/>
  <c r="I190" i="20" s="1"/>
  <c r="G193" i="12"/>
  <c r="I191" i="20" s="1"/>
  <c r="G194" i="12"/>
  <c r="I192" i="20" s="1"/>
  <c r="G195" i="12"/>
  <c r="I193" i="20" s="1"/>
  <c r="G196" i="12"/>
  <c r="I194" i="20" s="1"/>
  <c r="G197" i="12"/>
  <c r="I195" i="20" s="1"/>
  <c r="G198" i="12"/>
  <c r="I196" i="20" s="1"/>
  <c r="G199" i="12"/>
  <c r="I197" i="20" s="1"/>
  <c r="G200" i="12"/>
  <c r="I198" i="20" s="1"/>
  <c r="G201" i="12"/>
  <c r="I199" i="20" s="1"/>
  <c r="G202" i="12"/>
  <c r="I200" i="20" s="1"/>
  <c r="G203" i="12"/>
  <c r="I201" i="20" s="1"/>
  <c r="G204" i="12"/>
  <c r="I202" i="20" s="1"/>
  <c r="G205" i="12"/>
  <c r="I203" i="20" s="1"/>
  <c r="G206" i="12"/>
  <c r="I204" i="20" s="1"/>
  <c r="G207" i="12"/>
  <c r="I205" i="20" s="1"/>
  <c r="G208" i="12"/>
  <c r="I206" i="20" s="1"/>
  <c r="G209" i="12"/>
  <c r="I207" i="20" s="1"/>
  <c r="G210" i="12"/>
  <c r="I208" i="20" s="1"/>
  <c r="G211" i="12"/>
  <c r="I209" i="20" s="1"/>
  <c r="G212" i="12"/>
  <c r="I210" i="20" s="1"/>
  <c r="G213" i="12"/>
  <c r="I211" i="20" s="1"/>
  <c r="G214" i="12"/>
  <c r="I212" i="20" s="1"/>
  <c r="G215" i="12"/>
  <c r="I213" i="20" s="1"/>
  <c r="G216" i="12"/>
  <c r="I214" i="20" s="1"/>
  <c r="G217" i="12"/>
  <c r="I215" i="20" s="1"/>
  <c r="G218" i="12"/>
  <c r="I216" i="20" s="1"/>
  <c r="G219" i="12"/>
  <c r="I217" i="20" s="1"/>
  <c r="G220" i="12"/>
  <c r="I218" i="20" s="1"/>
  <c r="G221" i="12"/>
  <c r="I219" i="20" s="1"/>
  <c r="G222" i="12"/>
  <c r="I220" i="20" s="1"/>
  <c r="G223" i="12"/>
  <c r="I221" i="20" s="1"/>
  <c r="G224" i="12"/>
  <c r="I222" i="20" s="1"/>
  <c r="G225" i="12"/>
  <c r="I223" i="20" s="1"/>
  <c r="G226" i="12"/>
  <c r="I224" i="20" s="1"/>
  <c r="G227" i="12"/>
  <c r="I225" i="20" s="1"/>
  <c r="G228" i="12"/>
  <c r="I226" i="20" s="1"/>
  <c r="G229" i="12"/>
  <c r="I227" i="20" s="1"/>
  <c r="G230" i="12"/>
  <c r="I228" i="20" s="1"/>
  <c r="G231" i="12"/>
  <c r="I229" i="20" s="1"/>
  <c r="G232" i="12"/>
  <c r="I230" i="20" s="1"/>
  <c r="G233" i="12"/>
  <c r="I231" i="20" s="1"/>
  <c r="G234" i="12"/>
  <c r="I232" i="20" s="1"/>
  <c r="G235" i="12"/>
  <c r="I233" i="20" s="1"/>
  <c r="G236" i="12"/>
  <c r="I234" i="20" s="1"/>
  <c r="G237" i="12"/>
  <c r="I235" i="20" s="1"/>
  <c r="G238" i="12"/>
  <c r="I236" i="20" s="1"/>
  <c r="G239" i="12"/>
  <c r="I237" i="20" s="1"/>
  <c r="G240" i="12"/>
  <c r="I238" i="20" s="1"/>
  <c r="G241" i="12"/>
  <c r="I239" i="20" s="1"/>
  <c r="G242" i="12"/>
  <c r="I240" i="20" s="1"/>
  <c r="G243" i="12"/>
  <c r="I241" i="20" s="1"/>
  <c r="G244" i="12"/>
  <c r="I242" i="20" s="1"/>
  <c r="G245" i="12"/>
  <c r="I243" i="20" s="1"/>
  <c r="G246" i="12"/>
  <c r="I244" i="20" s="1"/>
  <c r="G247" i="12"/>
  <c r="I245" i="20" s="1"/>
  <c r="G248" i="12"/>
  <c r="I246" i="20" s="1"/>
  <c r="G249" i="12"/>
  <c r="I247" i="20" s="1"/>
  <c r="G250" i="12"/>
  <c r="I248" i="20" s="1"/>
  <c r="G251" i="12"/>
  <c r="I249" i="20" s="1"/>
  <c r="G252" i="12"/>
  <c r="I250" i="20" s="1"/>
  <c r="G253" i="12"/>
  <c r="I251" i="20" s="1"/>
  <c r="G254" i="12"/>
  <c r="I252" i="20" s="1"/>
  <c r="G255" i="12"/>
  <c r="I253" i="20" s="1"/>
  <c r="G256" i="12"/>
  <c r="I254" i="20" s="1"/>
  <c r="G257" i="12"/>
  <c r="I255" i="20" s="1"/>
  <c r="G258" i="12"/>
  <c r="I256" i="20" s="1"/>
  <c r="G259" i="12"/>
  <c r="I257" i="20" s="1"/>
  <c r="G260" i="12"/>
  <c r="I258" i="20" s="1"/>
  <c r="G261" i="12"/>
  <c r="I259" i="20" s="1"/>
  <c r="G262" i="12"/>
  <c r="I260" i="20" s="1"/>
  <c r="G263" i="12"/>
  <c r="I261" i="20" s="1"/>
  <c r="G264" i="12"/>
  <c r="I262" i="20" s="1"/>
  <c r="G265" i="12"/>
  <c r="I263" i="20" s="1"/>
  <c r="G266" i="12"/>
  <c r="I264" i="20" s="1"/>
  <c r="G267" i="12"/>
  <c r="I265" i="20" s="1"/>
  <c r="G268" i="12"/>
  <c r="I266" i="20" s="1"/>
  <c r="G269" i="12"/>
  <c r="I267" i="20" s="1"/>
  <c r="G270" i="12"/>
  <c r="I268" i="20" s="1"/>
  <c r="G271" i="12"/>
  <c r="I269" i="20" s="1"/>
  <c r="G272" i="12"/>
  <c r="I270" i="20" s="1"/>
  <c r="G273" i="12"/>
  <c r="I271" i="20" s="1"/>
  <c r="G274" i="12"/>
  <c r="I272" i="20" s="1"/>
  <c r="G275" i="12"/>
  <c r="I273" i="20" s="1"/>
  <c r="G276" i="12"/>
  <c r="I274" i="20" s="1"/>
  <c r="G277" i="12"/>
  <c r="I275" i="20" s="1"/>
  <c r="G278" i="12"/>
  <c r="I276" i="20" s="1"/>
  <c r="G279" i="12"/>
  <c r="I277" i="20" s="1"/>
  <c r="G280" i="12"/>
  <c r="I278" i="20" s="1"/>
  <c r="G281" i="12"/>
  <c r="I279" i="20" s="1"/>
  <c r="G282" i="12"/>
  <c r="I280" i="20" s="1"/>
  <c r="G283" i="12"/>
  <c r="I281" i="20" s="1"/>
  <c r="G284" i="12"/>
  <c r="I282" i="20" s="1"/>
  <c r="G285" i="12"/>
  <c r="I283" i="20" s="1"/>
  <c r="G286" i="12"/>
  <c r="I284" i="20" s="1"/>
  <c r="G287" i="12"/>
  <c r="I285" i="20" s="1"/>
  <c r="G288" i="12"/>
  <c r="I286" i="20" s="1"/>
  <c r="G289" i="12"/>
  <c r="I287" i="20" s="1"/>
  <c r="G290" i="12"/>
  <c r="I288" i="20" s="1"/>
  <c r="G291" i="12"/>
  <c r="I289" i="20" s="1"/>
  <c r="G292" i="12"/>
  <c r="I290" i="20" s="1"/>
  <c r="G293" i="12"/>
  <c r="I291" i="20" s="1"/>
  <c r="G294" i="12"/>
  <c r="I292" i="20" s="1"/>
  <c r="G295" i="12"/>
  <c r="I293" i="20" s="1"/>
  <c r="G296" i="12"/>
  <c r="I294" i="20" s="1"/>
  <c r="G297" i="12"/>
  <c r="I295" i="20" s="1"/>
  <c r="G298" i="12"/>
  <c r="I296" i="20" s="1"/>
  <c r="G299" i="12"/>
  <c r="I297" i="20" s="1"/>
  <c r="G300" i="12"/>
  <c r="I298" i="20" s="1"/>
  <c r="G301" i="12"/>
  <c r="I299" i="20" s="1"/>
  <c r="G302" i="12"/>
  <c r="I300" i="20" s="1"/>
  <c r="G303" i="12"/>
  <c r="I301" i="20" s="1"/>
  <c r="G304" i="12"/>
  <c r="I302" i="20" s="1"/>
  <c r="G305" i="12"/>
  <c r="I303" i="20" s="1"/>
  <c r="G306" i="12"/>
  <c r="I304" i="20" s="1"/>
  <c r="G307" i="12"/>
  <c r="I305" i="20" s="1"/>
  <c r="G308" i="12"/>
  <c r="I306" i="20" s="1"/>
  <c r="G309" i="12"/>
  <c r="I307" i="20" s="1"/>
  <c r="G310" i="12"/>
  <c r="I308" i="20" s="1"/>
  <c r="G311" i="12"/>
  <c r="I309" i="20" s="1"/>
  <c r="G312" i="12"/>
  <c r="I310" i="20" s="1"/>
  <c r="G313" i="12"/>
  <c r="I311" i="20" s="1"/>
  <c r="G314" i="12"/>
  <c r="I312" i="20" s="1"/>
  <c r="G315" i="12"/>
  <c r="I313" i="20" s="1"/>
  <c r="G316" i="12"/>
  <c r="I314" i="20" s="1"/>
  <c r="G317" i="12"/>
  <c r="I315" i="20" s="1"/>
  <c r="G318" i="12"/>
  <c r="I316" i="20" s="1"/>
  <c r="G319" i="12"/>
  <c r="I317" i="20" s="1"/>
  <c r="G320" i="12"/>
  <c r="I318" i="20" s="1"/>
  <c r="G321" i="12"/>
  <c r="I319" i="20" s="1"/>
  <c r="G322" i="12"/>
  <c r="I320" i="20" s="1"/>
  <c r="G323" i="12"/>
  <c r="I321" i="20" s="1"/>
  <c r="G324" i="12"/>
  <c r="I322" i="20" s="1"/>
  <c r="G325" i="12"/>
  <c r="I323" i="20" s="1"/>
  <c r="G326" i="12"/>
  <c r="I324" i="20" s="1"/>
  <c r="G327" i="12"/>
  <c r="I325" i="20" s="1"/>
  <c r="G328" i="12"/>
  <c r="I326" i="20" s="1"/>
  <c r="G329" i="12"/>
  <c r="I327" i="20" s="1"/>
  <c r="G330" i="12"/>
  <c r="I328" i="20" s="1"/>
  <c r="G331" i="12"/>
  <c r="I329" i="20" s="1"/>
  <c r="G332" i="12"/>
  <c r="I330" i="20" s="1"/>
  <c r="G333" i="12"/>
  <c r="I331" i="20" s="1"/>
  <c r="G334" i="12"/>
  <c r="I332" i="20" s="1"/>
  <c r="G335" i="12"/>
  <c r="I333" i="20" s="1"/>
  <c r="G336" i="12"/>
  <c r="I334" i="20" s="1"/>
  <c r="G337" i="12"/>
  <c r="I335" i="20" s="1"/>
  <c r="G338" i="12"/>
  <c r="I336" i="20" s="1"/>
  <c r="G339" i="12"/>
  <c r="I337" i="20" s="1"/>
  <c r="G340" i="12"/>
  <c r="I338" i="20" s="1"/>
  <c r="G341" i="12"/>
  <c r="I339" i="20" s="1"/>
  <c r="G342" i="12"/>
  <c r="I340" i="20" s="1"/>
  <c r="G343" i="12"/>
  <c r="I341" i="20" s="1"/>
  <c r="G344" i="12"/>
  <c r="I342" i="20" s="1"/>
  <c r="G345" i="12"/>
  <c r="I343" i="20" s="1"/>
  <c r="G346" i="12"/>
  <c r="I344" i="20" s="1"/>
  <c r="G347" i="12"/>
  <c r="I345" i="20" s="1"/>
  <c r="G348" i="12"/>
  <c r="I346" i="20" s="1"/>
  <c r="G349" i="12"/>
  <c r="I347" i="20" s="1"/>
  <c r="G350" i="12"/>
  <c r="I348" i="20" s="1"/>
  <c r="G351" i="12"/>
  <c r="I349" i="20" s="1"/>
  <c r="G352" i="12"/>
  <c r="I350" i="20" s="1"/>
  <c r="G353" i="12"/>
  <c r="I351" i="20" s="1"/>
  <c r="G354" i="12"/>
  <c r="I352" i="20" s="1"/>
  <c r="G355" i="12"/>
  <c r="I353" i="20" s="1"/>
  <c r="G356" i="12"/>
  <c r="I354" i="20" s="1"/>
  <c r="G357" i="12"/>
  <c r="I355" i="20" s="1"/>
  <c r="G358" i="12"/>
  <c r="I356" i="20" s="1"/>
  <c r="G359" i="12"/>
  <c r="I357" i="20" s="1"/>
  <c r="G360" i="12"/>
  <c r="I358" i="20" s="1"/>
  <c r="G361" i="12"/>
  <c r="I359" i="20" s="1"/>
  <c r="G362" i="12"/>
  <c r="I360" i="20" s="1"/>
  <c r="G363" i="12"/>
  <c r="I361" i="20" s="1"/>
  <c r="G364" i="12"/>
  <c r="I362" i="20" s="1"/>
  <c r="G365" i="12"/>
  <c r="I363" i="20" s="1"/>
  <c r="G366" i="12"/>
  <c r="I364" i="20" s="1"/>
  <c r="G367" i="12"/>
  <c r="I365" i="20" s="1"/>
  <c r="G368" i="12"/>
  <c r="I366" i="20" s="1"/>
  <c r="G369" i="12"/>
  <c r="I367" i="20" s="1"/>
  <c r="G370" i="12"/>
  <c r="I368" i="20" s="1"/>
  <c r="G371" i="12"/>
  <c r="I369" i="20" s="1"/>
  <c r="G372" i="12"/>
  <c r="I370" i="20" s="1"/>
  <c r="G373" i="12"/>
  <c r="I371" i="20" s="1"/>
  <c r="G374" i="12"/>
  <c r="I372" i="20" s="1"/>
  <c r="G375" i="12"/>
  <c r="I373" i="20" s="1"/>
  <c r="G376" i="12"/>
  <c r="I374" i="20" s="1"/>
  <c r="G377" i="12"/>
  <c r="I375" i="20" s="1"/>
  <c r="G378" i="12"/>
  <c r="I376" i="20" s="1"/>
  <c r="G379" i="12"/>
  <c r="I377" i="20" s="1"/>
  <c r="G380" i="12"/>
  <c r="I378" i="20" s="1"/>
  <c r="G381" i="12"/>
  <c r="I379" i="20" s="1"/>
  <c r="G382" i="12"/>
  <c r="I380" i="20" s="1"/>
  <c r="G383" i="12"/>
  <c r="I381" i="20" s="1"/>
  <c r="G384" i="12"/>
  <c r="I382" i="20" s="1"/>
  <c r="G385" i="12"/>
  <c r="I383" i="20" s="1"/>
  <c r="G386" i="12"/>
  <c r="I384" i="20" s="1"/>
  <c r="G387" i="12"/>
  <c r="I385" i="20" s="1"/>
  <c r="G388" i="12"/>
  <c r="I386" i="20" s="1"/>
  <c r="G389" i="12"/>
  <c r="I387" i="20" s="1"/>
  <c r="G390" i="12"/>
  <c r="I388" i="20" s="1"/>
  <c r="G391" i="12"/>
  <c r="I389" i="20" s="1"/>
  <c r="G392" i="12"/>
  <c r="I390" i="20" s="1"/>
  <c r="G393" i="12"/>
  <c r="I391" i="20" s="1"/>
  <c r="G394" i="12"/>
  <c r="I392" i="20" s="1"/>
  <c r="G395" i="12"/>
  <c r="I393" i="20" s="1"/>
  <c r="G396" i="12"/>
  <c r="I394" i="20" s="1"/>
  <c r="G397" i="12"/>
  <c r="I395" i="20" s="1"/>
  <c r="G398" i="12"/>
  <c r="I396" i="20" s="1"/>
  <c r="G399" i="12"/>
  <c r="I397" i="20" s="1"/>
  <c r="G400" i="12"/>
  <c r="I398" i="20" s="1"/>
  <c r="G401" i="12"/>
  <c r="I399" i="20" s="1"/>
  <c r="G402" i="12"/>
  <c r="I400" i="20" s="1"/>
  <c r="G403" i="12"/>
  <c r="I401" i="20" s="1"/>
  <c r="G404" i="12"/>
  <c r="I402" i="20" s="1"/>
  <c r="G405" i="12"/>
  <c r="I403" i="20" s="1"/>
  <c r="G406" i="12"/>
  <c r="I404" i="20" s="1"/>
  <c r="G407" i="12"/>
  <c r="I405" i="20" s="1"/>
  <c r="G408" i="12"/>
  <c r="I406" i="20" s="1"/>
  <c r="G409" i="12"/>
  <c r="I407" i="20" s="1"/>
  <c r="G410" i="12"/>
  <c r="I408" i="20" s="1"/>
  <c r="G411" i="12"/>
  <c r="I409" i="20" s="1"/>
  <c r="G412" i="12"/>
  <c r="I410" i="20" s="1"/>
  <c r="G413" i="12"/>
  <c r="I411" i="20" s="1"/>
  <c r="G414" i="12"/>
  <c r="I412" i="20" s="1"/>
  <c r="G415" i="12"/>
  <c r="I413" i="20" s="1"/>
  <c r="G416" i="12"/>
  <c r="I414" i="20" s="1"/>
  <c r="G417" i="12"/>
  <c r="I415" i="20" s="1"/>
  <c r="G418" i="12"/>
  <c r="I416" i="20" s="1"/>
  <c r="G419" i="12"/>
  <c r="I417" i="20" s="1"/>
  <c r="G420" i="12"/>
  <c r="I418" i="20" s="1"/>
  <c r="G421" i="12"/>
  <c r="I419" i="20" s="1"/>
  <c r="G422" i="12"/>
  <c r="I420" i="20" s="1"/>
  <c r="G423" i="12"/>
  <c r="I421" i="20" s="1"/>
  <c r="G424" i="12"/>
  <c r="I422" i="20" s="1"/>
  <c r="G425" i="12"/>
  <c r="I423" i="20" s="1"/>
  <c r="G426" i="12"/>
  <c r="I424" i="20" s="1"/>
  <c r="G427" i="12"/>
  <c r="I425" i="20" s="1"/>
  <c r="G428" i="12"/>
  <c r="I426" i="20" s="1"/>
  <c r="G429" i="12"/>
  <c r="I427" i="20" s="1"/>
  <c r="G430" i="12"/>
  <c r="I428" i="20" s="1"/>
  <c r="G431" i="12"/>
  <c r="I429" i="20" s="1"/>
  <c r="G432" i="12"/>
  <c r="I430" i="20" s="1"/>
  <c r="G433" i="12"/>
  <c r="I431" i="20" s="1"/>
  <c r="G434" i="12"/>
  <c r="I432" i="20" s="1"/>
  <c r="G435" i="12"/>
  <c r="I433" i="20" s="1"/>
  <c r="G436" i="12"/>
  <c r="I434" i="20" s="1"/>
  <c r="G437" i="12"/>
  <c r="I435" i="20" s="1"/>
  <c r="G438" i="12"/>
  <c r="I436" i="20" s="1"/>
  <c r="G439" i="12"/>
  <c r="I437" i="20" s="1"/>
  <c r="G440" i="12"/>
  <c r="I438" i="20" s="1"/>
  <c r="G441" i="12"/>
  <c r="I439" i="20" s="1"/>
  <c r="G442" i="12"/>
  <c r="I440" i="20" s="1"/>
  <c r="G443" i="12"/>
  <c r="I441" i="20" s="1"/>
  <c r="G444" i="12"/>
  <c r="I442" i="20" s="1"/>
  <c r="G445" i="12"/>
  <c r="I443" i="20" s="1"/>
  <c r="G446" i="12"/>
  <c r="I444" i="20" s="1"/>
  <c r="G447" i="12"/>
  <c r="I445" i="20" s="1"/>
  <c r="G448" i="12"/>
  <c r="I446" i="20" s="1"/>
  <c r="G449" i="12"/>
  <c r="I447" i="20" s="1"/>
  <c r="G450" i="12"/>
  <c r="I448" i="20" s="1"/>
  <c r="G451" i="12"/>
  <c r="I449" i="20" s="1"/>
  <c r="G452" i="12"/>
  <c r="I450" i="20" s="1"/>
  <c r="G453" i="12"/>
  <c r="I451" i="20" s="1"/>
  <c r="G454" i="12"/>
  <c r="I452" i="20" s="1"/>
  <c r="G455" i="12"/>
  <c r="I453" i="20" s="1"/>
  <c r="G456" i="12"/>
  <c r="I454" i="20" s="1"/>
  <c r="G457" i="12"/>
  <c r="I455" i="20" s="1"/>
  <c r="G458" i="12"/>
  <c r="I456" i="20" s="1"/>
  <c r="G459" i="12"/>
  <c r="I457" i="20" s="1"/>
  <c r="G460" i="12"/>
  <c r="I458" i="20" s="1"/>
  <c r="G461" i="12"/>
  <c r="I459" i="20" s="1"/>
  <c r="G462" i="12"/>
  <c r="I460" i="20" s="1"/>
  <c r="G463" i="12"/>
  <c r="I461" i="20" s="1"/>
  <c r="G464" i="12"/>
  <c r="I462" i="20" s="1"/>
  <c r="G465" i="12"/>
  <c r="I463" i="20" s="1"/>
  <c r="G466" i="12"/>
  <c r="I464" i="20" s="1"/>
  <c r="G467" i="12"/>
  <c r="I465" i="20" s="1"/>
  <c r="G468" i="12"/>
  <c r="I466" i="20" s="1"/>
  <c r="G469" i="12"/>
  <c r="I467" i="20" s="1"/>
  <c r="G470" i="12"/>
  <c r="I468" i="20" s="1"/>
  <c r="G471" i="12"/>
  <c r="I469" i="20" s="1"/>
  <c r="G472" i="12"/>
  <c r="I470" i="20" s="1"/>
  <c r="G473" i="12"/>
  <c r="I471" i="20" s="1"/>
  <c r="G474" i="12"/>
  <c r="I472" i="20" s="1"/>
  <c r="G475" i="12"/>
  <c r="I473" i="20" s="1"/>
  <c r="G476" i="12"/>
  <c r="I474" i="20" s="1"/>
  <c r="G477" i="12"/>
  <c r="I475" i="20" s="1"/>
  <c r="G478" i="12"/>
  <c r="I476" i="20" s="1"/>
  <c r="G479" i="12"/>
  <c r="I477" i="20" s="1"/>
  <c r="G480" i="12"/>
  <c r="I478" i="20" s="1"/>
  <c r="G481" i="12"/>
  <c r="I479" i="20" s="1"/>
  <c r="G482" i="12"/>
  <c r="I480" i="20" s="1"/>
  <c r="G483" i="12"/>
  <c r="I481" i="20" s="1"/>
  <c r="G484" i="12"/>
  <c r="I482" i="20" s="1"/>
  <c r="G485" i="12"/>
  <c r="I483" i="20" s="1"/>
  <c r="G486" i="12"/>
  <c r="I484" i="20" s="1"/>
  <c r="G487" i="12"/>
  <c r="I485" i="20" s="1"/>
  <c r="G488" i="12"/>
  <c r="I486" i="20" s="1"/>
  <c r="G489" i="12"/>
  <c r="I487" i="20" s="1"/>
  <c r="G490" i="12"/>
  <c r="I488" i="20" s="1"/>
  <c r="G491" i="12"/>
  <c r="I489" i="20" s="1"/>
  <c r="G492" i="12"/>
  <c r="I490" i="20" s="1"/>
  <c r="G493" i="12"/>
  <c r="I491" i="20" s="1"/>
  <c r="G494" i="12"/>
  <c r="I492" i="20" s="1"/>
  <c r="G495" i="12"/>
  <c r="I493" i="20" s="1"/>
  <c r="G496" i="12"/>
  <c r="I494" i="20" s="1"/>
  <c r="G497" i="12"/>
  <c r="I495" i="20" s="1"/>
  <c r="G498" i="12"/>
  <c r="I496" i="20" s="1"/>
  <c r="G499" i="12"/>
  <c r="I497" i="20" s="1"/>
  <c r="G500" i="12"/>
  <c r="I498" i="20" s="1"/>
  <c r="G501" i="12"/>
  <c r="I499" i="20" s="1"/>
  <c r="G502" i="12"/>
  <c r="I500" i="20" s="1"/>
  <c r="G503" i="12"/>
  <c r="I501" i="20" s="1"/>
  <c r="G504" i="12"/>
  <c r="I502" i="20" s="1"/>
  <c r="G505" i="12"/>
  <c r="I503" i="20" s="1"/>
  <c r="G506" i="12"/>
  <c r="I504" i="20" s="1"/>
  <c r="G507" i="12"/>
  <c r="I505" i="20" s="1"/>
  <c r="G508" i="12"/>
  <c r="I506" i="20" s="1"/>
  <c r="G509" i="12"/>
  <c r="I507" i="20" s="1"/>
  <c r="G510" i="12"/>
  <c r="I508" i="20" s="1"/>
  <c r="G511" i="12"/>
  <c r="I509" i="20" s="1"/>
  <c r="G512" i="12"/>
  <c r="I510" i="20" s="1"/>
  <c r="G513" i="12"/>
  <c r="I511" i="20" s="1"/>
  <c r="G514" i="12"/>
  <c r="I512" i="20" s="1"/>
  <c r="G515" i="12"/>
  <c r="I513" i="20" s="1"/>
  <c r="G516" i="12"/>
  <c r="I514" i="20" s="1"/>
  <c r="G517" i="12"/>
  <c r="I515" i="20" s="1"/>
  <c r="G518" i="12"/>
  <c r="I516" i="20" s="1"/>
  <c r="G519" i="12"/>
  <c r="I517" i="20" s="1"/>
  <c r="G520" i="12"/>
  <c r="I518" i="20" s="1"/>
  <c r="G521" i="12"/>
  <c r="I519" i="20" s="1"/>
  <c r="G522" i="12"/>
  <c r="I520" i="20" s="1"/>
  <c r="G523" i="12"/>
  <c r="I521" i="20" s="1"/>
  <c r="G524" i="12"/>
  <c r="I522" i="20" s="1"/>
  <c r="G525" i="12"/>
  <c r="I523" i="20" s="1"/>
  <c r="G526" i="12"/>
  <c r="I524" i="20" s="1"/>
  <c r="G527" i="12"/>
  <c r="I525" i="20" s="1"/>
  <c r="G528" i="12"/>
  <c r="I526" i="20" s="1"/>
  <c r="G529" i="12"/>
  <c r="I527" i="20" s="1"/>
  <c r="G530" i="12"/>
  <c r="I528" i="20" s="1"/>
  <c r="G531" i="12"/>
  <c r="I529" i="20" s="1"/>
  <c r="G532" i="12"/>
  <c r="I530" i="20" s="1"/>
  <c r="G533" i="12"/>
  <c r="I531" i="20" s="1"/>
  <c r="G534" i="12"/>
  <c r="I532" i="20" s="1"/>
  <c r="G535" i="12"/>
  <c r="I533" i="20" s="1"/>
  <c r="G536" i="12"/>
  <c r="I534" i="20" s="1"/>
  <c r="G537" i="12"/>
  <c r="I535" i="20" s="1"/>
  <c r="G538" i="12"/>
  <c r="I536" i="20" s="1"/>
  <c r="G539" i="12"/>
  <c r="I537" i="20" s="1"/>
  <c r="G540" i="12"/>
  <c r="I538" i="20" s="1"/>
  <c r="G541" i="12"/>
  <c r="I539" i="20" s="1"/>
  <c r="G542" i="12"/>
  <c r="I540" i="20" s="1"/>
  <c r="G543" i="12"/>
  <c r="I541" i="20" s="1"/>
  <c r="G544" i="12"/>
  <c r="I542" i="20" s="1"/>
  <c r="G545" i="12"/>
  <c r="I543" i="20" s="1"/>
  <c r="G546" i="12"/>
  <c r="I544" i="20" s="1"/>
  <c r="G547" i="12"/>
  <c r="I545" i="20" s="1"/>
  <c r="G548" i="12"/>
  <c r="I546" i="20" s="1"/>
  <c r="G549" i="12"/>
  <c r="I547" i="20" s="1"/>
  <c r="G550" i="12"/>
  <c r="I548" i="20" s="1"/>
  <c r="G551" i="12"/>
  <c r="I549" i="20" s="1"/>
  <c r="G552" i="12"/>
  <c r="I550" i="20" s="1"/>
  <c r="G553" i="12"/>
  <c r="I551" i="20" s="1"/>
  <c r="G554" i="12"/>
  <c r="I552" i="20" s="1"/>
  <c r="G555" i="12"/>
  <c r="I553" i="20" s="1"/>
  <c r="G556" i="12"/>
  <c r="I554" i="20" s="1"/>
  <c r="G557" i="12"/>
  <c r="I555" i="20" s="1"/>
  <c r="G558" i="12"/>
  <c r="I556" i="20" s="1"/>
  <c r="G559" i="12"/>
  <c r="I557" i="20" s="1"/>
  <c r="G560" i="12"/>
  <c r="I558" i="20" s="1"/>
  <c r="G561" i="12"/>
  <c r="I559" i="20" s="1"/>
  <c r="G562" i="12"/>
  <c r="I560" i="20" s="1"/>
  <c r="G563" i="12"/>
  <c r="I561" i="20" s="1"/>
  <c r="G564" i="12"/>
  <c r="I562" i="20" s="1"/>
  <c r="G565" i="12"/>
  <c r="I563" i="20" s="1"/>
  <c r="G566" i="12"/>
  <c r="I564" i="20" s="1"/>
  <c r="G567" i="12"/>
  <c r="I565" i="20" s="1"/>
  <c r="G568" i="12"/>
  <c r="I566" i="20" s="1"/>
  <c r="G569" i="12"/>
  <c r="I567" i="20" s="1"/>
  <c r="G570" i="12"/>
  <c r="I568" i="20" s="1"/>
  <c r="G571" i="12"/>
  <c r="I569" i="20" s="1"/>
  <c r="G572" i="12"/>
  <c r="I570" i="20" s="1"/>
  <c r="G573" i="12"/>
  <c r="I571" i="20" s="1"/>
  <c r="G574" i="12"/>
  <c r="I572" i="20" s="1"/>
  <c r="G575" i="12"/>
  <c r="I573" i="20" s="1"/>
  <c r="G576" i="12"/>
  <c r="I574" i="20" s="1"/>
  <c r="G577" i="12"/>
  <c r="I575" i="20" s="1"/>
  <c r="G578" i="12"/>
  <c r="I576" i="20" s="1"/>
  <c r="G579" i="12"/>
  <c r="I577" i="20" s="1"/>
  <c r="G580" i="12"/>
  <c r="I578" i="20" s="1"/>
  <c r="G581" i="12"/>
  <c r="I579" i="20" s="1"/>
  <c r="G582" i="12"/>
  <c r="I580" i="20" s="1"/>
  <c r="G583" i="12"/>
  <c r="I581" i="20" s="1"/>
  <c r="G584" i="12"/>
  <c r="I582" i="20" s="1"/>
  <c r="G585" i="12"/>
  <c r="I583" i="20" s="1"/>
  <c r="G586" i="12"/>
  <c r="I584" i="20" s="1"/>
  <c r="G587" i="12"/>
  <c r="I585" i="20" s="1"/>
  <c r="G588" i="12"/>
  <c r="I586" i="20" s="1"/>
  <c r="G589" i="12"/>
  <c r="I587" i="20" s="1"/>
  <c r="G590" i="12"/>
  <c r="I588" i="20" s="1"/>
  <c r="G591" i="12"/>
  <c r="I589" i="20" s="1"/>
  <c r="G592" i="12"/>
  <c r="I590" i="20" s="1"/>
  <c r="G593" i="12"/>
  <c r="I591" i="20" s="1"/>
  <c r="G594" i="12"/>
  <c r="I592" i="20" s="1"/>
  <c r="G595" i="12"/>
  <c r="I593" i="20" s="1"/>
  <c r="G596" i="12"/>
  <c r="I594" i="20" s="1"/>
  <c r="G597" i="12"/>
  <c r="I595" i="20" s="1"/>
  <c r="G598" i="12"/>
  <c r="I596" i="20" s="1"/>
  <c r="G599" i="12"/>
  <c r="I597" i="20" s="1"/>
  <c r="G600" i="12"/>
  <c r="I598" i="20" s="1"/>
  <c r="G601" i="12"/>
  <c r="I599" i="20" s="1"/>
  <c r="G602" i="12"/>
  <c r="I600" i="20" s="1"/>
  <c r="G603" i="12"/>
  <c r="I601" i="20" s="1"/>
  <c r="G604" i="12"/>
  <c r="I602" i="20" s="1"/>
  <c r="G605" i="12"/>
  <c r="I603" i="20" s="1"/>
  <c r="G606" i="12"/>
  <c r="I604" i="20" s="1"/>
  <c r="G607" i="12"/>
  <c r="I605" i="20" s="1"/>
  <c r="G608" i="12"/>
  <c r="I606" i="20" s="1"/>
  <c r="G609" i="12"/>
  <c r="I607" i="20" s="1"/>
  <c r="G610" i="12"/>
  <c r="I608" i="20" s="1"/>
  <c r="G611" i="12"/>
  <c r="I609" i="20" s="1"/>
  <c r="G612" i="12"/>
  <c r="I610" i="20" s="1"/>
  <c r="G613" i="12"/>
  <c r="I611" i="20" s="1"/>
  <c r="G614" i="12"/>
  <c r="I612" i="20" s="1"/>
  <c r="G615" i="12"/>
  <c r="I613" i="20" s="1"/>
  <c r="G616" i="12"/>
  <c r="I614" i="20" s="1"/>
  <c r="G617" i="12"/>
  <c r="I615" i="20" s="1"/>
  <c r="G618" i="12"/>
  <c r="I616" i="20" s="1"/>
  <c r="G619" i="12"/>
  <c r="I617" i="20" s="1"/>
  <c r="G620" i="12"/>
  <c r="I618" i="20" s="1"/>
  <c r="G621" i="12"/>
  <c r="I619" i="20" s="1"/>
  <c r="G622" i="12"/>
  <c r="I620" i="20" s="1"/>
  <c r="G623" i="12"/>
  <c r="I621" i="20" s="1"/>
  <c r="G624" i="12"/>
  <c r="I622" i="20" s="1"/>
  <c r="G625" i="12"/>
  <c r="I623" i="20" s="1"/>
  <c r="G626" i="12"/>
  <c r="I624" i="20" s="1"/>
  <c r="G627" i="12"/>
  <c r="I625" i="20" s="1"/>
  <c r="G628" i="12"/>
  <c r="I626" i="20" s="1"/>
  <c r="G629" i="12"/>
  <c r="I627" i="20" s="1"/>
  <c r="G630" i="12"/>
  <c r="I628" i="20" s="1"/>
  <c r="G631" i="12"/>
  <c r="I629" i="20" s="1"/>
  <c r="G632" i="12"/>
  <c r="I630" i="20" s="1"/>
  <c r="G633" i="12"/>
  <c r="I631" i="20" s="1"/>
  <c r="G634" i="12"/>
  <c r="I632" i="20" s="1"/>
  <c r="G635" i="12"/>
  <c r="I633" i="20" s="1"/>
  <c r="G636" i="12"/>
  <c r="I634" i="20" s="1"/>
  <c r="G637" i="12"/>
  <c r="I635" i="20" s="1"/>
  <c r="G3" i="12"/>
  <c r="F4"/>
  <c r="F5"/>
  <c r="H3" i="20" s="1"/>
  <c r="F6" i="12"/>
  <c r="H4" i="20" s="1"/>
  <c r="F7" i="12"/>
  <c r="H5" i="20" s="1"/>
  <c r="F8" i="12"/>
  <c r="H6" i="20" s="1"/>
  <c r="F9" i="12"/>
  <c r="H7" i="20" s="1"/>
  <c r="F10" i="12"/>
  <c r="H8" i="20" s="1"/>
  <c r="F11" i="12"/>
  <c r="H9" i="20" s="1"/>
  <c r="F12" i="12"/>
  <c r="H10" i="20" s="1"/>
  <c r="F13" i="12"/>
  <c r="H11" i="20" s="1"/>
  <c r="F14" i="12"/>
  <c r="H12" i="20" s="1"/>
  <c r="F15" i="12"/>
  <c r="H13" i="20" s="1"/>
  <c r="F16" i="12"/>
  <c r="H14" i="20" s="1"/>
  <c r="F17" i="12"/>
  <c r="H15" i="20" s="1"/>
  <c r="F18" i="12"/>
  <c r="H16" i="20" s="1"/>
  <c r="F19" i="12"/>
  <c r="H17" i="20" s="1"/>
  <c r="F20" i="12"/>
  <c r="H18" i="20" s="1"/>
  <c r="F21" i="12"/>
  <c r="H19" i="20" s="1"/>
  <c r="F22" i="12"/>
  <c r="H20" i="20" s="1"/>
  <c r="F23" i="12"/>
  <c r="H21" i="20" s="1"/>
  <c r="F24" i="12"/>
  <c r="H22" i="20" s="1"/>
  <c r="F25" i="12"/>
  <c r="H23" i="20" s="1"/>
  <c r="F26" i="12"/>
  <c r="H24" i="20" s="1"/>
  <c r="F27" i="12"/>
  <c r="H25" i="20" s="1"/>
  <c r="F28" i="12"/>
  <c r="H26" i="20" s="1"/>
  <c r="F29" i="12"/>
  <c r="H27" i="20" s="1"/>
  <c r="F30" i="12"/>
  <c r="H28" i="20" s="1"/>
  <c r="F31" i="12"/>
  <c r="H29" i="20" s="1"/>
  <c r="F32" i="12"/>
  <c r="H30" i="20" s="1"/>
  <c r="F33" i="12"/>
  <c r="H31" i="20" s="1"/>
  <c r="F34" i="12"/>
  <c r="H32" i="20" s="1"/>
  <c r="F35" i="12"/>
  <c r="H33" i="20" s="1"/>
  <c r="F36" i="12"/>
  <c r="H34" i="20" s="1"/>
  <c r="F37" i="12"/>
  <c r="H35" i="20" s="1"/>
  <c r="F38" i="12"/>
  <c r="H36" i="20" s="1"/>
  <c r="F39" i="12"/>
  <c r="H37" i="20" s="1"/>
  <c r="F40" i="12"/>
  <c r="H38" i="20" s="1"/>
  <c r="F41" i="12"/>
  <c r="H39" i="20" s="1"/>
  <c r="F42" i="12"/>
  <c r="H40" i="20" s="1"/>
  <c r="F43" i="12"/>
  <c r="H41" i="20" s="1"/>
  <c r="F44" i="12"/>
  <c r="H42" i="20" s="1"/>
  <c r="F45" i="12"/>
  <c r="H43" i="20" s="1"/>
  <c r="F46" i="12"/>
  <c r="H44" i="20" s="1"/>
  <c r="F47" i="12"/>
  <c r="H45" i="20" s="1"/>
  <c r="F48" i="12"/>
  <c r="H46" i="20" s="1"/>
  <c r="F49" i="12"/>
  <c r="H47" i="20" s="1"/>
  <c r="F50" i="12"/>
  <c r="H48" i="20" s="1"/>
  <c r="F51" i="12"/>
  <c r="H49" i="20" s="1"/>
  <c r="F52" i="12"/>
  <c r="H50" i="20" s="1"/>
  <c r="F53" i="12"/>
  <c r="H51" i="20" s="1"/>
  <c r="F54" i="12"/>
  <c r="H52" i="20" s="1"/>
  <c r="F55" i="12"/>
  <c r="H53" i="20" s="1"/>
  <c r="F56" i="12"/>
  <c r="H54" i="20" s="1"/>
  <c r="F57" i="12"/>
  <c r="H55" i="20" s="1"/>
  <c r="F58" i="12"/>
  <c r="H56" i="20" s="1"/>
  <c r="F59" i="12"/>
  <c r="H57" i="20" s="1"/>
  <c r="F60" i="12"/>
  <c r="H58" i="20" s="1"/>
  <c r="F61" i="12"/>
  <c r="H59" i="20" s="1"/>
  <c r="F62" i="12"/>
  <c r="H60" i="20" s="1"/>
  <c r="F63" i="12"/>
  <c r="H61" i="20" s="1"/>
  <c r="F64" i="12"/>
  <c r="H62" i="20" s="1"/>
  <c r="F65" i="12"/>
  <c r="H63" i="20" s="1"/>
  <c r="F66" i="12"/>
  <c r="H64" i="20" s="1"/>
  <c r="F67" i="12"/>
  <c r="H65" i="20" s="1"/>
  <c r="F68" i="12"/>
  <c r="H66" i="20" s="1"/>
  <c r="F69" i="12"/>
  <c r="H67" i="20" s="1"/>
  <c r="F70" i="12"/>
  <c r="H68" i="20" s="1"/>
  <c r="F71" i="12"/>
  <c r="H69" i="20" s="1"/>
  <c r="F72" i="12"/>
  <c r="H70" i="20" s="1"/>
  <c r="F73" i="12"/>
  <c r="H71" i="20" s="1"/>
  <c r="F74" i="12"/>
  <c r="H72" i="20" s="1"/>
  <c r="F75" i="12"/>
  <c r="H73" i="20" s="1"/>
  <c r="F76" i="12"/>
  <c r="H74" i="20" s="1"/>
  <c r="F77" i="12"/>
  <c r="H75" i="20" s="1"/>
  <c r="F78" i="12"/>
  <c r="H76" i="20" s="1"/>
  <c r="F79" i="12"/>
  <c r="H77" i="20" s="1"/>
  <c r="F80" i="12"/>
  <c r="H78" i="20" s="1"/>
  <c r="F81" i="12"/>
  <c r="H79" i="20" s="1"/>
  <c r="F82" i="12"/>
  <c r="H80" i="20" s="1"/>
  <c r="F83" i="12"/>
  <c r="H81" i="20" s="1"/>
  <c r="F84" i="12"/>
  <c r="H82" i="20" s="1"/>
  <c r="F85" i="12"/>
  <c r="H83" i="20" s="1"/>
  <c r="F86" i="12"/>
  <c r="H84" i="20" s="1"/>
  <c r="F87" i="12"/>
  <c r="H85" i="20" s="1"/>
  <c r="F88" i="12"/>
  <c r="H86" i="20" s="1"/>
  <c r="F89" i="12"/>
  <c r="H87" i="20" s="1"/>
  <c r="F90" i="12"/>
  <c r="H88" i="20" s="1"/>
  <c r="F91" i="12"/>
  <c r="H89" i="20" s="1"/>
  <c r="F92" i="12"/>
  <c r="H90" i="20" s="1"/>
  <c r="F93" i="12"/>
  <c r="H91" i="20" s="1"/>
  <c r="F94" i="12"/>
  <c r="H92" i="20" s="1"/>
  <c r="F95" i="12"/>
  <c r="H93" i="20" s="1"/>
  <c r="F96" i="12"/>
  <c r="H94" i="20" s="1"/>
  <c r="F97" i="12"/>
  <c r="H95" i="20" s="1"/>
  <c r="F98" i="12"/>
  <c r="H96" i="20" s="1"/>
  <c r="F99" i="12"/>
  <c r="H97" i="20" s="1"/>
  <c r="F100" i="12"/>
  <c r="H98" i="20" s="1"/>
  <c r="F101" i="12"/>
  <c r="H99" i="20" s="1"/>
  <c r="F102" i="12"/>
  <c r="H100" i="20" s="1"/>
  <c r="F103" i="12"/>
  <c r="H101" i="20" s="1"/>
  <c r="F104" i="12"/>
  <c r="H102" i="20" s="1"/>
  <c r="F105" i="12"/>
  <c r="H103" i="20" s="1"/>
  <c r="F106" i="12"/>
  <c r="H104" i="20" s="1"/>
  <c r="F107" i="12"/>
  <c r="H105" i="20" s="1"/>
  <c r="F108" i="12"/>
  <c r="H106" i="20" s="1"/>
  <c r="F109" i="12"/>
  <c r="H107" i="20" s="1"/>
  <c r="F110" i="12"/>
  <c r="H108" i="20" s="1"/>
  <c r="F111" i="12"/>
  <c r="H109" i="20" s="1"/>
  <c r="F112" i="12"/>
  <c r="H110" i="20" s="1"/>
  <c r="F113" i="12"/>
  <c r="H111" i="20" s="1"/>
  <c r="F114" i="12"/>
  <c r="H112" i="20" s="1"/>
  <c r="F115" i="12"/>
  <c r="H113" i="20" s="1"/>
  <c r="F116" i="12"/>
  <c r="H114" i="20" s="1"/>
  <c r="F117" i="12"/>
  <c r="H115" i="20" s="1"/>
  <c r="F118" i="12"/>
  <c r="H116" i="20" s="1"/>
  <c r="F119" i="12"/>
  <c r="H117" i="20" s="1"/>
  <c r="F120" i="12"/>
  <c r="H118" i="20" s="1"/>
  <c r="F121" i="12"/>
  <c r="H119" i="20" s="1"/>
  <c r="F122" i="12"/>
  <c r="H120" i="20" s="1"/>
  <c r="F123" i="12"/>
  <c r="H121" i="20" s="1"/>
  <c r="F124" i="12"/>
  <c r="H122" i="20" s="1"/>
  <c r="F125" i="12"/>
  <c r="H123" i="20" s="1"/>
  <c r="F126" i="12"/>
  <c r="H124" i="20" s="1"/>
  <c r="F127" i="12"/>
  <c r="H125" i="20" s="1"/>
  <c r="F128" i="12"/>
  <c r="H126" i="20" s="1"/>
  <c r="F129" i="12"/>
  <c r="H127" i="20" s="1"/>
  <c r="F130" i="12"/>
  <c r="H128" i="20" s="1"/>
  <c r="F131" i="12"/>
  <c r="H129" i="20" s="1"/>
  <c r="F132" i="12"/>
  <c r="H130" i="20" s="1"/>
  <c r="F133" i="12"/>
  <c r="H131" i="20" s="1"/>
  <c r="F134" i="12"/>
  <c r="H132" i="20" s="1"/>
  <c r="F135" i="12"/>
  <c r="H133" i="20" s="1"/>
  <c r="F136" i="12"/>
  <c r="H134" i="20" s="1"/>
  <c r="F137" i="12"/>
  <c r="H135" i="20" s="1"/>
  <c r="F138" i="12"/>
  <c r="H136" i="20" s="1"/>
  <c r="F139" i="12"/>
  <c r="H137" i="20" s="1"/>
  <c r="F140" i="12"/>
  <c r="H138" i="20" s="1"/>
  <c r="F141" i="12"/>
  <c r="H139" i="20" s="1"/>
  <c r="F142" i="12"/>
  <c r="H140" i="20" s="1"/>
  <c r="F143" i="12"/>
  <c r="H141" i="20" s="1"/>
  <c r="F144" i="12"/>
  <c r="H142" i="20" s="1"/>
  <c r="F145" i="12"/>
  <c r="H143" i="20" s="1"/>
  <c r="F146" i="12"/>
  <c r="H144" i="20" s="1"/>
  <c r="F147" i="12"/>
  <c r="H145" i="20" s="1"/>
  <c r="F148" i="12"/>
  <c r="H146" i="20" s="1"/>
  <c r="F149" i="12"/>
  <c r="H147" i="20" s="1"/>
  <c r="F150" i="12"/>
  <c r="H148" i="20" s="1"/>
  <c r="F151" i="12"/>
  <c r="H149" i="20" s="1"/>
  <c r="F152" i="12"/>
  <c r="H150" i="20" s="1"/>
  <c r="F153" i="12"/>
  <c r="H151" i="20" s="1"/>
  <c r="F154" i="12"/>
  <c r="H152" i="20" s="1"/>
  <c r="F155" i="12"/>
  <c r="H153" i="20" s="1"/>
  <c r="F156" i="12"/>
  <c r="H154" i="20" s="1"/>
  <c r="F157" i="12"/>
  <c r="H155" i="20" s="1"/>
  <c r="F158" i="12"/>
  <c r="H156" i="20" s="1"/>
  <c r="F159" i="12"/>
  <c r="H157" i="20" s="1"/>
  <c r="F160" i="12"/>
  <c r="H158" i="20" s="1"/>
  <c r="F161" i="12"/>
  <c r="H159" i="20" s="1"/>
  <c r="F162" i="12"/>
  <c r="H160" i="20" s="1"/>
  <c r="F163" i="12"/>
  <c r="H161" i="20" s="1"/>
  <c r="F164" i="12"/>
  <c r="H162" i="20" s="1"/>
  <c r="F165" i="12"/>
  <c r="H163" i="20" s="1"/>
  <c r="F166" i="12"/>
  <c r="H164" i="20" s="1"/>
  <c r="F167" i="12"/>
  <c r="H165" i="20" s="1"/>
  <c r="F168" i="12"/>
  <c r="H166" i="20" s="1"/>
  <c r="F169" i="12"/>
  <c r="H167" i="20" s="1"/>
  <c r="F170" i="12"/>
  <c r="H168" i="20" s="1"/>
  <c r="F171" i="12"/>
  <c r="H169" i="20" s="1"/>
  <c r="F172" i="12"/>
  <c r="H170" i="20" s="1"/>
  <c r="F173" i="12"/>
  <c r="H171" i="20" s="1"/>
  <c r="F174" i="12"/>
  <c r="H172" i="20" s="1"/>
  <c r="F175" i="12"/>
  <c r="H173" i="20" s="1"/>
  <c r="F176" i="12"/>
  <c r="H174" i="20" s="1"/>
  <c r="F177" i="12"/>
  <c r="H175" i="20" s="1"/>
  <c r="F178" i="12"/>
  <c r="H176" i="20" s="1"/>
  <c r="F179" i="12"/>
  <c r="H177" i="20" s="1"/>
  <c r="F180" i="12"/>
  <c r="H178" i="20" s="1"/>
  <c r="F181" i="12"/>
  <c r="H179" i="20" s="1"/>
  <c r="F182" i="12"/>
  <c r="H180" i="20" s="1"/>
  <c r="F183" i="12"/>
  <c r="H181" i="20" s="1"/>
  <c r="F184" i="12"/>
  <c r="H182" i="20" s="1"/>
  <c r="F185" i="12"/>
  <c r="H183" i="20" s="1"/>
  <c r="F186" i="12"/>
  <c r="H184" i="20" s="1"/>
  <c r="F187" i="12"/>
  <c r="H185" i="20" s="1"/>
  <c r="F188" i="12"/>
  <c r="H186" i="20" s="1"/>
  <c r="F189" i="12"/>
  <c r="H187" i="20" s="1"/>
  <c r="F190" i="12"/>
  <c r="H188" i="20" s="1"/>
  <c r="F191" i="12"/>
  <c r="H189" i="20" s="1"/>
  <c r="F192" i="12"/>
  <c r="H190" i="20" s="1"/>
  <c r="F193" i="12"/>
  <c r="H191" i="20" s="1"/>
  <c r="F194" i="12"/>
  <c r="H192" i="20" s="1"/>
  <c r="F195" i="12"/>
  <c r="H193" i="20" s="1"/>
  <c r="F196" i="12"/>
  <c r="H194" i="20" s="1"/>
  <c r="F197" i="12"/>
  <c r="H195" i="20" s="1"/>
  <c r="F198" i="12"/>
  <c r="H196" i="20" s="1"/>
  <c r="F199" i="12"/>
  <c r="H197" i="20" s="1"/>
  <c r="F200" i="12"/>
  <c r="H198" i="20" s="1"/>
  <c r="F201" i="12"/>
  <c r="H199" i="20" s="1"/>
  <c r="F202" i="12"/>
  <c r="H200" i="20" s="1"/>
  <c r="F203" i="12"/>
  <c r="H201" i="20" s="1"/>
  <c r="F204" i="12"/>
  <c r="H202" i="20" s="1"/>
  <c r="F205" i="12"/>
  <c r="H203" i="20" s="1"/>
  <c r="F206" i="12"/>
  <c r="H204" i="20" s="1"/>
  <c r="F207" i="12"/>
  <c r="H205" i="20" s="1"/>
  <c r="F208" i="12"/>
  <c r="H206" i="20" s="1"/>
  <c r="F209" i="12"/>
  <c r="H207" i="20" s="1"/>
  <c r="F210" i="12"/>
  <c r="H208" i="20" s="1"/>
  <c r="F211" i="12"/>
  <c r="H209" i="20" s="1"/>
  <c r="F212" i="12"/>
  <c r="H210" i="20" s="1"/>
  <c r="F213" i="12"/>
  <c r="H211" i="20" s="1"/>
  <c r="F214" i="12"/>
  <c r="H212" i="20" s="1"/>
  <c r="F215" i="12"/>
  <c r="H213" i="20" s="1"/>
  <c r="F216" i="12"/>
  <c r="H214" i="20" s="1"/>
  <c r="F217" i="12"/>
  <c r="H215" i="20" s="1"/>
  <c r="F218" i="12"/>
  <c r="H216" i="20" s="1"/>
  <c r="F219" i="12"/>
  <c r="H217" i="20" s="1"/>
  <c r="F220" i="12"/>
  <c r="H218" i="20" s="1"/>
  <c r="F221" i="12"/>
  <c r="H219" i="20" s="1"/>
  <c r="F222" i="12"/>
  <c r="H220" i="20" s="1"/>
  <c r="F223" i="12"/>
  <c r="H221" i="20" s="1"/>
  <c r="F224" i="12"/>
  <c r="H222" i="20" s="1"/>
  <c r="F225" i="12"/>
  <c r="H223" i="20" s="1"/>
  <c r="F226" i="12"/>
  <c r="H224" i="20" s="1"/>
  <c r="F227" i="12"/>
  <c r="H225" i="20" s="1"/>
  <c r="F228" i="12"/>
  <c r="H226" i="20" s="1"/>
  <c r="F229" i="12"/>
  <c r="H227" i="20" s="1"/>
  <c r="F230" i="12"/>
  <c r="H228" i="20" s="1"/>
  <c r="F231" i="12"/>
  <c r="H229" i="20" s="1"/>
  <c r="F232" i="12"/>
  <c r="H230" i="20" s="1"/>
  <c r="F233" i="12"/>
  <c r="H231" i="20" s="1"/>
  <c r="F234" i="12"/>
  <c r="H232" i="20" s="1"/>
  <c r="F235" i="12"/>
  <c r="H233" i="20" s="1"/>
  <c r="F236" i="12"/>
  <c r="H234" i="20" s="1"/>
  <c r="F237" i="12"/>
  <c r="H235" i="20" s="1"/>
  <c r="F238" i="12"/>
  <c r="H236" i="20" s="1"/>
  <c r="F239" i="12"/>
  <c r="H237" i="20" s="1"/>
  <c r="F240" i="12"/>
  <c r="H238" i="20" s="1"/>
  <c r="F241" i="12"/>
  <c r="H239" i="20" s="1"/>
  <c r="F242" i="12"/>
  <c r="H240" i="20" s="1"/>
  <c r="F243" i="12"/>
  <c r="H241" i="20" s="1"/>
  <c r="F244" i="12"/>
  <c r="H242" i="20" s="1"/>
  <c r="F245" i="12"/>
  <c r="H243" i="20" s="1"/>
  <c r="F246" i="12"/>
  <c r="H244" i="20" s="1"/>
  <c r="F247" i="12"/>
  <c r="H245" i="20" s="1"/>
  <c r="F248" i="12"/>
  <c r="H246" i="20" s="1"/>
  <c r="F249" i="12"/>
  <c r="H247" i="20" s="1"/>
  <c r="F250" i="12"/>
  <c r="H248" i="20" s="1"/>
  <c r="F251" i="12"/>
  <c r="H249" i="20" s="1"/>
  <c r="F252" i="12"/>
  <c r="H250" i="20" s="1"/>
  <c r="F253" i="12"/>
  <c r="H251" i="20" s="1"/>
  <c r="F254" i="12"/>
  <c r="H252" i="20" s="1"/>
  <c r="F255" i="12"/>
  <c r="H253" i="20" s="1"/>
  <c r="F256" i="12"/>
  <c r="H254" i="20" s="1"/>
  <c r="F257" i="12"/>
  <c r="H255" i="20" s="1"/>
  <c r="F258" i="12"/>
  <c r="H256" i="20" s="1"/>
  <c r="F259" i="12"/>
  <c r="H257" i="20" s="1"/>
  <c r="F260" i="12"/>
  <c r="H258" i="20" s="1"/>
  <c r="F261" i="12"/>
  <c r="H259" i="20" s="1"/>
  <c r="F262" i="12"/>
  <c r="H260" i="20" s="1"/>
  <c r="F263" i="12"/>
  <c r="H261" i="20" s="1"/>
  <c r="F264" i="12"/>
  <c r="H262" i="20" s="1"/>
  <c r="F265" i="12"/>
  <c r="H263" i="20" s="1"/>
  <c r="F266" i="12"/>
  <c r="H264" i="20" s="1"/>
  <c r="F267" i="12"/>
  <c r="H265" i="20" s="1"/>
  <c r="F268" i="12"/>
  <c r="H266" i="20" s="1"/>
  <c r="F269" i="12"/>
  <c r="H267" i="20" s="1"/>
  <c r="F270" i="12"/>
  <c r="H268" i="20" s="1"/>
  <c r="F271" i="12"/>
  <c r="H269" i="20" s="1"/>
  <c r="F272" i="12"/>
  <c r="H270" i="20" s="1"/>
  <c r="F273" i="12"/>
  <c r="H271" i="20" s="1"/>
  <c r="F274" i="12"/>
  <c r="H272" i="20" s="1"/>
  <c r="F275" i="12"/>
  <c r="H273" i="20" s="1"/>
  <c r="F276" i="12"/>
  <c r="H274" i="20" s="1"/>
  <c r="F277" i="12"/>
  <c r="H275" i="20" s="1"/>
  <c r="F278" i="12"/>
  <c r="H276" i="20" s="1"/>
  <c r="F279" i="12"/>
  <c r="H277" i="20" s="1"/>
  <c r="F280" i="12"/>
  <c r="H278" i="20" s="1"/>
  <c r="F281" i="12"/>
  <c r="H279" i="20" s="1"/>
  <c r="F282" i="12"/>
  <c r="H280" i="20" s="1"/>
  <c r="F283" i="12"/>
  <c r="H281" i="20" s="1"/>
  <c r="F284" i="12"/>
  <c r="H282" i="20" s="1"/>
  <c r="F285" i="12"/>
  <c r="H283" i="20" s="1"/>
  <c r="F286" i="12"/>
  <c r="H284" i="20" s="1"/>
  <c r="F287" i="12"/>
  <c r="H285" i="20" s="1"/>
  <c r="F288" i="12"/>
  <c r="H286" i="20" s="1"/>
  <c r="F289" i="12"/>
  <c r="H287" i="20" s="1"/>
  <c r="F290" i="12"/>
  <c r="H288" i="20" s="1"/>
  <c r="F291" i="12"/>
  <c r="H289" i="20" s="1"/>
  <c r="F292" i="12"/>
  <c r="H290" i="20" s="1"/>
  <c r="F293" i="12"/>
  <c r="H291" i="20" s="1"/>
  <c r="F294" i="12"/>
  <c r="H292" i="20" s="1"/>
  <c r="F295" i="12"/>
  <c r="H293" i="20" s="1"/>
  <c r="F296" i="12"/>
  <c r="H294" i="20" s="1"/>
  <c r="F297" i="12"/>
  <c r="H295" i="20" s="1"/>
  <c r="F298" i="12"/>
  <c r="H296" i="20" s="1"/>
  <c r="F299" i="12"/>
  <c r="H297" i="20" s="1"/>
  <c r="F300" i="12"/>
  <c r="H298" i="20" s="1"/>
  <c r="F301" i="12"/>
  <c r="H299" i="20" s="1"/>
  <c r="F302" i="12"/>
  <c r="H300" i="20" s="1"/>
  <c r="F303" i="12"/>
  <c r="H301" i="20" s="1"/>
  <c r="F304" i="12"/>
  <c r="H302" i="20" s="1"/>
  <c r="F305" i="12"/>
  <c r="H303" i="20" s="1"/>
  <c r="F306" i="12"/>
  <c r="H304" i="20" s="1"/>
  <c r="F307" i="12"/>
  <c r="H305" i="20" s="1"/>
  <c r="F308" i="12"/>
  <c r="H306" i="20" s="1"/>
  <c r="F309" i="12"/>
  <c r="H307" i="20" s="1"/>
  <c r="F310" i="12"/>
  <c r="H308" i="20" s="1"/>
  <c r="F311" i="12"/>
  <c r="H309" i="20" s="1"/>
  <c r="F312" i="12"/>
  <c r="H310" i="20" s="1"/>
  <c r="F313" i="12"/>
  <c r="H311" i="20" s="1"/>
  <c r="F314" i="12"/>
  <c r="H312" i="20" s="1"/>
  <c r="F315" i="12"/>
  <c r="H313" i="20" s="1"/>
  <c r="F316" i="12"/>
  <c r="H314" i="20" s="1"/>
  <c r="F317" i="12"/>
  <c r="H315" i="20" s="1"/>
  <c r="F318" i="12"/>
  <c r="H316" i="20" s="1"/>
  <c r="F319" i="12"/>
  <c r="H317" i="20" s="1"/>
  <c r="F320" i="12"/>
  <c r="H318" i="20" s="1"/>
  <c r="F321" i="12"/>
  <c r="H319" i="20" s="1"/>
  <c r="F322" i="12"/>
  <c r="H320" i="20" s="1"/>
  <c r="F323" i="12"/>
  <c r="H321" i="20" s="1"/>
  <c r="F324" i="12"/>
  <c r="H322" i="20" s="1"/>
  <c r="F325" i="12"/>
  <c r="H323" i="20" s="1"/>
  <c r="F326" i="12"/>
  <c r="H324" i="20" s="1"/>
  <c r="F327" i="12"/>
  <c r="H325" i="20" s="1"/>
  <c r="F328" i="12"/>
  <c r="H326" i="20" s="1"/>
  <c r="F329" i="12"/>
  <c r="H327" i="20" s="1"/>
  <c r="F330" i="12"/>
  <c r="H328" i="20" s="1"/>
  <c r="F331" i="12"/>
  <c r="H329" i="20" s="1"/>
  <c r="F332" i="12"/>
  <c r="H330" i="20" s="1"/>
  <c r="F333" i="12"/>
  <c r="H331" i="20" s="1"/>
  <c r="F334" i="12"/>
  <c r="H332" i="20" s="1"/>
  <c r="F335" i="12"/>
  <c r="H333" i="20" s="1"/>
  <c r="F336" i="12"/>
  <c r="H334" i="20" s="1"/>
  <c r="F337" i="12"/>
  <c r="H335" i="20" s="1"/>
  <c r="F338" i="12"/>
  <c r="H336" i="20" s="1"/>
  <c r="F339" i="12"/>
  <c r="H337" i="20" s="1"/>
  <c r="F340" i="12"/>
  <c r="H338" i="20" s="1"/>
  <c r="F341" i="12"/>
  <c r="H339" i="20" s="1"/>
  <c r="F342" i="12"/>
  <c r="H340" i="20" s="1"/>
  <c r="F343" i="12"/>
  <c r="H341" i="20" s="1"/>
  <c r="F344" i="12"/>
  <c r="H342" i="20" s="1"/>
  <c r="F345" i="12"/>
  <c r="H343" i="20" s="1"/>
  <c r="F346" i="12"/>
  <c r="H344" i="20" s="1"/>
  <c r="F347" i="12"/>
  <c r="H345" i="20" s="1"/>
  <c r="F348" i="12"/>
  <c r="H346" i="20" s="1"/>
  <c r="F349" i="12"/>
  <c r="H347" i="20" s="1"/>
  <c r="F350" i="12"/>
  <c r="H348" i="20" s="1"/>
  <c r="F351" i="12"/>
  <c r="H349" i="20" s="1"/>
  <c r="F352" i="12"/>
  <c r="H350" i="20" s="1"/>
  <c r="F353" i="12"/>
  <c r="H351" i="20" s="1"/>
  <c r="F354" i="12"/>
  <c r="H352" i="20" s="1"/>
  <c r="F355" i="12"/>
  <c r="H353" i="20" s="1"/>
  <c r="F356" i="12"/>
  <c r="H354" i="20" s="1"/>
  <c r="F357" i="12"/>
  <c r="H355" i="20" s="1"/>
  <c r="F358" i="12"/>
  <c r="H356" i="20" s="1"/>
  <c r="F359" i="12"/>
  <c r="H357" i="20" s="1"/>
  <c r="F360" i="12"/>
  <c r="H358" i="20" s="1"/>
  <c r="F361" i="12"/>
  <c r="H359" i="20" s="1"/>
  <c r="F362" i="12"/>
  <c r="H360" i="20" s="1"/>
  <c r="F363" i="12"/>
  <c r="H361" i="20" s="1"/>
  <c r="F364" i="12"/>
  <c r="H362" i="20" s="1"/>
  <c r="F365" i="12"/>
  <c r="H363" i="20" s="1"/>
  <c r="F366" i="12"/>
  <c r="H364" i="20" s="1"/>
  <c r="F367" i="12"/>
  <c r="H365" i="20" s="1"/>
  <c r="F368" i="12"/>
  <c r="H366" i="20" s="1"/>
  <c r="F369" i="12"/>
  <c r="H367" i="20" s="1"/>
  <c r="F370" i="12"/>
  <c r="H368" i="20" s="1"/>
  <c r="F371" i="12"/>
  <c r="H369" i="20" s="1"/>
  <c r="F372" i="12"/>
  <c r="H370" i="20" s="1"/>
  <c r="F373" i="12"/>
  <c r="H371" i="20" s="1"/>
  <c r="F374" i="12"/>
  <c r="H372" i="20" s="1"/>
  <c r="F375" i="12"/>
  <c r="H373" i="20" s="1"/>
  <c r="F376" i="12"/>
  <c r="H374" i="20" s="1"/>
  <c r="F377" i="12"/>
  <c r="H375" i="20" s="1"/>
  <c r="F378" i="12"/>
  <c r="H376" i="20" s="1"/>
  <c r="F379" i="12"/>
  <c r="H377" i="20" s="1"/>
  <c r="F380" i="12"/>
  <c r="H378" i="20" s="1"/>
  <c r="F381" i="12"/>
  <c r="H379" i="20" s="1"/>
  <c r="F382" i="12"/>
  <c r="H380" i="20" s="1"/>
  <c r="F383" i="12"/>
  <c r="H381" i="20" s="1"/>
  <c r="F384" i="12"/>
  <c r="H382" i="20" s="1"/>
  <c r="F385" i="12"/>
  <c r="H383" i="20" s="1"/>
  <c r="F386" i="12"/>
  <c r="H384" i="20" s="1"/>
  <c r="F387" i="12"/>
  <c r="H385" i="20" s="1"/>
  <c r="F388" i="12"/>
  <c r="H386" i="20" s="1"/>
  <c r="F389" i="12"/>
  <c r="H387" i="20" s="1"/>
  <c r="F390" i="12"/>
  <c r="H388" i="20" s="1"/>
  <c r="F391" i="12"/>
  <c r="H389" i="20" s="1"/>
  <c r="F392" i="12"/>
  <c r="H390" i="20" s="1"/>
  <c r="F393" i="12"/>
  <c r="H391" i="20" s="1"/>
  <c r="F394" i="12"/>
  <c r="H392" i="20" s="1"/>
  <c r="F395" i="12"/>
  <c r="H393" i="20" s="1"/>
  <c r="F396" i="12"/>
  <c r="H394" i="20" s="1"/>
  <c r="F397" i="12"/>
  <c r="H395" i="20" s="1"/>
  <c r="F398" i="12"/>
  <c r="H396" i="20" s="1"/>
  <c r="F399" i="12"/>
  <c r="H397" i="20" s="1"/>
  <c r="F400" i="12"/>
  <c r="H398" i="20" s="1"/>
  <c r="F401" i="12"/>
  <c r="H399" i="20" s="1"/>
  <c r="F402" i="12"/>
  <c r="H400" i="20" s="1"/>
  <c r="F403" i="12"/>
  <c r="H401" i="20" s="1"/>
  <c r="F404" i="12"/>
  <c r="H402" i="20" s="1"/>
  <c r="F405" i="12"/>
  <c r="H403" i="20" s="1"/>
  <c r="F406" i="12"/>
  <c r="H404" i="20" s="1"/>
  <c r="F407" i="12"/>
  <c r="H405" i="20" s="1"/>
  <c r="F408" i="12"/>
  <c r="H406" i="20" s="1"/>
  <c r="F409" i="12"/>
  <c r="H407" i="20" s="1"/>
  <c r="F410" i="12"/>
  <c r="H408" i="20" s="1"/>
  <c r="F411" i="12"/>
  <c r="H409" i="20" s="1"/>
  <c r="F412" i="12"/>
  <c r="H410" i="20" s="1"/>
  <c r="F413" i="12"/>
  <c r="H411" i="20" s="1"/>
  <c r="F414" i="12"/>
  <c r="H412" i="20" s="1"/>
  <c r="F415" i="12"/>
  <c r="H413" i="20" s="1"/>
  <c r="F416" i="12"/>
  <c r="H414" i="20" s="1"/>
  <c r="F417" i="12"/>
  <c r="H415" i="20" s="1"/>
  <c r="F418" i="12"/>
  <c r="H416" i="20" s="1"/>
  <c r="F419" i="12"/>
  <c r="H417" i="20" s="1"/>
  <c r="F420" i="12"/>
  <c r="H418" i="20" s="1"/>
  <c r="F421" i="12"/>
  <c r="H419" i="20" s="1"/>
  <c r="F422" i="12"/>
  <c r="H420" i="20" s="1"/>
  <c r="F423" i="12"/>
  <c r="H421" i="20" s="1"/>
  <c r="F424" i="12"/>
  <c r="H422" i="20" s="1"/>
  <c r="F425" i="12"/>
  <c r="H423" i="20" s="1"/>
  <c r="F426" i="12"/>
  <c r="H424" i="20" s="1"/>
  <c r="F427" i="12"/>
  <c r="H425" i="20" s="1"/>
  <c r="F428" i="12"/>
  <c r="H426" i="20" s="1"/>
  <c r="F429" i="12"/>
  <c r="H427" i="20" s="1"/>
  <c r="F430" i="12"/>
  <c r="H428" i="20" s="1"/>
  <c r="F431" i="12"/>
  <c r="H429" i="20" s="1"/>
  <c r="F432" i="12"/>
  <c r="H430" i="20" s="1"/>
  <c r="F433" i="12"/>
  <c r="H431" i="20" s="1"/>
  <c r="F434" i="12"/>
  <c r="H432" i="20" s="1"/>
  <c r="F435" i="12"/>
  <c r="H433" i="20" s="1"/>
  <c r="F436" i="12"/>
  <c r="H434" i="20" s="1"/>
  <c r="F437" i="12"/>
  <c r="H435" i="20" s="1"/>
  <c r="F438" i="12"/>
  <c r="H436" i="20" s="1"/>
  <c r="F439" i="12"/>
  <c r="H437" i="20" s="1"/>
  <c r="F440" i="12"/>
  <c r="H438" i="20" s="1"/>
  <c r="F441" i="12"/>
  <c r="H439" i="20" s="1"/>
  <c r="F442" i="12"/>
  <c r="H440" i="20" s="1"/>
  <c r="F443" i="12"/>
  <c r="H441" i="20" s="1"/>
  <c r="F444" i="12"/>
  <c r="H442" i="20" s="1"/>
  <c r="F445" i="12"/>
  <c r="H443" i="20" s="1"/>
  <c r="F446" i="12"/>
  <c r="H444" i="20" s="1"/>
  <c r="F447" i="12"/>
  <c r="H445" i="20" s="1"/>
  <c r="F448" i="12"/>
  <c r="H446" i="20" s="1"/>
  <c r="F449" i="12"/>
  <c r="H447" i="20" s="1"/>
  <c r="F450" i="12"/>
  <c r="H448" i="20" s="1"/>
  <c r="F451" i="12"/>
  <c r="H449" i="20" s="1"/>
  <c r="F452" i="12"/>
  <c r="H450" i="20" s="1"/>
  <c r="F453" i="12"/>
  <c r="H451" i="20" s="1"/>
  <c r="F454" i="12"/>
  <c r="H452" i="20" s="1"/>
  <c r="F455" i="12"/>
  <c r="H453" i="20" s="1"/>
  <c r="F456" i="12"/>
  <c r="H454" i="20" s="1"/>
  <c r="F457" i="12"/>
  <c r="H455" i="20" s="1"/>
  <c r="F458" i="12"/>
  <c r="H456" i="20" s="1"/>
  <c r="F459" i="12"/>
  <c r="H457" i="20" s="1"/>
  <c r="F460" i="12"/>
  <c r="H458" i="20" s="1"/>
  <c r="F461" i="12"/>
  <c r="H459" i="20" s="1"/>
  <c r="F462" i="12"/>
  <c r="H460" i="20" s="1"/>
  <c r="F463" i="12"/>
  <c r="H461" i="20" s="1"/>
  <c r="F464" i="12"/>
  <c r="H462" i="20" s="1"/>
  <c r="F465" i="12"/>
  <c r="H463" i="20" s="1"/>
  <c r="F466" i="12"/>
  <c r="H464" i="20" s="1"/>
  <c r="F467" i="12"/>
  <c r="H465" i="20" s="1"/>
  <c r="F468" i="12"/>
  <c r="H466" i="20" s="1"/>
  <c r="F469" i="12"/>
  <c r="H467" i="20" s="1"/>
  <c r="F470" i="12"/>
  <c r="H468" i="20" s="1"/>
  <c r="F471" i="12"/>
  <c r="H469" i="20" s="1"/>
  <c r="F472" i="12"/>
  <c r="H470" i="20" s="1"/>
  <c r="F473" i="12"/>
  <c r="H471" i="20" s="1"/>
  <c r="F474" i="12"/>
  <c r="H472" i="20" s="1"/>
  <c r="F475" i="12"/>
  <c r="H473" i="20" s="1"/>
  <c r="F476" i="12"/>
  <c r="H474" i="20" s="1"/>
  <c r="F477" i="12"/>
  <c r="H475" i="20" s="1"/>
  <c r="F478" i="12"/>
  <c r="H476" i="20" s="1"/>
  <c r="F479" i="12"/>
  <c r="H477" i="20" s="1"/>
  <c r="F480" i="12"/>
  <c r="H478" i="20" s="1"/>
  <c r="F481" i="12"/>
  <c r="H479" i="20" s="1"/>
  <c r="F482" i="12"/>
  <c r="H480" i="20" s="1"/>
  <c r="F483" i="12"/>
  <c r="H481" i="20" s="1"/>
  <c r="F484" i="12"/>
  <c r="H482" i="20" s="1"/>
  <c r="F485" i="12"/>
  <c r="H483" i="20" s="1"/>
  <c r="F486" i="12"/>
  <c r="H484" i="20" s="1"/>
  <c r="F487" i="12"/>
  <c r="H485" i="20" s="1"/>
  <c r="F488" i="12"/>
  <c r="H486" i="20" s="1"/>
  <c r="F489" i="12"/>
  <c r="H487" i="20" s="1"/>
  <c r="F490" i="12"/>
  <c r="H488" i="20" s="1"/>
  <c r="F491" i="12"/>
  <c r="H489" i="20" s="1"/>
  <c r="F492" i="12"/>
  <c r="H490" i="20" s="1"/>
  <c r="F493" i="12"/>
  <c r="H491" i="20" s="1"/>
  <c r="F494" i="12"/>
  <c r="H492" i="20" s="1"/>
  <c r="F495" i="12"/>
  <c r="H493" i="20" s="1"/>
  <c r="F496" i="12"/>
  <c r="H494" i="20" s="1"/>
  <c r="F497" i="12"/>
  <c r="H495" i="20" s="1"/>
  <c r="F498" i="12"/>
  <c r="H496" i="20" s="1"/>
  <c r="F499" i="12"/>
  <c r="H497" i="20" s="1"/>
  <c r="F500" i="12"/>
  <c r="H498" i="20" s="1"/>
  <c r="F501" i="12"/>
  <c r="H499" i="20" s="1"/>
  <c r="F502" i="12"/>
  <c r="H500" i="20" s="1"/>
  <c r="F503" i="12"/>
  <c r="H501" i="20" s="1"/>
  <c r="F504" i="12"/>
  <c r="H502" i="20" s="1"/>
  <c r="F505" i="12"/>
  <c r="H503" i="20" s="1"/>
  <c r="F506" i="12"/>
  <c r="H504" i="20" s="1"/>
  <c r="F507" i="12"/>
  <c r="H505" i="20" s="1"/>
  <c r="F508" i="12"/>
  <c r="H506" i="20" s="1"/>
  <c r="F509" i="12"/>
  <c r="H507" i="20" s="1"/>
  <c r="F510" i="12"/>
  <c r="H508" i="20" s="1"/>
  <c r="F511" i="12"/>
  <c r="H509" i="20" s="1"/>
  <c r="F512" i="12"/>
  <c r="H510" i="20" s="1"/>
  <c r="F513" i="12"/>
  <c r="H511" i="20" s="1"/>
  <c r="F514" i="12"/>
  <c r="H512" i="20" s="1"/>
  <c r="F515" i="12"/>
  <c r="H513" i="20" s="1"/>
  <c r="F516" i="12"/>
  <c r="H514" i="20" s="1"/>
  <c r="F517" i="12"/>
  <c r="H515" i="20" s="1"/>
  <c r="F518" i="12"/>
  <c r="H516" i="20" s="1"/>
  <c r="F519" i="12"/>
  <c r="H517" i="20" s="1"/>
  <c r="F520" i="12"/>
  <c r="H518" i="20" s="1"/>
  <c r="F521" i="12"/>
  <c r="H519" i="20" s="1"/>
  <c r="F522" i="12"/>
  <c r="H520" i="20" s="1"/>
  <c r="F523" i="12"/>
  <c r="H521" i="20" s="1"/>
  <c r="F524" i="12"/>
  <c r="H522" i="20" s="1"/>
  <c r="F525" i="12"/>
  <c r="H523" i="20" s="1"/>
  <c r="F526" i="12"/>
  <c r="H524" i="20" s="1"/>
  <c r="F527" i="12"/>
  <c r="H525" i="20" s="1"/>
  <c r="F528" i="12"/>
  <c r="H526" i="20" s="1"/>
  <c r="F529" i="12"/>
  <c r="H527" i="20" s="1"/>
  <c r="F530" i="12"/>
  <c r="H528" i="20" s="1"/>
  <c r="F531" i="12"/>
  <c r="H529" i="20" s="1"/>
  <c r="F532" i="12"/>
  <c r="H530" i="20" s="1"/>
  <c r="F533" i="12"/>
  <c r="H531" i="20" s="1"/>
  <c r="F534" i="12"/>
  <c r="H532" i="20" s="1"/>
  <c r="F535" i="12"/>
  <c r="H533" i="20" s="1"/>
  <c r="F536" i="12"/>
  <c r="H534" i="20" s="1"/>
  <c r="F537" i="12"/>
  <c r="H535" i="20" s="1"/>
  <c r="F538" i="12"/>
  <c r="H536" i="20" s="1"/>
  <c r="F539" i="12"/>
  <c r="H537" i="20" s="1"/>
  <c r="F540" i="12"/>
  <c r="H538" i="20" s="1"/>
  <c r="F541" i="12"/>
  <c r="H539" i="20" s="1"/>
  <c r="F542" i="12"/>
  <c r="H540" i="20" s="1"/>
  <c r="F543" i="12"/>
  <c r="H541" i="20" s="1"/>
  <c r="F544" i="12"/>
  <c r="H542" i="20" s="1"/>
  <c r="F545" i="12"/>
  <c r="H543" i="20" s="1"/>
  <c r="F546" i="12"/>
  <c r="H544" i="20" s="1"/>
  <c r="F547" i="12"/>
  <c r="H545" i="20" s="1"/>
  <c r="F548" i="12"/>
  <c r="H546" i="20" s="1"/>
  <c r="F549" i="12"/>
  <c r="H547" i="20" s="1"/>
  <c r="F550" i="12"/>
  <c r="H548" i="20" s="1"/>
  <c r="F551" i="12"/>
  <c r="H549" i="20" s="1"/>
  <c r="F552" i="12"/>
  <c r="H550" i="20" s="1"/>
  <c r="F553" i="12"/>
  <c r="H551" i="20" s="1"/>
  <c r="F554" i="12"/>
  <c r="H552" i="20" s="1"/>
  <c r="F555" i="12"/>
  <c r="H553" i="20" s="1"/>
  <c r="F556" i="12"/>
  <c r="H554" i="20" s="1"/>
  <c r="F557" i="12"/>
  <c r="H555" i="20" s="1"/>
  <c r="F558" i="12"/>
  <c r="H556" i="20" s="1"/>
  <c r="F559" i="12"/>
  <c r="H557" i="20" s="1"/>
  <c r="F560" i="12"/>
  <c r="H558" i="20" s="1"/>
  <c r="F561" i="12"/>
  <c r="H559" i="20" s="1"/>
  <c r="F562" i="12"/>
  <c r="H560" i="20" s="1"/>
  <c r="F563" i="12"/>
  <c r="H561" i="20" s="1"/>
  <c r="F564" i="12"/>
  <c r="H562" i="20" s="1"/>
  <c r="F565" i="12"/>
  <c r="H563" i="20" s="1"/>
  <c r="F566" i="12"/>
  <c r="H564" i="20" s="1"/>
  <c r="F567" i="12"/>
  <c r="H565" i="20" s="1"/>
  <c r="F568" i="12"/>
  <c r="H566" i="20" s="1"/>
  <c r="F569" i="12"/>
  <c r="H567" i="20" s="1"/>
  <c r="F570" i="12"/>
  <c r="H568" i="20" s="1"/>
  <c r="F571" i="12"/>
  <c r="H569" i="20" s="1"/>
  <c r="F572" i="12"/>
  <c r="H570" i="20" s="1"/>
  <c r="F573" i="12"/>
  <c r="H571" i="20" s="1"/>
  <c r="F574" i="12"/>
  <c r="H572" i="20" s="1"/>
  <c r="F575" i="12"/>
  <c r="H573" i="20" s="1"/>
  <c r="F576" i="12"/>
  <c r="H574" i="20" s="1"/>
  <c r="F577" i="12"/>
  <c r="H575" i="20" s="1"/>
  <c r="F578" i="12"/>
  <c r="H576" i="20" s="1"/>
  <c r="F579" i="12"/>
  <c r="H577" i="20" s="1"/>
  <c r="F580" i="12"/>
  <c r="H578" i="20" s="1"/>
  <c r="F581" i="12"/>
  <c r="H579" i="20" s="1"/>
  <c r="F582" i="12"/>
  <c r="H580" i="20" s="1"/>
  <c r="F583" i="12"/>
  <c r="H581" i="20" s="1"/>
  <c r="F584" i="12"/>
  <c r="H582" i="20" s="1"/>
  <c r="F585" i="12"/>
  <c r="H583" i="20" s="1"/>
  <c r="F586" i="12"/>
  <c r="H584" i="20" s="1"/>
  <c r="F587" i="12"/>
  <c r="H585" i="20" s="1"/>
  <c r="F588" i="12"/>
  <c r="H586" i="20" s="1"/>
  <c r="F589" i="12"/>
  <c r="H587" i="20" s="1"/>
  <c r="F590" i="12"/>
  <c r="H588" i="20" s="1"/>
  <c r="F591" i="12"/>
  <c r="H589" i="20" s="1"/>
  <c r="F592" i="12"/>
  <c r="H590" i="20" s="1"/>
  <c r="F593" i="12"/>
  <c r="H591" i="20" s="1"/>
  <c r="F594" i="12"/>
  <c r="H592" i="20" s="1"/>
  <c r="F595" i="12"/>
  <c r="H593" i="20" s="1"/>
  <c r="F596" i="12"/>
  <c r="H594" i="20" s="1"/>
  <c r="F597" i="12"/>
  <c r="H595" i="20" s="1"/>
  <c r="F598" i="12"/>
  <c r="H596" i="20" s="1"/>
  <c r="F599" i="12"/>
  <c r="H597" i="20" s="1"/>
  <c r="F600" i="12"/>
  <c r="H598" i="20" s="1"/>
  <c r="F601" i="12"/>
  <c r="H599" i="20" s="1"/>
  <c r="F602" i="12"/>
  <c r="H600" i="20" s="1"/>
  <c r="F603" i="12"/>
  <c r="H601" i="20" s="1"/>
  <c r="F604" i="12"/>
  <c r="H602" i="20" s="1"/>
  <c r="F605" i="12"/>
  <c r="H603" i="20" s="1"/>
  <c r="F606" i="12"/>
  <c r="H604" i="20" s="1"/>
  <c r="F607" i="12"/>
  <c r="H605" i="20" s="1"/>
  <c r="F608" i="12"/>
  <c r="H606" i="20" s="1"/>
  <c r="F609" i="12"/>
  <c r="H607" i="20" s="1"/>
  <c r="F610" i="12"/>
  <c r="H608" i="20" s="1"/>
  <c r="F611" i="12"/>
  <c r="H609" i="20" s="1"/>
  <c r="F612" i="12"/>
  <c r="H610" i="20" s="1"/>
  <c r="F613" i="12"/>
  <c r="H611" i="20" s="1"/>
  <c r="F614" i="12"/>
  <c r="H612" i="20" s="1"/>
  <c r="F615" i="12"/>
  <c r="H613" i="20" s="1"/>
  <c r="F616" i="12"/>
  <c r="H614" i="20" s="1"/>
  <c r="F617" i="12"/>
  <c r="H615" i="20" s="1"/>
  <c r="F618" i="12"/>
  <c r="H616" i="20" s="1"/>
  <c r="F619" i="12"/>
  <c r="H617" i="20" s="1"/>
  <c r="F620" i="12"/>
  <c r="H618" i="20" s="1"/>
  <c r="F621" i="12"/>
  <c r="H619" i="20" s="1"/>
  <c r="F622" i="12"/>
  <c r="H620" i="20" s="1"/>
  <c r="F623" i="12"/>
  <c r="H621" i="20" s="1"/>
  <c r="F624" i="12"/>
  <c r="H622" i="20" s="1"/>
  <c r="F625" i="12"/>
  <c r="H623" i="20" s="1"/>
  <c r="F626" i="12"/>
  <c r="H624" i="20" s="1"/>
  <c r="F627" i="12"/>
  <c r="H625" i="20" s="1"/>
  <c r="F628" i="12"/>
  <c r="H626" i="20" s="1"/>
  <c r="F629" i="12"/>
  <c r="H627" i="20" s="1"/>
  <c r="F630" i="12"/>
  <c r="H628" i="20" s="1"/>
  <c r="F631" i="12"/>
  <c r="H629" i="20" s="1"/>
  <c r="F632" i="12"/>
  <c r="H630" i="20" s="1"/>
  <c r="F633" i="12"/>
  <c r="H631" i="20" s="1"/>
  <c r="F634" i="12"/>
  <c r="H632" i="20" s="1"/>
  <c r="F635" i="12"/>
  <c r="H633" i="20" s="1"/>
  <c r="F636" i="12"/>
  <c r="H634" i="20" s="1"/>
  <c r="F637" i="12"/>
  <c r="H635" i="20" s="1"/>
  <c r="F3" i="12"/>
  <c r="E4"/>
  <c r="E5"/>
  <c r="G3" i="20" s="1"/>
  <c r="E6" i="12"/>
  <c r="G4" i="20" s="1"/>
  <c r="E7" i="12"/>
  <c r="G5" i="20" s="1"/>
  <c r="E8" i="12"/>
  <c r="G6" i="20" s="1"/>
  <c r="E9" i="12"/>
  <c r="G7" i="20" s="1"/>
  <c r="E10" i="12"/>
  <c r="G8" i="20" s="1"/>
  <c r="E11" i="12"/>
  <c r="G9" i="20" s="1"/>
  <c r="E12" i="12"/>
  <c r="G10" i="20" s="1"/>
  <c r="E13" i="12"/>
  <c r="G11" i="20" s="1"/>
  <c r="E14" i="12"/>
  <c r="G12" i="20" s="1"/>
  <c r="E15" i="12"/>
  <c r="G13" i="20" s="1"/>
  <c r="E16" i="12"/>
  <c r="G14" i="20" s="1"/>
  <c r="E17" i="12"/>
  <c r="G15" i="20" s="1"/>
  <c r="E18" i="12"/>
  <c r="G16" i="20" s="1"/>
  <c r="E19" i="12"/>
  <c r="G17" i="20" s="1"/>
  <c r="E20" i="12"/>
  <c r="G18" i="20" s="1"/>
  <c r="E21" i="12"/>
  <c r="G19" i="20" s="1"/>
  <c r="E22" i="12"/>
  <c r="G20" i="20" s="1"/>
  <c r="E23" i="12"/>
  <c r="G21" i="20" s="1"/>
  <c r="E24" i="12"/>
  <c r="G22" i="20" s="1"/>
  <c r="E25" i="12"/>
  <c r="G23" i="20" s="1"/>
  <c r="E26" i="12"/>
  <c r="G24" i="20" s="1"/>
  <c r="E27" i="12"/>
  <c r="G25" i="20" s="1"/>
  <c r="E28" i="12"/>
  <c r="G26" i="20" s="1"/>
  <c r="E29" i="12"/>
  <c r="G27" i="20" s="1"/>
  <c r="E30" i="12"/>
  <c r="G28" i="20" s="1"/>
  <c r="E31" i="12"/>
  <c r="G29" i="20" s="1"/>
  <c r="E32" i="12"/>
  <c r="G30" i="20" s="1"/>
  <c r="E33" i="12"/>
  <c r="G31" i="20" s="1"/>
  <c r="E34" i="12"/>
  <c r="G32" i="20" s="1"/>
  <c r="E35" i="12"/>
  <c r="G33" i="20" s="1"/>
  <c r="E36" i="12"/>
  <c r="G34" i="20" s="1"/>
  <c r="E37" i="12"/>
  <c r="G35" i="20" s="1"/>
  <c r="E38" i="12"/>
  <c r="G36" i="20" s="1"/>
  <c r="E39" i="12"/>
  <c r="G37" i="20" s="1"/>
  <c r="E40" i="12"/>
  <c r="G38" i="20" s="1"/>
  <c r="E41" i="12"/>
  <c r="G39" i="20" s="1"/>
  <c r="E42" i="12"/>
  <c r="G40" i="20" s="1"/>
  <c r="E43" i="12"/>
  <c r="G41" i="20" s="1"/>
  <c r="E44" i="12"/>
  <c r="G42" i="20" s="1"/>
  <c r="E45" i="12"/>
  <c r="G43" i="20" s="1"/>
  <c r="E46" i="12"/>
  <c r="G44" i="20" s="1"/>
  <c r="E47" i="12"/>
  <c r="G45" i="20" s="1"/>
  <c r="E48" i="12"/>
  <c r="G46" i="20" s="1"/>
  <c r="E49" i="12"/>
  <c r="G47" i="20" s="1"/>
  <c r="E50" i="12"/>
  <c r="G48" i="20" s="1"/>
  <c r="E51" i="12"/>
  <c r="G49" i="20" s="1"/>
  <c r="E52" i="12"/>
  <c r="G50" i="20" s="1"/>
  <c r="E53" i="12"/>
  <c r="G51" i="20" s="1"/>
  <c r="E54" i="12"/>
  <c r="G52" i="20" s="1"/>
  <c r="E55" i="12"/>
  <c r="G53" i="20" s="1"/>
  <c r="E56" i="12"/>
  <c r="G54" i="20" s="1"/>
  <c r="E57" i="12"/>
  <c r="G55" i="20" s="1"/>
  <c r="E58" i="12"/>
  <c r="G56" i="20" s="1"/>
  <c r="E59" i="12"/>
  <c r="G57" i="20" s="1"/>
  <c r="E60" i="12"/>
  <c r="G58" i="20" s="1"/>
  <c r="E61" i="12"/>
  <c r="G59" i="20" s="1"/>
  <c r="E62" i="12"/>
  <c r="G60" i="20" s="1"/>
  <c r="E63" i="12"/>
  <c r="G61" i="20" s="1"/>
  <c r="E64" i="12"/>
  <c r="G62" i="20" s="1"/>
  <c r="E65" i="12"/>
  <c r="G63" i="20" s="1"/>
  <c r="E66" i="12"/>
  <c r="G64" i="20" s="1"/>
  <c r="E67" i="12"/>
  <c r="G65" i="20" s="1"/>
  <c r="E68" i="12"/>
  <c r="G66" i="20" s="1"/>
  <c r="E69" i="12"/>
  <c r="G67" i="20" s="1"/>
  <c r="E70" i="12"/>
  <c r="G68" i="20" s="1"/>
  <c r="E71" i="12"/>
  <c r="G69" i="20" s="1"/>
  <c r="E72" i="12"/>
  <c r="G70" i="20" s="1"/>
  <c r="E73" i="12"/>
  <c r="G71" i="20" s="1"/>
  <c r="E74" i="12"/>
  <c r="G72" i="20" s="1"/>
  <c r="E75" i="12"/>
  <c r="G73" i="20" s="1"/>
  <c r="E76" i="12"/>
  <c r="G74" i="20" s="1"/>
  <c r="E77" i="12"/>
  <c r="G75" i="20" s="1"/>
  <c r="E78" i="12"/>
  <c r="G76" i="20" s="1"/>
  <c r="E79" i="12"/>
  <c r="G77" i="20" s="1"/>
  <c r="E80" i="12"/>
  <c r="G78" i="20" s="1"/>
  <c r="E81" i="12"/>
  <c r="G79" i="20" s="1"/>
  <c r="E82" i="12"/>
  <c r="G80" i="20" s="1"/>
  <c r="E83" i="12"/>
  <c r="G81" i="20" s="1"/>
  <c r="E84" i="12"/>
  <c r="G82" i="20" s="1"/>
  <c r="E85" i="12"/>
  <c r="G83" i="20" s="1"/>
  <c r="E86" i="12"/>
  <c r="G84" i="20" s="1"/>
  <c r="E87" i="12"/>
  <c r="G85" i="20" s="1"/>
  <c r="E88" i="12"/>
  <c r="G86" i="20" s="1"/>
  <c r="E89" i="12"/>
  <c r="G87" i="20" s="1"/>
  <c r="E90" i="12"/>
  <c r="G88" i="20" s="1"/>
  <c r="E91" i="12"/>
  <c r="G89" i="20" s="1"/>
  <c r="E92" i="12"/>
  <c r="G90" i="20" s="1"/>
  <c r="E93" i="12"/>
  <c r="G91" i="20" s="1"/>
  <c r="E94" i="12"/>
  <c r="G92" i="20" s="1"/>
  <c r="E95" i="12"/>
  <c r="G93" i="20" s="1"/>
  <c r="E96" i="12"/>
  <c r="G94" i="20" s="1"/>
  <c r="E97" i="12"/>
  <c r="G95" i="20" s="1"/>
  <c r="E98" i="12"/>
  <c r="G96" i="20" s="1"/>
  <c r="E99" i="12"/>
  <c r="G97" i="20" s="1"/>
  <c r="E100" i="12"/>
  <c r="G98" i="20" s="1"/>
  <c r="E101" i="12"/>
  <c r="G99" i="20" s="1"/>
  <c r="E102" i="12"/>
  <c r="G100" i="20" s="1"/>
  <c r="E103" i="12"/>
  <c r="G101" i="20" s="1"/>
  <c r="E104" i="12"/>
  <c r="G102" i="20" s="1"/>
  <c r="E105" i="12"/>
  <c r="G103" i="20" s="1"/>
  <c r="E106" i="12"/>
  <c r="G104" i="20" s="1"/>
  <c r="E107" i="12"/>
  <c r="G105" i="20" s="1"/>
  <c r="E108" i="12"/>
  <c r="G106" i="20" s="1"/>
  <c r="E109" i="12"/>
  <c r="G107" i="20" s="1"/>
  <c r="E110" i="12"/>
  <c r="G108" i="20" s="1"/>
  <c r="E111" i="12"/>
  <c r="G109" i="20" s="1"/>
  <c r="E112" i="12"/>
  <c r="G110" i="20" s="1"/>
  <c r="E113" i="12"/>
  <c r="G111" i="20" s="1"/>
  <c r="E114" i="12"/>
  <c r="G112" i="20" s="1"/>
  <c r="E115" i="12"/>
  <c r="G113" i="20" s="1"/>
  <c r="E116" i="12"/>
  <c r="G114" i="20" s="1"/>
  <c r="E117" i="12"/>
  <c r="G115" i="20" s="1"/>
  <c r="E118" i="12"/>
  <c r="G116" i="20" s="1"/>
  <c r="E119" i="12"/>
  <c r="G117" i="20" s="1"/>
  <c r="E120" i="12"/>
  <c r="G118" i="20" s="1"/>
  <c r="E121" i="12"/>
  <c r="G119" i="20" s="1"/>
  <c r="E122" i="12"/>
  <c r="G120" i="20" s="1"/>
  <c r="E123" i="12"/>
  <c r="G121" i="20" s="1"/>
  <c r="E124" i="12"/>
  <c r="G122" i="20" s="1"/>
  <c r="E125" i="12"/>
  <c r="G123" i="20" s="1"/>
  <c r="E126" i="12"/>
  <c r="G124" i="20" s="1"/>
  <c r="E127" i="12"/>
  <c r="G125" i="20" s="1"/>
  <c r="E128" i="12"/>
  <c r="G126" i="20" s="1"/>
  <c r="E129" i="12"/>
  <c r="G127" i="20" s="1"/>
  <c r="E130" i="12"/>
  <c r="G128" i="20" s="1"/>
  <c r="E131" i="12"/>
  <c r="G129" i="20" s="1"/>
  <c r="E132" i="12"/>
  <c r="G130" i="20" s="1"/>
  <c r="E133" i="12"/>
  <c r="G131" i="20" s="1"/>
  <c r="E134" i="12"/>
  <c r="G132" i="20" s="1"/>
  <c r="E135" i="12"/>
  <c r="G133" i="20" s="1"/>
  <c r="E136" i="12"/>
  <c r="G134" i="20" s="1"/>
  <c r="E137" i="12"/>
  <c r="G135" i="20" s="1"/>
  <c r="E138" i="12"/>
  <c r="G136" i="20" s="1"/>
  <c r="E139" i="12"/>
  <c r="G137" i="20" s="1"/>
  <c r="E140" i="12"/>
  <c r="G138" i="20" s="1"/>
  <c r="E141" i="12"/>
  <c r="G139" i="20" s="1"/>
  <c r="E142" i="12"/>
  <c r="G140" i="20" s="1"/>
  <c r="E143" i="12"/>
  <c r="G141" i="20" s="1"/>
  <c r="E144" i="12"/>
  <c r="G142" i="20" s="1"/>
  <c r="E145" i="12"/>
  <c r="G143" i="20" s="1"/>
  <c r="E146" i="12"/>
  <c r="G144" i="20" s="1"/>
  <c r="E147" i="12"/>
  <c r="G145" i="20" s="1"/>
  <c r="E148" i="12"/>
  <c r="G146" i="20" s="1"/>
  <c r="E149" i="12"/>
  <c r="G147" i="20" s="1"/>
  <c r="E150" i="12"/>
  <c r="G148" i="20" s="1"/>
  <c r="E151" i="12"/>
  <c r="G149" i="20" s="1"/>
  <c r="E152" i="12"/>
  <c r="G150" i="20" s="1"/>
  <c r="E153" i="12"/>
  <c r="G151" i="20" s="1"/>
  <c r="E154" i="12"/>
  <c r="G152" i="20" s="1"/>
  <c r="E155" i="12"/>
  <c r="G153" i="20" s="1"/>
  <c r="E156" i="12"/>
  <c r="G154" i="20" s="1"/>
  <c r="E157" i="12"/>
  <c r="G155" i="20" s="1"/>
  <c r="E158" i="12"/>
  <c r="G156" i="20" s="1"/>
  <c r="E159" i="12"/>
  <c r="G157" i="20" s="1"/>
  <c r="E160" i="12"/>
  <c r="G158" i="20" s="1"/>
  <c r="E161" i="12"/>
  <c r="G159" i="20" s="1"/>
  <c r="E162" i="12"/>
  <c r="G160" i="20" s="1"/>
  <c r="E163" i="12"/>
  <c r="G161" i="20" s="1"/>
  <c r="E164" i="12"/>
  <c r="G162" i="20" s="1"/>
  <c r="E165" i="12"/>
  <c r="G163" i="20" s="1"/>
  <c r="E166" i="12"/>
  <c r="G164" i="20" s="1"/>
  <c r="E167" i="12"/>
  <c r="G165" i="20" s="1"/>
  <c r="E168" i="12"/>
  <c r="G166" i="20" s="1"/>
  <c r="E169" i="12"/>
  <c r="G167" i="20" s="1"/>
  <c r="E170" i="12"/>
  <c r="G168" i="20" s="1"/>
  <c r="E171" i="12"/>
  <c r="G169" i="20" s="1"/>
  <c r="E172" i="12"/>
  <c r="G170" i="20" s="1"/>
  <c r="E173" i="12"/>
  <c r="G171" i="20" s="1"/>
  <c r="E174" i="12"/>
  <c r="G172" i="20" s="1"/>
  <c r="E175" i="12"/>
  <c r="G173" i="20" s="1"/>
  <c r="E176" i="12"/>
  <c r="G174" i="20" s="1"/>
  <c r="E177" i="12"/>
  <c r="G175" i="20" s="1"/>
  <c r="E178" i="12"/>
  <c r="G176" i="20" s="1"/>
  <c r="E179" i="12"/>
  <c r="G177" i="20" s="1"/>
  <c r="E180" i="12"/>
  <c r="G178" i="20" s="1"/>
  <c r="E181" i="12"/>
  <c r="G179" i="20" s="1"/>
  <c r="E182" i="12"/>
  <c r="G180" i="20" s="1"/>
  <c r="E183" i="12"/>
  <c r="G181" i="20" s="1"/>
  <c r="E184" i="12"/>
  <c r="G182" i="20" s="1"/>
  <c r="E185" i="12"/>
  <c r="G183" i="20" s="1"/>
  <c r="E186" i="12"/>
  <c r="G184" i="20" s="1"/>
  <c r="E187" i="12"/>
  <c r="G185" i="20" s="1"/>
  <c r="E188" i="12"/>
  <c r="G186" i="20" s="1"/>
  <c r="E189" i="12"/>
  <c r="G187" i="20" s="1"/>
  <c r="E190" i="12"/>
  <c r="G188" i="20" s="1"/>
  <c r="E191" i="12"/>
  <c r="G189" i="20" s="1"/>
  <c r="E192" i="12"/>
  <c r="G190" i="20" s="1"/>
  <c r="E193" i="12"/>
  <c r="G191" i="20" s="1"/>
  <c r="E194" i="12"/>
  <c r="G192" i="20" s="1"/>
  <c r="E195" i="12"/>
  <c r="G193" i="20" s="1"/>
  <c r="E196" i="12"/>
  <c r="G194" i="20" s="1"/>
  <c r="E197" i="12"/>
  <c r="G195" i="20" s="1"/>
  <c r="E198" i="12"/>
  <c r="G196" i="20" s="1"/>
  <c r="E199" i="12"/>
  <c r="G197" i="20" s="1"/>
  <c r="E200" i="12"/>
  <c r="G198" i="20" s="1"/>
  <c r="E201" i="12"/>
  <c r="G199" i="20" s="1"/>
  <c r="E202" i="12"/>
  <c r="G200" i="20" s="1"/>
  <c r="E203" i="12"/>
  <c r="G201" i="20" s="1"/>
  <c r="E204" i="12"/>
  <c r="G202" i="20" s="1"/>
  <c r="E205" i="12"/>
  <c r="G203" i="20" s="1"/>
  <c r="E206" i="12"/>
  <c r="G204" i="20" s="1"/>
  <c r="E207" i="12"/>
  <c r="G205" i="20" s="1"/>
  <c r="E208" i="12"/>
  <c r="G206" i="20" s="1"/>
  <c r="E209" i="12"/>
  <c r="G207" i="20" s="1"/>
  <c r="E210" i="12"/>
  <c r="G208" i="20" s="1"/>
  <c r="E211" i="12"/>
  <c r="G209" i="20" s="1"/>
  <c r="E212" i="12"/>
  <c r="G210" i="20" s="1"/>
  <c r="E213" i="12"/>
  <c r="G211" i="20" s="1"/>
  <c r="E214" i="12"/>
  <c r="G212" i="20" s="1"/>
  <c r="E215" i="12"/>
  <c r="G213" i="20" s="1"/>
  <c r="E216" i="12"/>
  <c r="G214" i="20" s="1"/>
  <c r="E217" i="12"/>
  <c r="G215" i="20" s="1"/>
  <c r="E218" i="12"/>
  <c r="G216" i="20" s="1"/>
  <c r="E219" i="12"/>
  <c r="G217" i="20" s="1"/>
  <c r="E220" i="12"/>
  <c r="G218" i="20" s="1"/>
  <c r="E221" i="12"/>
  <c r="G219" i="20" s="1"/>
  <c r="E222" i="12"/>
  <c r="G220" i="20" s="1"/>
  <c r="E223" i="12"/>
  <c r="G221" i="20" s="1"/>
  <c r="E224" i="12"/>
  <c r="G222" i="20" s="1"/>
  <c r="E225" i="12"/>
  <c r="G223" i="20" s="1"/>
  <c r="E226" i="12"/>
  <c r="G224" i="20" s="1"/>
  <c r="E227" i="12"/>
  <c r="G225" i="20" s="1"/>
  <c r="E228" i="12"/>
  <c r="G226" i="20" s="1"/>
  <c r="E229" i="12"/>
  <c r="G227" i="20" s="1"/>
  <c r="E230" i="12"/>
  <c r="G228" i="20" s="1"/>
  <c r="E231" i="12"/>
  <c r="G229" i="20" s="1"/>
  <c r="E232" i="12"/>
  <c r="G230" i="20" s="1"/>
  <c r="E233" i="12"/>
  <c r="G231" i="20" s="1"/>
  <c r="E234" i="12"/>
  <c r="G232" i="20" s="1"/>
  <c r="E235" i="12"/>
  <c r="G233" i="20" s="1"/>
  <c r="E236" i="12"/>
  <c r="G234" i="20" s="1"/>
  <c r="E237" i="12"/>
  <c r="G235" i="20" s="1"/>
  <c r="E238" i="12"/>
  <c r="G236" i="20" s="1"/>
  <c r="E239" i="12"/>
  <c r="G237" i="20" s="1"/>
  <c r="E240" i="12"/>
  <c r="G238" i="20" s="1"/>
  <c r="E241" i="12"/>
  <c r="G239" i="20" s="1"/>
  <c r="E242" i="12"/>
  <c r="G240" i="20" s="1"/>
  <c r="E243" i="12"/>
  <c r="G241" i="20" s="1"/>
  <c r="E244" i="12"/>
  <c r="G242" i="20" s="1"/>
  <c r="E245" i="12"/>
  <c r="G243" i="20" s="1"/>
  <c r="E246" i="12"/>
  <c r="G244" i="20" s="1"/>
  <c r="E247" i="12"/>
  <c r="G245" i="20" s="1"/>
  <c r="E248" i="12"/>
  <c r="G246" i="20" s="1"/>
  <c r="E249" i="12"/>
  <c r="G247" i="20" s="1"/>
  <c r="E250" i="12"/>
  <c r="G248" i="20" s="1"/>
  <c r="E251" i="12"/>
  <c r="G249" i="20" s="1"/>
  <c r="E252" i="12"/>
  <c r="G250" i="20" s="1"/>
  <c r="E253" i="12"/>
  <c r="G251" i="20" s="1"/>
  <c r="E254" i="12"/>
  <c r="G252" i="20" s="1"/>
  <c r="E255" i="12"/>
  <c r="G253" i="20" s="1"/>
  <c r="E256" i="12"/>
  <c r="G254" i="20" s="1"/>
  <c r="E257" i="12"/>
  <c r="G255" i="20" s="1"/>
  <c r="E258" i="12"/>
  <c r="G256" i="20" s="1"/>
  <c r="E259" i="12"/>
  <c r="G257" i="20" s="1"/>
  <c r="E260" i="12"/>
  <c r="G258" i="20" s="1"/>
  <c r="E261" i="12"/>
  <c r="G259" i="20" s="1"/>
  <c r="E262" i="12"/>
  <c r="G260" i="20" s="1"/>
  <c r="E263" i="12"/>
  <c r="G261" i="20" s="1"/>
  <c r="E264" i="12"/>
  <c r="G262" i="20" s="1"/>
  <c r="E265" i="12"/>
  <c r="G263" i="20" s="1"/>
  <c r="E266" i="12"/>
  <c r="G264" i="20" s="1"/>
  <c r="E267" i="12"/>
  <c r="G265" i="20" s="1"/>
  <c r="E268" i="12"/>
  <c r="G266" i="20" s="1"/>
  <c r="E269" i="12"/>
  <c r="G267" i="20" s="1"/>
  <c r="E270" i="12"/>
  <c r="G268" i="20" s="1"/>
  <c r="E271" i="12"/>
  <c r="G269" i="20" s="1"/>
  <c r="E272" i="12"/>
  <c r="G270" i="20" s="1"/>
  <c r="E273" i="12"/>
  <c r="G271" i="20" s="1"/>
  <c r="E274" i="12"/>
  <c r="G272" i="20" s="1"/>
  <c r="E275" i="12"/>
  <c r="G273" i="20" s="1"/>
  <c r="E276" i="12"/>
  <c r="G274" i="20" s="1"/>
  <c r="E277" i="12"/>
  <c r="G275" i="20" s="1"/>
  <c r="E278" i="12"/>
  <c r="G276" i="20" s="1"/>
  <c r="E279" i="12"/>
  <c r="G277" i="20" s="1"/>
  <c r="E280" i="12"/>
  <c r="G278" i="20" s="1"/>
  <c r="E281" i="12"/>
  <c r="G279" i="20" s="1"/>
  <c r="E282" i="12"/>
  <c r="G280" i="20" s="1"/>
  <c r="E283" i="12"/>
  <c r="G281" i="20" s="1"/>
  <c r="E284" i="12"/>
  <c r="G282" i="20" s="1"/>
  <c r="E285" i="12"/>
  <c r="G283" i="20" s="1"/>
  <c r="E286" i="12"/>
  <c r="G284" i="20" s="1"/>
  <c r="E287" i="12"/>
  <c r="G285" i="20" s="1"/>
  <c r="E288" i="12"/>
  <c r="G286" i="20" s="1"/>
  <c r="E289" i="12"/>
  <c r="G287" i="20" s="1"/>
  <c r="E290" i="12"/>
  <c r="G288" i="20" s="1"/>
  <c r="E291" i="12"/>
  <c r="G289" i="20" s="1"/>
  <c r="E292" i="12"/>
  <c r="G290" i="20" s="1"/>
  <c r="E293" i="12"/>
  <c r="G291" i="20" s="1"/>
  <c r="E294" i="12"/>
  <c r="G292" i="20" s="1"/>
  <c r="E295" i="12"/>
  <c r="G293" i="20" s="1"/>
  <c r="E296" i="12"/>
  <c r="G294" i="20" s="1"/>
  <c r="E297" i="12"/>
  <c r="G295" i="20" s="1"/>
  <c r="E298" i="12"/>
  <c r="G296" i="20" s="1"/>
  <c r="E299" i="12"/>
  <c r="G297" i="20" s="1"/>
  <c r="E300" i="12"/>
  <c r="G298" i="20" s="1"/>
  <c r="E301" i="12"/>
  <c r="G299" i="20" s="1"/>
  <c r="E302" i="12"/>
  <c r="G300" i="20" s="1"/>
  <c r="E303" i="12"/>
  <c r="G301" i="20" s="1"/>
  <c r="E304" i="12"/>
  <c r="G302" i="20" s="1"/>
  <c r="E305" i="12"/>
  <c r="G303" i="20" s="1"/>
  <c r="E306" i="12"/>
  <c r="G304" i="20" s="1"/>
  <c r="E307" i="12"/>
  <c r="G305" i="20" s="1"/>
  <c r="E308" i="12"/>
  <c r="G306" i="20" s="1"/>
  <c r="E309" i="12"/>
  <c r="G307" i="20" s="1"/>
  <c r="E310" i="12"/>
  <c r="G308" i="20" s="1"/>
  <c r="E311" i="12"/>
  <c r="G309" i="20" s="1"/>
  <c r="E312" i="12"/>
  <c r="G310" i="20" s="1"/>
  <c r="E313" i="12"/>
  <c r="G311" i="20" s="1"/>
  <c r="E314" i="12"/>
  <c r="G312" i="20" s="1"/>
  <c r="E315" i="12"/>
  <c r="G313" i="20" s="1"/>
  <c r="E316" i="12"/>
  <c r="G314" i="20" s="1"/>
  <c r="E317" i="12"/>
  <c r="G315" i="20" s="1"/>
  <c r="E318" i="12"/>
  <c r="G316" i="20" s="1"/>
  <c r="E319" i="12"/>
  <c r="G317" i="20" s="1"/>
  <c r="E320" i="12"/>
  <c r="G318" i="20" s="1"/>
  <c r="E321" i="12"/>
  <c r="G319" i="20" s="1"/>
  <c r="E322" i="12"/>
  <c r="G320" i="20" s="1"/>
  <c r="E323" i="12"/>
  <c r="G321" i="20" s="1"/>
  <c r="E324" i="12"/>
  <c r="G322" i="20" s="1"/>
  <c r="E325" i="12"/>
  <c r="G323" i="20" s="1"/>
  <c r="E326" i="12"/>
  <c r="G324" i="20" s="1"/>
  <c r="E327" i="12"/>
  <c r="G325" i="20" s="1"/>
  <c r="E328" i="12"/>
  <c r="G326" i="20" s="1"/>
  <c r="E329" i="12"/>
  <c r="G327" i="20" s="1"/>
  <c r="E330" i="12"/>
  <c r="G328" i="20" s="1"/>
  <c r="E331" i="12"/>
  <c r="G329" i="20" s="1"/>
  <c r="E332" i="12"/>
  <c r="G330" i="20" s="1"/>
  <c r="E333" i="12"/>
  <c r="G331" i="20" s="1"/>
  <c r="E334" i="12"/>
  <c r="G332" i="20" s="1"/>
  <c r="E335" i="12"/>
  <c r="G333" i="20" s="1"/>
  <c r="E336" i="12"/>
  <c r="G334" i="20" s="1"/>
  <c r="E337" i="12"/>
  <c r="G335" i="20" s="1"/>
  <c r="E338" i="12"/>
  <c r="G336" i="20" s="1"/>
  <c r="E339" i="12"/>
  <c r="G337" i="20" s="1"/>
  <c r="E340" i="12"/>
  <c r="G338" i="20" s="1"/>
  <c r="E341" i="12"/>
  <c r="G339" i="20" s="1"/>
  <c r="E342" i="12"/>
  <c r="G340" i="20" s="1"/>
  <c r="E343" i="12"/>
  <c r="G341" i="20" s="1"/>
  <c r="E344" i="12"/>
  <c r="G342" i="20" s="1"/>
  <c r="E345" i="12"/>
  <c r="G343" i="20" s="1"/>
  <c r="E346" i="12"/>
  <c r="G344" i="20" s="1"/>
  <c r="E347" i="12"/>
  <c r="G345" i="20" s="1"/>
  <c r="E348" i="12"/>
  <c r="G346" i="20" s="1"/>
  <c r="E349" i="12"/>
  <c r="G347" i="20" s="1"/>
  <c r="E350" i="12"/>
  <c r="G348" i="20" s="1"/>
  <c r="E351" i="12"/>
  <c r="G349" i="20" s="1"/>
  <c r="E352" i="12"/>
  <c r="G350" i="20" s="1"/>
  <c r="E353" i="12"/>
  <c r="G351" i="20" s="1"/>
  <c r="E354" i="12"/>
  <c r="G352" i="20" s="1"/>
  <c r="E355" i="12"/>
  <c r="G353" i="20" s="1"/>
  <c r="E356" i="12"/>
  <c r="G354" i="20" s="1"/>
  <c r="E357" i="12"/>
  <c r="G355" i="20" s="1"/>
  <c r="E358" i="12"/>
  <c r="G356" i="20" s="1"/>
  <c r="E359" i="12"/>
  <c r="G357" i="20" s="1"/>
  <c r="E360" i="12"/>
  <c r="G358" i="20" s="1"/>
  <c r="E361" i="12"/>
  <c r="G359" i="20" s="1"/>
  <c r="E362" i="12"/>
  <c r="G360" i="20" s="1"/>
  <c r="E363" i="12"/>
  <c r="G361" i="20" s="1"/>
  <c r="E364" i="12"/>
  <c r="G362" i="20" s="1"/>
  <c r="E365" i="12"/>
  <c r="G363" i="20" s="1"/>
  <c r="E366" i="12"/>
  <c r="G364" i="20" s="1"/>
  <c r="E367" i="12"/>
  <c r="G365" i="20" s="1"/>
  <c r="E368" i="12"/>
  <c r="G366" i="20" s="1"/>
  <c r="E369" i="12"/>
  <c r="G367" i="20" s="1"/>
  <c r="E370" i="12"/>
  <c r="G368" i="20" s="1"/>
  <c r="E371" i="12"/>
  <c r="G369" i="20" s="1"/>
  <c r="E372" i="12"/>
  <c r="G370" i="20" s="1"/>
  <c r="E373" i="12"/>
  <c r="G371" i="20" s="1"/>
  <c r="E374" i="12"/>
  <c r="G372" i="20" s="1"/>
  <c r="E375" i="12"/>
  <c r="G373" i="20" s="1"/>
  <c r="E376" i="12"/>
  <c r="G374" i="20" s="1"/>
  <c r="E377" i="12"/>
  <c r="G375" i="20" s="1"/>
  <c r="E378" i="12"/>
  <c r="G376" i="20" s="1"/>
  <c r="E379" i="12"/>
  <c r="G377" i="20" s="1"/>
  <c r="E380" i="12"/>
  <c r="G378" i="20" s="1"/>
  <c r="E381" i="12"/>
  <c r="G379" i="20" s="1"/>
  <c r="E382" i="12"/>
  <c r="G380" i="20" s="1"/>
  <c r="E383" i="12"/>
  <c r="G381" i="20" s="1"/>
  <c r="E384" i="12"/>
  <c r="G382" i="20" s="1"/>
  <c r="E385" i="12"/>
  <c r="G383" i="20" s="1"/>
  <c r="E386" i="12"/>
  <c r="G384" i="20" s="1"/>
  <c r="E387" i="12"/>
  <c r="G385" i="20" s="1"/>
  <c r="E388" i="12"/>
  <c r="G386" i="20" s="1"/>
  <c r="E389" i="12"/>
  <c r="G387" i="20" s="1"/>
  <c r="E390" i="12"/>
  <c r="G388" i="20" s="1"/>
  <c r="E391" i="12"/>
  <c r="G389" i="20" s="1"/>
  <c r="E392" i="12"/>
  <c r="G390" i="20" s="1"/>
  <c r="E393" i="12"/>
  <c r="G391" i="20" s="1"/>
  <c r="E394" i="12"/>
  <c r="G392" i="20" s="1"/>
  <c r="E395" i="12"/>
  <c r="G393" i="20" s="1"/>
  <c r="E396" i="12"/>
  <c r="G394" i="20" s="1"/>
  <c r="E397" i="12"/>
  <c r="G395" i="20" s="1"/>
  <c r="E398" i="12"/>
  <c r="G396" i="20" s="1"/>
  <c r="E399" i="12"/>
  <c r="G397" i="20" s="1"/>
  <c r="E400" i="12"/>
  <c r="G398" i="20" s="1"/>
  <c r="E401" i="12"/>
  <c r="G399" i="20" s="1"/>
  <c r="E402" i="12"/>
  <c r="G400" i="20" s="1"/>
  <c r="E403" i="12"/>
  <c r="G401" i="20" s="1"/>
  <c r="E404" i="12"/>
  <c r="G402" i="20" s="1"/>
  <c r="E405" i="12"/>
  <c r="G403" i="20" s="1"/>
  <c r="E406" i="12"/>
  <c r="G404" i="20" s="1"/>
  <c r="E407" i="12"/>
  <c r="G405" i="20" s="1"/>
  <c r="E408" i="12"/>
  <c r="G406" i="20" s="1"/>
  <c r="E409" i="12"/>
  <c r="G407" i="20" s="1"/>
  <c r="E410" i="12"/>
  <c r="G408" i="20" s="1"/>
  <c r="E411" i="12"/>
  <c r="G409" i="20" s="1"/>
  <c r="E412" i="12"/>
  <c r="G410" i="20" s="1"/>
  <c r="E413" i="12"/>
  <c r="G411" i="20" s="1"/>
  <c r="E414" i="12"/>
  <c r="G412" i="20" s="1"/>
  <c r="E415" i="12"/>
  <c r="G413" i="20" s="1"/>
  <c r="E416" i="12"/>
  <c r="G414" i="20" s="1"/>
  <c r="E417" i="12"/>
  <c r="G415" i="20" s="1"/>
  <c r="E418" i="12"/>
  <c r="G416" i="20" s="1"/>
  <c r="E419" i="12"/>
  <c r="G417" i="20" s="1"/>
  <c r="E420" i="12"/>
  <c r="G418" i="20" s="1"/>
  <c r="E421" i="12"/>
  <c r="G419" i="20" s="1"/>
  <c r="E422" i="12"/>
  <c r="G420" i="20" s="1"/>
  <c r="E423" i="12"/>
  <c r="G421" i="20" s="1"/>
  <c r="E424" i="12"/>
  <c r="G422" i="20" s="1"/>
  <c r="E425" i="12"/>
  <c r="G423" i="20" s="1"/>
  <c r="E426" i="12"/>
  <c r="G424" i="20" s="1"/>
  <c r="E427" i="12"/>
  <c r="G425" i="20" s="1"/>
  <c r="E428" i="12"/>
  <c r="G426" i="20" s="1"/>
  <c r="E429" i="12"/>
  <c r="G427" i="20" s="1"/>
  <c r="E430" i="12"/>
  <c r="G428" i="20" s="1"/>
  <c r="E431" i="12"/>
  <c r="G429" i="20" s="1"/>
  <c r="E432" i="12"/>
  <c r="G430" i="20" s="1"/>
  <c r="E433" i="12"/>
  <c r="G431" i="20" s="1"/>
  <c r="E434" i="12"/>
  <c r="G432" i="20" s="1"/>
  <c r="E435" i="12"/>
  <c r="G433" i="20" s="1"/>
  <c r="E436" i="12"/>
  <c r="G434" i="20" s="1"/>
  <c r="E437" i="12"/>
  <c r="G435" i="20" s="1"/>
  <c r="E438" i="12"/>
  <c r="G436" i="20" s="1"/>
  <c r="E439" i="12"/>
  <c r="G437" i="20" s="1"/>
  <c r="E440" i="12"/>
  <c r="G438" i="20" s="1"/>
  <c r="E441" i="12"/>
  <c r="G439" i="20" s="1"/>
  <c r="E442" i="12"/>
  <c r="G440" i="20" s="1"/>
  <c r="E443" i="12"/>
  <c r="G441" i="20" s="1"/>
  <c r="E444" i="12"/>
  <c r="G442" i="20" s="1"/>
  <c r="E445" i="12"/>
  <c r="G443" i="20" s="1"/>
  <c r="E446" i="12"/>
  <c r="G444" i="20" s="1"/>
  <c r="E447" i="12"/>
  <c r="G445" i="20" s="1"/>
  <c r="E448" i="12"/>
  <c r="G446" i="20" s="1"/>
  <c r="E449" i="12"/>
  <c r="G447" i="20" s="1"/>
  <c r="E450" i="12"/>
  <c r="G448" i="20" s="1"/>
  <c r="E451" i="12"/>
  <c r="G449" i="20" s="1"/>
  <c r="E452" i="12"/>
  <c r="G450" i="20" s="1"/>
  <c r="E453" i="12"/>
  <c r="G451" i="20" s="1"/>
  <c r="E454" i="12"/>
  <c r="G452" i="20" s="1"/>
  <c r="E455" i="12"/>
  <c r="G453" i="20" s="1"/>
  <c r="E456" i="12"/>
  <c r="G454" i="20" s="1"/>
  <c r="E457" i="12"/>
  <c r="G455" i="20" s="1"/>
  <c r="E458" i="12"/>
  <c r="G456" i="20" s="1"/>
  <c r="E459" i="12"/>
  <c r="G457" i="20" s="1"/>
  <c r="E460" i="12"/>
  <c r="G458" i="20" s="1"/>
  <c r="E461" i="12"/>
  <c r="G459" i="20" s="1"/>
  <c r="E462" i="12"/>
  <c r="G460" i="20" s="1"/>
  <c r="E463" i="12"/>
  <c r="G461" i="20" s="1"/>
  <c r="E464" i="12"/>
  <c r="G462" i="20" s="1"/>
  <c r="E465" i="12"/>
  <c r="G463" i="20" s="1"/>
  <c r="E466" i="12"/>
  <c r="G464" i="20" s="1"/>
  <c r="E467" i="12"/>
  <c r="G465" i="20" s="1"/>
  <c r="E468" i="12"/>
  <c r="G466" i="20" s="1"/>
  <c r="E469" i="12"/>
  <c r="G467" i="20" s="1"/>
  <c r="E470" i="12"/>
  <c r="G468" i="20" s="1"/>
  <c r="E471" i="12"/>
  <c r="G469" i="20" s="1"/>
  <c r="E472" i="12"/>
  <c r="G470" i="20" s="1"/>
  <c r="E473" i="12"/>
  <c r="G471" i="20" s="1"/>
  <c r="E474" i="12"/>
  <c r="G472" i="20" s="1"/>
  <c r="E475" i="12"/>
  <c r="G473" i="20" s="1"/>
  <c r="E476" i="12"/>
  <c r="G474" i="20" s="1"/>
  <c r="E477" i="12"/>
  <c r="G475" i="20" s="1"/>
  <c r="E478" i="12"/>
  <c r="G476" i="20" s="1"/>
  <c r="E479" i="12"/>
  <c r="G477" i="20" s="1"/>
  <c r="E480" i="12"/>
  <c r="G478" i="20" s="1"/>
  <c r="E481" i="12"/>
  <c r="G479" i="20" s="1"/>
  <c r="E482" i="12"/>
  <c r="G480" i="20" s="1"/>
  <c r="E483" i="12"/>
  <c r="G481" i="20" s="1"/>
  <c r="E484" i="12"/>
  <c r="G482" i="20" s="1"/>
  <c r="E485" i="12"/>
  <c r="G483" i="20" s="1"/>
  <c r="E486" i="12"/>
  <c r="G484" i="20" s="1"/>
  <c r="E487" i="12"/>
  <c r="G485" i="20" s="1"/>
  <c r="E488" i="12"/>
  <c r="G486" i="20" s="1"/>
  <c r="E489" i="12"/>
  <c r="G487" i="20" s="1"/>
  <c r="E490" i="12"/>
  <c r="G488" i="20" s="1"/>
  <c r="E491" i="12"/>
  <c r="G489" i="20" s="1"/>
  <c r="E492" i="12"/>
  <c r="G490" i="20" s="1"/>
  <c r="E493" i="12"/>
  <c r="G491" i="20" s="1"/>
  <c r="E494" i="12"/>
  <c r="G492" i="20" s="1"/>
  <c r="E495" i="12"/>
  <c r="G493" i="20" s="1"/>
  <c r="E496" i="12"/>
  <c r="G494" i="20" s="1"/>
  <c r="E497" i="12"/>
  <c r="G495" i="20" s="1"/>
  <c r="E498" i="12"/>
  <c r="G496" i="20" s="1"/>
  <c r="E499" i="12"/>
  <c r="G497" i="20" s="1"/>
  <c r="E500" i="12"/>
  <c r="G498" i="20" s="1"/>
  <c r="E501" i="12"/>
  <c r="G499" i="20" s="1"/>
  <c r="E502" i="12"/>
  <c r="G500" i="20" s="1"/>
  <c r="E503" i="12"/>
  <c r="G501" i="20" s="1"/>
  <c r="E504" i="12"/>
  <c r="G502" i="20" s="1"/>
  <c r="E505" i="12"/>
  <c r="G503" i="20" s="1"/>
  <c r="E506" i="12"/>
  <c r="G504" i="20" s="1"/>
  <c r="E507" i="12"/>
  <c r="G505" i="20" s="1"/>
  <c r="E508" i="12"/>
  <c r="G506" i="20" s="1"/>
  <c r="E509" i="12"/>
  <c r="G507" i="20" s="1"/>
  <c r="E510" i="12"/>
  <c r="G508" i="20" s="1"/>
  <c r="E511" i="12"/>
  <c r="G509" i="20" s="1"/>
  <c r="E512" i="12"/>
  <c r="G510" i="20" s="1"/>
  <c r="E513" i="12"/>
  <c r="G511" i="20" s="1"/>
  <c r="E514" i="12"/>
  <c r="G512" i="20" s="1"/>
  <c r="E515" i="12"/>
  <c r="G513" i="20" s="1"/>
  <c r="E516" i="12"/>
  <c r="G514" i="20" s="1"/>
  <c r="E517" i="12"/>
  <c r="G515" i="20" s="1"/>
  <c r="E518" i="12"/>
  <c r="G516" i="20" s="1"/>
  <c r="E519" i="12"/>
  <c r="G517" i="20" s="1"/>
  <c r="E520" i="12"/>
  <c r="G518" i="20" s="1"/>
  <c r="E521" i="12"/>
  <c r="G519" i="20" s="1"/>
  <c r="E522" i="12"/>
  <c r="G520" i="20" s="1"/>
  <c r="E523" i="12"/>
  <c r="G521" i="20" s="1"/>
  <c r="E524" i="12"/>
  <c r="G522" i="20" s="1"/>
  <c r="E525" i="12"/>
  <c r="G523" i="20" s="1"/>
  <c r="E526" i="12"/>
  <c r="G524" i="20" s="1"/>
  <c r="E527" i="12"/>
  <c r="G525" i="20" s="1"/>
  <c r="E528" i="12"/>
  <c r="G526" i="20" s="1"/>
  <c r="E529" i="12"/>
  <c r="G527" i="20" s="1"/>
  <c r="E530" i="12"/>
  <c r="G528" i="20" s="1"/>
  <c r="E531" i="12"/>
  <c r="G529" i="20" s="1"/>
  <c r="E532" i="12"/>
  <c r="G530" i="20" s="1"/>
  <c r="E533" i="12"/>
  <c r="G531" i="20" s="1"/>
  <c r="E534" i="12"/>
  <c r="G532" i="20" s="1"/>
  <c r="E535" i="12"/>
  <c r="G533" i="20" s="1"/>
  <c r="E536" i="12"/>
  <c r="G534" i="20" s="1"/>
  <c r="E537" i="12"/>
  <c r="G535" i="20" s="1"/>
  <c r="E538" i="12"/>
  <c r="G536" i="20" s="1"/>
  <c r="E539" i="12"/>
  <c r="G537" i="20" s="1"/>
  <c r="E540" i="12"/>
  <c r="G538" i="20" s="1"/>
  <c r="E541" i="12"/>
  <c r="G539" i="20" s="1"/>
  <c r="E542" i="12"/>
  <c r="G540" i="20" s="1"/>
  <c r="E543" i="12"/>
  <c r="G541" i="20" s="1"/>
  <c r="E544" i="12"/>
  <c r="G542" i="20" s="1"/>
  <c r="E545" i="12"/>
  <c r="G543" i="20" s="1"/>
  <c r="E546" i="12"/>
  <c r="G544" i="20" s="1"/>
  <c r="E547" i="12"/>
  <c r="G545" i="20" s="1"/>
  <c r="E548" i="12"/>
  <c r="G546" i="20" s="1"/>
  <c r="E549" i="12"/>
  <c r="G547" i="20" s="1"/>
  <c r="E550" i="12"/>
  <c r="G548" i="20" s="1"/>
  <c r="E551" i="12"/>
  <c r="G549" i="20" s="1"/>
  <c r="E552" i="12"/>
  <c r="G550" i="20" s="1"/>
  <c r="E553" i="12"/>
  <c r="G551" i="20" s="1"/>
  <c r="E554" i="12"/>
  <c r="G552" i="20" s="1"/>
  <c r="E555" i="12"/>
  <c r="G553" i="20" s="1"/>
  <c r="E556" i="12"/>
  <c r="G554" i="20" s="1"/>
  <c r="E557" i="12"/>
  <c r="G555" i="20" s="1"/>
  <c r="E558" i="12"/>
  <c r="G556" i="20" s="1"/>
  <c r="E559" i="12"/>
  <c r="G557" i="20" s="1"/>
  <c r="E560" i="12"/>
  <c r="G558" i="20" s="1"/>
  <c r="E561" i="12"/>
  <c r="G559" i="20" s="1"/>
  <c r="E562" i="12"/>
  <c r="G560" i="20" s="1"/>
  <c r="E563" i="12"/>
  <c r="G561" i="20" s="1"/>
  <c r="E564" i="12"/>
  <c r="G562" i="20" s="1"/>
  <c r="E565" i="12"/>
  <c r="G563" i="20" s="1"/>
  <c r="E566" i="12"/>
  <c r="G564" i="20" s="1"/>
  <c r="E567" i="12"/>
  <c r="G565" i="20" s="1"/>
  <c r="E568" i="12"/>
  <c r="G566" i="20" s="1"/>
  <c r="E569" i="12"/>
  <c r="G567" i="20" s="1"/>
  <c r="E570" i="12"/>
  <c r="G568" i="20" s="1"/>
  <c r="E571" i="12"/>
  <c r="G569" i="20" s="1"/>
  <c r="E572" i="12"/>
  <c r="G570" i="20" s="1"/>
  <c r="E573" i="12"/>
  <c r="G571" i="20" s="1"/>
  <c r="E574" i="12"/>
  <c r="G572" i="20" s="1"/>
  <c r="E575" i="12"/>
  <c r="G573" i="20" s="1"/>
  <c r="E576" i="12"/>
  <c r="G574" i="20" s="1"/>
  <c r="E577" i="12"/>
  <c r="G575" i="20" s="1"/>
  <c r="E578" i="12"/>
  <c r="G576" i="20" s="1"/>
  <c r="E579" i="12"/>
  <c r="G577" i="20" s="1"/>
  <c r="E580" i="12"/>
  <c r="G578" i="20" s="1"/>
  <c r="E581" i="12"/>
  <c r="G579" i="20" s="1"/>
  <c r="E582" i="12"/>
  <c r="G580" i="20" s="1"/>
  <c r="E583" i="12"/>
  <c r="G581" i="20" s="1"/>
  <c r="E584" i="12"/>
  <c r="G582" i="20" s="1"/>
  <c r="E585" i="12"/>
  <c r="G583" i="20" s="1"/>
  <c r="E586" i="12"/>
  <c r="G584" i="20" s="1"/>
  <c r="E587" i="12"/>
  <c r="G585" i="20" s="1"/>
  <c r="E588" i="12"/>
  <c r="G586" i="20" s="1"/>
  <c r="E589" i="12"/>
  <c r="G587" i="20" s="1"/>
  <c r="E590" i="12"/>
  <c r="G588" i="20" s="1"/>
  <c r="E591" i="12"/>
  <c r="G589" i="20" s="1"/>
  <c r="E592" i="12"/>
  <c r="G590" i="20" s="1"/>
  <c r="E593" i="12"/>
  <c r="G591" i="20" s="1"/>
  <c r="E594" i="12"/>
  <c r="G592" i="20" s="1"/>
  <c r="E595" i="12"/>
  <c r="G593" i="20" s="1"/>
  <c r="E596" i="12"/>
  <c r="G594" i="20" s="1"/>
  <c r="E597" i="12"/>
  <c r="G595" i="20" s="1"/>
  <c r="E598" i="12"/>
  <c r="G596" i="20" s="1"/>
  <c r="E599" i="12"/>
  <c r="G597" i="20" s="1"/>
  <c r="E600" i="12"/>
  <c r="G598" i="20" s="1"/>
  <c r="E601" i="12"/>
  <c r="G599" i="20" s="1"/>
  <c r="E602" i="12"/>
  <c r="G600" i="20" s="1"/>
  <c r="E603" i="12"/>
  <c r="G601" i="20" s="1"/>
  <c r="E604" i="12"/>
  <c r="G602" i="20" s="1"/>
  <c r="E605" i="12"/>
  <c r="G603" i="20" s="1"/>
  <c r="E606" i="12"/>
  <c r="G604" i="20" s="1"/>
  <c r="E607" i="12"/>
  <c r="G605" i="20" s="1"/>
  <c r="E608" i="12"/>
  <c r="G606" i="20" s="1"/>
  <c r="E609" i="12"/>
  <c r="G607" i="20" s="1"/>
  <c r="E610" i="12"/>
  <c r="G608" i="20" s="1"/>
  <c r="E611" i="12"/>
  <c r="G609" i="20" s="1"/>
  <c r="E612" i="12"/>
  <c r="G610" i="20" s="1"/>
  <c r="E613" i="12"/>
  <c r="G611" i="20" s="1"/>
  <c r="E614" i="12"/>
  <c r="G612" i="20" s="1"/>
  <c r="E615" i="12"/>
  <c r="G613" i="20" s="1"/>
  <c r="E616" i="12"/>
  <c r="G614" i="20" s="1"/>
  <c r="E617" i="12"/>
  <c r="G615" i="20" s="1"/>
  <c r="E618" i="12"/>
  <c r="G616" i="20" s="1"/>
  <c r="E619" i="12"/>
  <c r="G617" i="20" s="1"/>
  <c r="E620" i="12"/>
  <c r="G618" i="20" s="1"/>
  <c r="E621" i="12"/>
  <c r="G619" i="20" s="1"/>
  <c r="E622" i="12"/>
  <c r="G620" i="20" s="1"/>
  <c r="E623" i="12"/>
  <c r="G621" i="20" s="1"/>
  <c r="E624" i="12"/>
  <c r="G622" i="20" s="1"/>
  <c r="E625" i="12"/>
  <c r="G623" i="20" s="1"/>
  <c r="E626" i="12"/>
  <c r="G624" i="20" s="1"/>
  <c r="E627" i="12"/>
  <c r="G625" i="20" s="1"/>
  <c r="E628" i="12"/>
  <c r="G626" i="20" s="1"/>
  <c r="E629" i="12"/>
  <c r="G627" i="20" s="1"/>
  <c r="E630" i="12"/>
  <c r="G628" i="20" s="1"/>
  <c r="E631" i="12"/>
  <c r="G629" i="20" s="1"/>
  <c r="E632" i="12"/>
  <c r="G630" i="20" s="1"/>
  <c r="E633" i="12"/>
  <c r="G631" i="20" s="1"/>
  <c r="E634" i="12"/>
  <c r="G632" i="20" s="1"/>
  <c r="E635" i="12"/>
  <c r="G633" i="20" s="1"/>
  <c r="E636" i="12"/>
  <c r="G634" i="20" s="1"/>
  <c r="E637" i="12"/>
  <c r="G635" i="20" s="1"/>
  <c r="E3" i="1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3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K633" i="20" l="1"/>
  <c r="D633" s="1"/>
  <c r="K631"/>
  <c r="D631" s="1"/>
  <c r="K629"/>
  <c r="D629" s="1"/>
  <c r="K627"/>
  <c r="D627" s="1"/>
  <c r="K625"/>
  <c r="D625" s="1"/>
  <c r="K623"/>
  <c r="D623" s="1"/>
  <c r="K621"/>
  <c r="D621" s="1"/>
  <c r="K619"/>
  <c r="D619" s="1"/>
  <c r="K617"/>
  <c r="D617" s="1"/>
  <c r="K615"/>
  <c r="D615" s="1"/>
  <c r="K613"/>
  <c r="D613" s="1"/>
  <c r="K611"/>
  <c r="D611" s="1"/>
  <c r="K609"/>
  <c r="D609" s="1"/>
  <c r="K607"/>
  <c r="D607" s="1"/>
  <c r="K605"/>
  <c r="D605" s="1"/>
  <c r="K603"/>
  <c r="D603" s="1"/>
  <c r="K601"/>
  <c r="D601" s="1"/>
  <c r="K599"/>
  <c r="D599" s="1"/>
  <c r="K597"/>
  <c r="D597" s="1"/>
  <c r="K595"/>
  <c r="D595" s="1"/>
  <c r="K593"/>
  <c r="D593" s="1"/>
  <c r="K591"/>
  <c r="D591" s="1"/>
  <c r="K589"/>
  <c r="D589" s="1"/>
  <c r="K587"/>
  <c r="D587" s="1"/>
  <c r="K585"/>
  <c r="D585" s="1"/>
  <c r="K583"/>
  <c r="D583" s="1"/>
  <c r="K581"/>
  <c r="D581" s="1"/>
  <c r="K579"/>
  <c r="D579" s="1"/>
  <c r="K577"/>
  <c r="D577" s="1"/>
  <c r="K575"/>
  <c r="D575" s="1"/>
  <c r="K573"/>
  <c r="D573" s="1"/>
  <c r="K571"/>
  <c r="D571" s="1"/>
  <c r="K569"/>
  <c r="D569" s="1"/>
  <c r="K567"/>
  <c r="D567" s="1"/>
  <c r="K565"/>
  <c r="D565" s="1"/>
  <c r="K563"/>
  <c r="D563" s="1"/>
  <c r="K561"/>
  <c r="D561" s="1"/>
  <c r="K559"/>
  <c r="D559" s="1"/>
  <c r="K557"/>
  <c r="D557" s="1"/>
  <c r="K555"/>
  <c r="D555" s="1"/>
  <c r="K553"/>
  <c r="D553" s="1"/>
  <c r="K551"/>
  <c r="D551" s="1"/>
  <c r="K549"/>
  <c r="D549" s="1"/>
  <c r="K547"/>
  <c r="D547" s="1"/>
  <c r="K545"/>
  <c r="D545" s="1"/>
  <c r="K543"/>
  <c r="D543" s="1"/>
  <c r="K541"/>
  <c r="D541" s="1"/>
  <c r="K539"/>
  <c r="D539" s="1"/>
  <c r="K537"/>
  <c r="D537" s="1"/>
  <c r="K535"/>
  <c r="D535" s="1"/>
  <c r="K533"/>
  <c r="D533" s="1"/>
  <c r="K531"/>
  <c r="D531" s="1"/>
  <c r="K529"/>
  <c r="D529" s="1"/>
  <c r="K527"/>
  <c r="D527" s="1"/>
  <c r="K525"/>
  <c r="D525" s="1"/>
  <c r="K523"/>
  <c r="D523" s="1"/>
  <c r="K521"/>
  <c r="D521" s="1"/>
  <c r="K519"/>
  <c r="D519" s="1"/>
  <c r="K517"/>
  <c r="D517" s="1"/>
  <c r="K515"/>
  <c r="D515" s="1"/>
  <c r="K513"/>
  <c r="D513" s="1"/>
  <c r="K511"/>
  <c r="D511" s="1"/>
  <c r="K509"/>
  <c r="D509" s="1"/>
  <c r="K507"/>
  <c r="D507" s="1"/>
  <c r="K505"/>
  <c r="D505" s="1"/>
  <c r="K503"/>
  <c r="D503" s="1"/>
  <c r="K501"/>
  <c r="D501" s="1"/>
  <c r="K499"/>
  <c r="D499" s="1"/>
  <c r="K497"/>
  <c r="D497" s="1"/>
  <c r="K495"/>
  <c r="D495" s="1"/>
  <c r="K493"/>
  <c r="D493" s="1"/>
  <c r="K491"/>
  <c r="D491" s="1"/>
  <c r="K489"/>
  <c r="D489" s="1"/>
  <c r="K487"/>
  <c r="D487" s="1"/>
  <c r="K485"/>
  <c r="D485" s="1"/>
  <c r="K483"/>
  <c r="D483" s="1"/>
  <c r="K481"/>
  <c r="D481" s="1"/>
  <c r="K479"/>
  <c r="D479" s="1"/>
  <c r="K477"/>
  <c r="D477" s="1"/>
  <c r="K475"/>
  <c r="D475" s="1"/>
  <c r="K473"/>
  <c r="D473" s="1"/>
  <c r="K471"/>
  <c r="D471" s="1"/>
  <c r="K469"/>
  <c r="D469" s="1"/>
  <c r="K467"/>
  <c r="D467" s="1"/>
  <c r="K465"/>
  <c r="D465" s="1"/>
  <c r="K463"/>
  <c r="D463" s="1"/>
  <c r="K461"/>
  <c r="D461" s="1"/>
  <c r="K459"/>
  <c r="D459" s="1"/>
  <c r="K457"/>
  <c r="D457" s="1"/>
  <c r="K455"/>
  <c r="D455" s="1"/>
  <c r="K453"/>
  <c r="D453" s="1"/>
  <c r="K451"/>
  <c r="D451" s="1"/>
  <c r="K449"/>
  <c r="D449" s="1"/>
  <c r="K447"/>
  <c r="D447" s="1"/>
  <c r="K445"/>
  <c r="D445" s="1"/>
  <c r="K443"/>
  <c r="D443" s="1"/>
  <c r="K441"/>
  <c r="D441" s="1"/>
  <c r="K439"/>
  <c r="D439" s="1"/>
  <c r="K437"/>
  <c r="D437" s="1"/>
  <c r="K435"/>
  <c r="D435" s="1"/>
  <c r="K433"/>
  <c r="D433" s="1"/>
  <c r="K431"/>
  <c r="D431" s="1"/>
  <c r="K429"/>
  <c r="D429" s="1"/>
  <c r="K427"/>
  <c r="D427" s="1"/>
  <c r="K425"/>
  <c r="D425" s="1"/>
  <c r="K423"/>
  <c r="D423" s="1"/>
  <c r="K421"/>
  <c r="D421" s="1"/>
  <c r="K419"/>
  <c r="D419" s="1"/>
  <c r="K417"/>
  <c r="D417" s="1"/>
  <c r="K415"/>
  <c r="D415" s="1"/>
  <c r="K413"/>
  <c r="D413" s="1"/>
  <c r="K411"/>
  <c r="D411" s="1"/>
  <c r="K409"/>
  <c r="D409" s="1"/>
  <c r="K407"/>
  <c r="D407" s="1"/>
  <c r="K405"/>
  <c r="D405" s="1"/>
  <c r="K403"/>
  <c r="D403" s="1"/>
  <c r="K401"/>
  <c r="D401" s="1"/>
  <c r="K399"/>
  <c r="D399" s="1"/>
  <c r="K397"/>
  <c r="D397" s="1"/>
  <c r="K395"/>
  <c r="D395" s="1"/>
  <c r="K393"/>
  <c r="D393" s="1"/>
  <c r="K391"/>
  <c r="D391" s="1"/>
  <c r="K389"/>
  <c r="D389" s="1"/>
  <c r="K387"/>
  <c r="D387" s="1"/>
  <c r="K385"/>
  <c r="D385" s="1"/>
  <c r="K383"/>
  <c r="D383" s="1"/>
  <c r="K381"/>
  <c r="D381" s="1"/>
  <c r="K379"/>
  <c r="D379" s="1"/>
  <c r="K377"/>
  <c r="D377" s="1"/>
  <c r="K375"/>
  <c r="D375" s="1"/>
  <c r="K373"/>
  <c r="D373" s="1"/>
  <c r="K371"/>
  <c r="D371" s="1"/>
  <c r="K369"/>
  <c r="D369" s="1"/>
  <c r="K367"/>
  <c r="D367" s="1"/>
  <c r="K365"/>
  <c r="D365" s="1"/>
  <c r="K363"/>
  <c r="D363" s="1"/>
  <c r="K361"/>
  <c r="D361" s="1"/>
  <c r="K359"/>
  <c r="D359" s="1"/>
  <c r="K357"/>
  <c r="D357" s="1"/>
  <c r="K355"/>
  <c r="D355" s="1"/>
  <c r="K353"/>
  <c r="D353" s="1"/>
  <c r="K351"/>
  <c r="D351" s="1"/>
  <c r="K349"/>
  <c r="D349" s="1"/>
  <c r="K347"/>
  <c r="D347" s="1"/>
  <c r="K345"/>
  <c r="D345" s="1"/>
  <c r="K343"/>
  <c r="D343" s="1"/>
  <c r="K341"/>
  <c r="D341" s="1"/>
  <c r="K339"/>
  <c r="D339" s="1"/>
  <c r="K337"/>
  <c r="D337" s="1"/>
  <c r="K335"/>
  <c r="D335" s="1"/>
  <c r="K333"/>
  <c r="D333" s="1"/>
  <c r="K331"/>
  <c r="D331" s="1"/>
  <c r="K329"/>
  <c r="D329" s="1"/>
  <c r="K327"/>
  <c r="D327" s="1"/>
  <c r="K325"/>
  <c r="D325" s="1"/>
  <c r="K323"/>
  <c r="D323" s="1"/>
  <c r="K321"/>
  <c r="D321" s="1"/>
  <c r="K319"/>
  <c r="D319" s="1"/>
  <c r="K317"/>
  <c r="D317" s="1"/>
  <c r="K315"/>
  <c r="D315" s="1"/>
  <c r="K313"/>
  <c r="D313" s="1"/>
  <c r="K311"/>
  <c r="D311" s="1"/>
  <c r="K309"/>
  <c r="D309" s="1"/>
  <c r="K307"/>
  <c r="D307" s="1"/>
  <c r="K305"/>
  <c r="D305" s="1"/>
  <c r="K303"/>
  <c r="D303" s="1"/>
  <c r="K301"/>
  <c r="D301" s="1"/>
  <c r="K299"/>
  <c r="D299" s="1"/>
  <c r="K297"/>
  <c r="D297" s="1"/>
  <c r="K295"/>
  <c r="D295" s="1"/>
  <c r="K293"/>
  <c r="D293" s="1"/>
  <c r="K291"/>
  <c r="D291" s="1"/>
  <c r="K289"/>
  <c r="D289" s="1"/>
  <c r="K287"/>
  <c r="D287" s="1"/>
  <c r="K285"/>
  <c r="D285" s="1"/>
  <c r="K283"/>
  <c r="D283" s="1"/>
  <c r="K281"/>
  <c r="D281" s="1"/>
  <c r="K279"/>
  <c r="D279" s="1"/>
  <c r="K277"/>
  <c r="D277" s="1"/>
  <c r="K275"/>
  <c r="D275" s="1"/>
  <c r="K273"/>
  <c r="D273" s="1"/>
  <c r="K271"/>
  <c r="D271" s="1"/>
  <c r="K269"/>
  <c r="D269" s="1"/>
  <c r="K267"/>
  <c r="D267" s="1"/>
  <c r="K265"/>
  <c r="D265" s="1"/>
  <c r="K263"/>
  <c r="D263" s="1"/>
  <c r="K261"/>
  <c r="D261" s="1"/>
  <c r="K259"/>
  <c r="D259" s="1"/>
  <c r="K257"/>
  <c r="D257" s="1"/>
  <c r="K255"/>
  <c r="D255" s="1"/>
  <c r="K253"/>
  <c r="D253" s="1"/>
  <c r="K251"/>
  <c r="D251" s="1"/>
  <c r="K249"/>
  <c r="D249" s="1"/>
  <c r="K247"/>
  <c r="D247" s="1"/>
  <c r="K245"/>
  <c r="D245" s="1"/>
  <c r="K243"/>
  <c r="D243" s="1"/>
  <c r="K241"/>
  <c r="D241" s="1"/>
  <c r="K239"/>
  <c r="D239" s="1"/>
  <c r="K237"/>
  <c r="D237" s="1"/>
  <c r="K235"/>
  <c r="D235" s="1"/>
  <c r="K233"/>
  <c r="D233" s="1"/>
  <c r="K231"/>
  <c r="D231" s="1"/>
  <c r="K229"/>
  <c r="D229" s="1"/>
  <c r="K227"/>
  <c r="D227" s="1"/>
  <c r="K225"/>
  <c r="D225" s="1"/>
  <c r="K223"/>
  <c r="D223" s="1"/>
  <c r="K221"/>
  <c r="D221" s="1"/>
  <c r="K219"/>
  <c r="D219" s="1"/>
  <c r="K217"/>
  <c r="D217" s="1"/>
  <c r="K215"/>
  <c r="D215" s="1"/>
  <c r="K213"/>
  <c r="D213" s="1"/>
  <c r="K211"/>
  <c r="D211" s="1"/>
  <c r="K209"/>
  <c r="D209" s="1"/>
  <c r="K207"/>
  <c r="D207" s="1"/>
  <c r="K205"/>
  <c r="D205" s="1"/>
  <c r="K203"/>
  <c r="D203" s="1"/>
  <c r="K201"/>
  <c r="D201" s="1"/>
  <c r="K199"/>
  <c r="D199" s="1"/>
  <c r="K197"/>
  <c r="D197" s="1"/>
  <c r="K195"/>
  <c r="D195" s="1"/>
  <c r="K193"/>
  <c r="D193" s="1"/>
  <c r="K191"/>
  <c r="D191" s="1"/>
  <c r="K189"/>
  <c r="D189" s="1"/>
  <c r="K187"/>
  <c r="D187" s="1"/>
  <c r="K185"/>
  <c r="D185" s="1"/>
  <c r="K183"/>
  <c r="D183" s="1"/>
  <c r="K181"/>
  <c r="D181" s="1"/>
  <c r="K179"/>
  <c r="D179" s="1"/>
  <c r="K177"/>
  <c r="D177" s="1"/>
  <c r="K175"/>
  <c r="D175" s="1"/>
  <c r="K173"/>
  <c r="D173" s="1"/>
  <c r="K171"/>
  <c r="D171" s="1"/>
  <c r="K169"/>
  <c r="D169" s="1"/>
  <c r="K167"/>
  <c r="D167" s="1"/>
  <c r="K165"/>
  <c r="D165" s="1"/>
  <c r="K163"/>
  <c r="D163" s="1"/>
  <c r="K161"/>
  <c r="D161" s="1"/>
  <c r="K159"/>
  <c r="D159" s="1"/>
  <c r="K157"/>
  <c r="D157" s="1"/>
  <c r="K155"/>
  <c r="D155" s="1"/>
  <c r="K153"/>
  <c r="D153" s="1"/>
  <c r="K151"/>
  <c r="D151" s="1"/>
  <c r="K149"/>
  <c r="D149" s="1"/>
  <c r="K147"/>
  <c r="D147" s="1"/>
  <c r="K145"/>
  <c r="D145" s="1"/>
  <c r="K143"/>
  <c r="D143" s="1"/>
  <c r="K141"/>
  <c r="D141" s="1"/>
  <c r="K139"/>
  <c r="D139" s="1"/>
  <c r="K137"/>
  <c r="D137" s="1"/>
  <c r="K135"/>
  <c r="D135" s="1"/>
  <c r="K133"/>
  <c r="D133" s="1"/>
  <c r="K131"/>
  <c r="D131" s="1"/>
  <c r="K129"/>
  <c r="D129" s="1"/>
  <c r="K127"/>
  <c r="D127" s="1"/>
  <c r="K125"/>
  <c r="D125" s="1"/>
  <c r="K123"/>
  <c r="D123" s="1"/>
  <c r="K121"/>
  <c r="D121" s="1"/>
  <c r="K119"/>
  <c r="D119" s="1"/>
  <c r="K117"/>
  <c r="D117" s="1"/>
  <c r="K115"/>
  <c r="D115" s="1"/>
  <c r="K113"/>
  <c r="D113" s="1"/>
  <c r="K111"/>
  <c r="D111" s="1"/>
  <c r="K109"/>
  <c r="D109" s="1"/>
  <c r="K107"/>
  <c r="D107" s="1"/>
  <c r="K105"/>
  <c r="D105" s="1"/>
  <c r="K103"/>
  <c r="D103" s="1"/>
  <c r="K101"/>
  <c r="D101" s="1"/>
  <c r="K99"/>
  <c r="D99" s="1"/>
  <c r="K97"/>
  <c r="D97" s="1"/>
  <c r="K95"/>
  <c r="D95" s="1"/>
  <c r="K93"/>
  <c r="D93" s="1"/>
  <c r="K91"/>
  <c r="D91" s="1"/>
  <c r="K89"/>
  <c r="D89" s="1"/>
  <c r="K87"/>
  <c r="D87" s="1"/>
  <c r="K85"/>
  <c r="D85" s="1"/>
  <c r="K83"/>
  <c r="D83" s="1"/>
  <c r="K81"/>
  <c r="D81" s="1"/>
  <c r="K79"/>
  <c r="D79" s="1"/>
  <c r="K77"/>
  <c r="D77" s="1"/>
  <c r="K75"/>
  <c r="D75" s="1"/>
  <c r="K73"/>
  <c r="D73" s="1"/>
  <c r="K71"/>
  <c r="D71" s="1"/>
  <c r="K69"/>
  <c r="D69" s="1"/>
  <c r="K67"/>
  <c r="D67" s="1"/>
  <c r="K65"/>
  <c r="D65" s="1"/>
  <c r="K63"/>
  <c r="D63" s="1"/>
  <c r="K61"/>
  <c r="D61" s="1"/>
  <c r="K59"/>
  <c r="D59" s="1"/>
  <c r="K57"/>
  <c r="D57" s="1"/>
  <c r="K55"/>
  <c r="D55" s="1"/>
  <c r="K53"/>
  <c r="D53" s="1"/>
  <c r="K51"/>
  <c r="D51" s="1"/>
  <c r="K49"/>
  <c r="D49" s="1"/>
  <c r="K47"/>
  <c r="D47" s="1"/>
  <c r="K45"/>
  <c r="D45" s="1"/>
  <c r="K43"/>
  <c r="D43" s="1"/>
  <c r="K41"/>
  <c r="D41" s="1"/>
  <c r="K39"/>
  <c r="D39" s="1"/>
  <c r="K37"/>
  <c r="D37" s="1"/>
  <c r="K35"/>
  <c r="D35" s="1"/>
  <c r="K33"/>
  <c r="D33" s="1"/>
  <c r="K31"/>
  <c r="D31" s="1"/>
  <c r="K29"/>
  <c r="D29" s="1"/>
  <c r="K27"/>
  <c r="D27" s="1"/>
  <c r="K25"/>
  <c r="D25" s="1"/>
  <c r="K23"/>
  <c r="D23" s="1"/>
  <c r="K21"/>
  <c r="D21" s="1"/>
  <c r="K19"/>
  <c r="D19" s="1"/>
  <c r="K17"/>
  <c r="D17" s="1"/>
  <c r="K15"/>
  <c r="D15" s="1"/>
  <c r="K13"/>
  <c r="D13" s="1"/>
  <c r="K11"/>
  <c r="D11" s="1"/>
  <c r="K9"/>
  <c r="D9" s="1"/>
  <c r="K7"/>
  <c r="D7" s="1"/>
  <c r="K5"/>
  <c r="D5" s="1"/>
  <c r="K3"/>
  <c r="D3" s="1"/>
  <c r="K634"/>
  <c r="D634" s="1"/>
  <c r="K632"/>
  <c r="D632" s="1"/>
  <c r="K630"/>
  <c r="D630" s="1"/>
  <c r="K628"/>
  <c r="D628" s="1"/>
  <c r="K626"/>
  <c r="D626" s="1"/>
  <c r="K624"/>
  <c r="D624" s="1"/>
  <c r="K622"/>
  <c r="D622" s="1"/>
  <c r="K620"/>
  <c r="D620" s="1"/>
  <c r="K618"/>
  <c r="D618" s="1"/>
  <c r="K616"/>
  <c r="D616" s="1"/>
  <c r="K614"/>
  <c r="D614" s="1"/>
  <c r="K612"/>
  <c r="D612" s="1"/>
  <c r="K610"/>
  <c r="D610" s="1"/>
  <c r="K608"/>
  <c r="D608" s="1"/>
  <c r="K606"/>
  <c r="D606" s="1"/>
  <c r="K604"/>
  <c r="D604" s="1"/>
  <c r="K602"/>
  <c r="D602" s="1"/>
  <c r="K600"/>
  <c r="D600" s="1"/>
  <c r="K598"/>
  <c r="D598" s="1"/>
  <c r="K596"/>
  <c r="D596" s="1"/>
  <c r="K594"/>
  <c r="D594" s="1"/>
  <c r="K592"/>
  <c r="D592" s="1"/>
  <c r="K590"/>
  <c r="D590" s="1"/>
  <c r="K588"/>
  <c r="D588" s="1"/>
  <c r="K586"/>
  <c r="D586" s="1"/>
  <c r="K584"/>
  <c r="D584" s="1"/>
  <c r="K582"/>
  <c r="D582" s="1"/>
  <c r="K580"/>
  <c r="D580" s="1"/>
  <c r="K578"/>
  <c r="D578" s="1"/>
  <c r="K576"/>
  <c r="D576" s="1"/>
  <c r="K574"/>
  <c r="D574" s="1"/>
  <c r="K572"/>
  <c r="D572" s="1"/>
  <c r="K570"/>
  <c r="D570" s="1"/>
  <c r="K568"/>
  <c r="D568" s="1"/>
  <c r="K566"/>
  <c r="D566" s="1"/>
  <c r="K564"/>
  <c r="D564" s="1"/>
  <c r="K562"/>
  <c r="D562" s="1"/>
  <c r="K560"/>
  <c r="D560" s="1"/>
  <c r="K558"/>
  <c r="D558" s="1"/>
  <c r="K556"/>
  <c r="D556" s="1"/>
  <c r="K554"/>
  <c r="D554" s="1"/>
  <c r="K552"/>
  <c r="D552" s="1"/>
  <c r="K550"/>
  <c r="D550" s="1"/>
  <c r="K548"/>
  <c r="D548" s="1"/>
  <c r="K546"/>
  <c r="D546" s="1"/>
  <c r="K544"/>
  <c r="D544" s="1"/>
  <c r="K542"/>
  <c r="D542" s="1"/>
  <c r="K540"/>
  <c r="D540" s="1"/>
  <c r="K538"/>
  <c r="D538" s="1"/>
  <c r="K536"/>
  <c r="D536" s="1"/>
  <c r="K534"/>
  <c r="D534" s="1"/>
  <c r="K532"/>
  <c r="D532" s="1"/>
  <c r="K530"/>
  <c r="D530" s="1"/>
  <c r="K528"/>
  <c r="D528" s="1"/>
  <c r="K526"/>
  <c r="D526" s="1"/>
  <c r="K524"/>
  <c r="D524" s="1"/>
  <c r="K522"/>
  <c r="D522" s="1"/>
  <c r="K520"/>
  <c r="D520" s="1"/>
  <c r="K518"/>
  <c r="D518" s="1"/>
  <c r="K516"/>
  <c r="D516" s="1"/>
  <c r="K514"/>
  <c r="D514" s="1"/>
  <c r="K512"/>
  <c r="D512" s="1"/>
  <c r="K510"/>
  <c r="D510" s="1"/>
  <c r="K508"/>
  <c r="D508" s="1"/>
  <c r="K506"/>
  <c r="D506" s="1"/>
  <c r="K504"/>
  <c r="D504" s="1"/>
  <c r="K502"/>
  <c r="D502" s="1"/>
  <c r="K500"/>
  <c r="D500" s="1"/>
  <c r="K498"/>
  <c r="D498" s="1"/>
  <c r="K496"/>
  <c r="D496" s="1"/>
  <c r="K494"/>
  <c r="D494" s="1"/>
  <c r="K492"/>
  <c r="D492" s="1"/>
  <c r="K490"/>
  <c r="D490" s="1"/>
  <c r="K488"/>
  <c r="D488" s="1"/>
  <c r="K486"/>
  <c r="D486" s="1"/>
  <c r="K484"/>
  <c r="D484" s="1"/>
  <c r="K482"/>
  <c r="D482" s="1"/>
  <c r="K480"/>
  <c r="D480" s="1"/>
  <c r="K478"/>
  <c r="D478" s="1"/>
  <c r="K476"/>
  <c r="D476" s="1"/>
  <c r="K474"/>
  <c r="D474" s="1"/>
  <c r="K472"/>
  <c r="D472" s="1"/>
  <c r="K470"/>
  <c r="D470" s="1"/>
  <c r="K468"/>
  <c r="D468" s="1"/>
  <c r="K466"/>
  <c r="D466" s="1"/>
  <c r="K464"/>
  <c r="D464" s="1"/>
  <c r="K462"/>
  <c r="D462" s="1"/>
  <c r="K460"/>
  <c r="D460" s="1"/>
  <c r="K458"/>
  <c r="D458" s="1"/>
  <c r="K456"/>
  <c r="D456" s="1"/>
  <c r="K454"/>
  <c r="D454" s="1"/>
  <c r="K452"/>
  <c r="D452" s="1"/>
  <c r="K450"/>
  <c r="D450" s="1"/>
  <c r="K448"/>
  <c r="D448" s="1"/>
  <c r="K446"/>
  <c r="D446" s="1"/>
  <c r="K444"/>
  <c r="D444" s="1"/>
  <c r="K442"/>
  <c r="D442" s="1"/>
  <c r="K440"/>
  <c r="D440" s="1"/>
  <c r="K438"/>
  <c r="D438" s="1"/>
  <c r="K436"/>
  <c r="D436" s="1"/>
  <c r="K434"/>
  <c r="D434" s="1"/>
  <c r="K432"/>
  <c r="D432" s="1"/>
  <c r="K430"/>
  <c r="D430" s="1"/>
  <c r="K428"/>
  <c r="D428" s="1"/>
  <c r="K426"/>
  <c r="D426" s="1"/>
  <c r="K424"/>
  <c r="D424" s="1"/>
  <c r="K422"/>
  <c r="D422" s="1"/>
  <c r="K420"/>
  <c r="D420" s="1"/>
  <c r="K418"/>
  <c r="D418" s="1"/>
  <c r="K416"/>
  <c r="D416" s="1"/>
  <c r="K414"/>
  <c r="D414" s="1"/>
  <c r="K412"/>
  <c r="D412" s="1"/>
  <c r="K410"/>
  <c r="D410" s="1"/>
  <c r="K408"/>
  <c r="D408" s="1"/>
  <c r="K406"/>
  <c r="D406" s="1"/>
  <c r="K404"/>
  <c r="D404" s="1"/>
  <c r="K402"/>
  <c r="D402" s="1"/>
  <c r="K400"/>
  <c r="D400" s="1"/>
  <c r="K398"/>
  <c r="D398" s="1"/>
  <c r="K396"/>
  <c r="D396" s="1"/>
  <c r="K394"/>
  <c r="D394" s="1"/>
  <c r="K392"/>
  <c r="D392" s="1"/>
  <c r="K390"/>
  <c r="D390" s="1"/>
  <c r="K388"/>
  <c r="D388" s="1"/>
  <c r="K386"/>
  <c r="D386" s="1"/>
  <c r="K384"/>
  <c r="D384" s="1"/>
  <c r="K382"/>
  <c r="D382" s="1"/>
  <c r="K380"/>
  <c r="D380" s="1"/>
  <c r="K378"/>
  <c r="D378" s="1"/>
  <c r="K376"/>
  <c r="D376" s="1"/>
  <c r="K374"/>
  <c r="D374" s="1"/>
  <c r="K372"/>
  <c r="D372" s="1"/>
  <c r="K370"/>
  <c r="D370" s="1"/>
  <c r="K368"/>
  <c r="D368" s="1"/>
  <c r="K366"/>
  <c r="D366" s="1"/>
  <c r="K364"/>
  <c r="D364" s="1"/>
  <c r="K362"/>
  <c r="D362" s="1"/>
  <c r="K360"/>
  <c r="D360" s="1"/>
  <c r="K358"/>
  <c r="D358" s="1"/>
  <c r="K356"/>
  <c r="D356" s="1"/>
  <c r="K354"/>
  <c r="D354" s="1"/>
  <c r="K352"/>
  <c r="D352" s="1"/>
  <c r="K350"/>
  <c r="D350" s="1"/>
  <c r="K348"/>
  <c r="D348" s="1"/>
  <c r="K346"/>
  <c r="D346" s="1"/>
  <c r="K344"/>
  <c r="D344" s="1"/>
  <c r="K342"/>
  <c r="D342" s="1"/>
  <c r="K340"/>
  <c r="D340" s="1"/>
  <c r="K338"/>
  <c r="D338" s="1"/>
  <c r="K336"/>
  <c r="D336" s="1"/>
  <c r="K334"/>
  <c r="D334" s="1"/>
  <c r="K332"/>
  <c r="D332" s="1"/>
  <c r="K330"/>
  <c r="D330" s="1"/>
  <c r="K328"/>
  <c r="D328" s="1"/>
  <c r="K326"/>
  <c r="D326" s="1"/>
  <c r="K324"/>
  <c r="D324" s="1"/>
  <c r="K322"/>
  <c r="D322" s="1"/>
  <c r="K320"/>
  <c r="D320" s="1"/>
  <c r="K318"/>
  <c r="D318" s="1"/>
  <c r="K316"/>
  <c r="D316" s="1"/>
  <c r="K314"/>
  <c r="D314" s="1"/>
  <c r="K312"/>
  <c r="D312" s="1"/>
  <c r="K310"/>
  <c r="D310" s="1"/>
  <c r="K308"/>
  <c r="D308" s="1"/>
  <c r="K306"/>
  <c r="D306" s="1"/>
  <c r="K304"/>
  <c r="D304" s="1"/>
  <c r="K302"/>
  <c r="D302" s="1"/>
  <c r="K300"/>
  <c r="D300" s="1"/>
  <c r="K298"/>
  <c r="D298" s="1"/>
  <c r="K296"/>
  <c r="D296" s="1"/>
  <c r="K294"/>
  <c r="D294" s="1"/>
  <c r="K292"/>
  <c r="D292" s="1"/>
  <c r="K290"/>
  <c r="D290" s="1"/>
  <c r="K288"/>
  <c r="D288" s="1"/>
  <c r="K286"/>
  <c r="D286" s="1"/>
  <c r="K284"/>
  <c r="D284" s="1"/>
  <c r="K282"/>
  <c r="D282" s="1"/>
  <c r="K280"/>
  <c r="D280" s="1"/>
  <c r="K278"/>
  <c r="D278" s="1"/>
  <c r="K276"/>
  <c r="D276" s="1"/>
  <c r="K274"/>
  <c r="D274" s="1"/>
  <c r="K272"/>
  <c r="D272" s="1"/>
  <c r="K270"/>
  <c r="D270" s="1"/>
  <c r="K268"/>
  <c r="D268" s="1"/>
  <c r="K266"/>
  <c r="D266" s="1"/>
  <c r="K264"/>
  <c r="D264" s="1"/>
  <c r="K262"/>
  <c r="D262" s="1"/>
  <c r="K260"/>
  <c r="D260" s="1"/>
  <c r="K258"/>
  <c r="D258" s="1"/>
  <c r="K256"/>
  <c r="D256" s="1"/>
  <c r="K254"/>
  <c r="D254" s="1"/>
  <c r="K252"/>
  <c r="D252" s="1"/>
  <c r="K250"/>
  <c r="D250" s="1"/>
  <c r="K248"/>
  <c r="D248" s="1"/>
  <c r="K246"/>
  <c r="D246" s="1"/>
  <c r="K244"/>
  <c r="D244" s="1"/>
  <c r="K242"/>
  <c r="D242" s="1"/>
  <c r="K240"/>
  <c r="D240" s="1"/>
  <c r="K238"/>
  <c r="D238" s="1"/>
  <c r="K236"/>
  <c r="D236" s="1"/>
  <c r="K234"/>
  <c r="D234" s="1"/>
  <c r="K232"/>
  <c r="D232" s="1"/>
  <c r="K230"/>
  <c r="D230" s="1"/>
  <c r="K228"/>
  <c r="D228" s="1"/>
  <c r="K226"/>
  <c r="D226" s="1"/>
  <c r="K224"/>
  <c r="D224" s="1"/>
  <c r="K222"/>
  <c r="D222" s="1"/>
  <c r="K220"/>
  <c r="D220" s="1"/>
  <c r="K218"/>
  <c r="D218" s="1"/>
  <c r="K216"/>
  <c r="D216" s="1"/>
  <c r="K214"/>
  <c r="D214" s="1"/>
  <c r="K212"/>
  <c r="D212" s="1"/>
  <c r="K210"/>
  <c r="D210" s="1"/>
  <c r="K208"/>
  <c r="D208" s="1"/>
  <c r="K206"/>
  <c r="D206" s="1"/>
  <c r="K204"/>
  <c r="D204" s="1"/>
  <c r="K202"/>
  <c r="D202" s="1"/>
  <c r="K200"/>
  <c r="D200" s="1"/>
  <c r="K198"/>
  <c r="D198" s="1"/>
  <c r="K196"/>
  <c r="D196" s="1"/>
  <c r="K194"/>
  <c r="D194" s="1"/>
  <c r="K192"/>
  <c r="D192" s="1"/>
  <c r="K190"/>
  <c r="D190" s="1"/>
  <c r="K188"/>
  <c r="D188" s="1"/>
  <c r="K186"/>
  <c r="D186" s="1"/>
  <c r="K184"/>
  <c r="D184" s="1"/>
  <c r="K182"/>
  <c r="D182" s="1"/>
  <c r="K180"/>
  <c r="D180" s="1"/>
  <c r="K178"/>
  <c r="D178" s="1"/>
  <c r="K176"/>
  <c r="D176" s="1"/>
  <c r="K174"/>
  <c r="D174" s="1"/>
  <c r="K172"/>
  <c r="D172" s="1"/>
  <c r="K170"/>
  <c r="D170" s="1"/>
  <c r="K168"/>
  <c r="D168" s="1"/>
  <c r="K166"/>
  <c r="D166" s="1"/>
  <c r="K164"/>
  <c r="D164" s="1"/>
  <c r="K162"/>
  <c r="D162" s="1"/>
  <c r="K160"/>
  <c r="D160" s="1"/>
  <c r="K158"/>
  <c r="D158" s="1"/>
  <c r="K156"/>
  <c r="D156" s="1"/>
  <c r="K154"/>
  <c r="D154" s="1"/>
  <c r="K152"/>
  <c r="D152" s="1"/>
  <c r="K150"/>
  <c r="D150" s="1"/>
  <c r="K148"/>
  <c r="D148" s="1"/>
  <c r="K146"/>
  <c r="D146" s="1"/>
  <c r="K144"/>
  <c r="D144" s="1"/>
  <c r="K142"/>
  <c r="D142" s="1"/>
  <c r="K140"/>
  <c r="D140" s="1"/>
  <c r="K138"/>
  <c r="D138" s="1"/>
  <c r="K136"/>
  <c r="D136" s="1"/>
  <c r="K134"/>
  <c r="D134" s="1"/>
  <c r="K132"/>
  <c r="D132" s="1"/>
  <c r="K130"/>
  <c r="D130" s="1"/>
  <c r="K128"/>
  <c r="D128" s="1"/>
  <c r="K126"/>
  <c r="D126" s="1"/>
  <c r="K124"/>
  <c r="D124" s="1"/>
  <c r="K122"/>
  <c r="D122" s="1"/>
  <c r="K120"/>
  <c r="D120" s="1"/>
  <c r="K118"/>
  <c r="D118" s="1"/>
  <c r="K116"/>
  <c r="D116" s="1"/>
  <c r="K114"/>
  <c r="D114" s="1"/>
  <c r="K112"/>
  <c r="D112" s="1"/>
  <c r="K110"/>
  <c r="D110" s="1"/>
  <c r="K108"/>
  <c r="D108" s="1"/>
  <c r="K106"/>
  <c r="D106" s="1"/>
  <c r="K104"/>
  <c r="D104" s="1"/>
  <c r="K102"/>
  <c r="D102" s="1"/>
  <c r="K100"/>
  <c r="D100" s="1"/>
  <c r="K98"/>
  <c r="D98" s="1"/>
  <c r="K96"/>
  <c r="D96" s="1"/>
  <c r="K94"/>
  <c r="D94" s="1"/>
  <c r="K92"/>
  <c r="D92" s="1"/>
  <c r="K90"/>
  <c r="D90" s="1"/>
  <c r="K88"/>
  <c r="D88" s="1"/>
  <c r="K86"/>
  <c r="D86" s="1"/>
  <c r="K84"/>
  <c r="D84" s="1"/>
  <c r="K82"/>
  <c r="D82" s="1"/>
  <c r="K80"/>
  <c r="D80" s="1"/>
  <c r="K78"/>
  <c r="D78" s="1"/>
  <c r="K76"/>
  <c r="D76" s="1"/>
  <c r="K74"/>
  <c r="D74" s="1"/>
  <c r="K72"/>
  <c r="D72" s="1"/>
  <c r="K70"/>
  <c r="D70" s="1"/>
  <c r="K68"/>
  <c r="D68" s="1"/>
  <c r="K66"/>
  <c r="D66" s="1"/>
  <c r="K64"/>
  <c r="D64" s="1"/>
  <c r="K62"/>
  <c r="D62" s="1"/>
  <c r="K60"/>
  <c r="D60" s="1"/>
  <c r="K58"/>
  <c r="D58" s="1"/>
  <c r="K56"/>
  <c r="D56" s="1"/>
  <c r="K54"/>
  <c r="D54" s="1"/>
  <c r="K52"/>
  <c r="D52" s="1"/>
  <c r="K50"/>
  <c r="D50" s="1"/>
  <c r="K48"/>
  <c r="D48" s="1"/>
  <c r="K46"/>
  <c r="D46" s="1"/>
  <c r="K44"/>
  <c r="D44" s="1"/>
  <c r="K42"/>
  <c r="D42" s="1"/>
  <c r="K40"/>
  <c r="D40" s="1"/>
  <c r="K38"/>
  <c r="D38" s="1"/>
  <c r="K36"/>
  <c r="D36" s="1"/>
  <c r="K34"/>
  <c r="D34" s="1"/>
  <c r="K32"/>
  <c r="D32" s="1"/>
  <c r="K30"/>
  <c r="D30" s="1"/>
  <c r="K28"/>
  <c r="D28" s="1"/>
  <c r="K26"/>
  <c r="D26" s="1"/>
  <c r="K24"/>
  <c r="D24" s="1"/>
  <c r="K22"/>
  <c r="D22" s="1"/>
  <c r="K20"/>
  <c r="D20" s="1"/>
  <c r="K18"/>
  <c r="D18" s="1"/>
  <c r="K16"/>
  <c r="D16" s="1"/>
  <c r="K14"/>
  <c r="D14" s="1"/>
  <c r="K12"/>
  <c r="D12" s="1"/>
  <c r="K10"/>
  <c r="D10" s="1"/>
  <c r="K8"/>
  <c r="D8" s="1"/>
  <c r="K6"/>
  <c r="D6" s="1"/>
  <c r="K4"/>
  <c r="D4" s="1"/>
</calcChain>
</file>

<file path=xl/sharedStrings.xml><?xml version="1.0" encoding="utf-8"?>
<sst xmlns="http://schemas.openxmlformats.org/spreadsheetml/2006/main" count="11447" uniqueCount="3102">
  <si>
    <t>ID</t>
  </si>
  <si>
    <t>Date</t>
  </si>
  <si>
    <t>N</t>
  </si>
  <si>
    <t>Type</t>
  </si>
  <si>
    <t>File</t>
  </si>
  <si>
    <t>Count</t>
  </si>
  <si>
    <t>#</t>
  </si>
  <si>
    <t>Analog</t>
  </si>
  <si>
    <t>Description</t>
  </si>
  <si>
    <t>Manufacturer part number</t>
  </si>
  <si>
    <t>Mfg name</t>
  </si>
  <si>
    <t>Mfg part number</t>
  </si>
  <si>
    <t>Part number</t>
  </si>
  <si>
    <t>Qty</t>
  </si>
  <si>
    <t>IB_2CAN_E1N003INF1</t>
  </si>
  <si>
    <t>PanelPC</t>
  </si>
  <si>
    <t>CRYSTAL 12.0000MHZ 8PF SMD</t>
  </si>
  <si>
    <t>ABM8W-12.0000MHZ-8-D1X-T3</t>
  </si>
  <si>
    <t>Abracon Corporation</t>
  </si>
  <si>
    <t>Abracon Corporation:ABM8W-12.0000MHZ-8-D1X-T3</t>
  </si>
  <si>
    <t>CAP CER 0603 16V 10uF X6S +/-20%</t>
  </si>
  <si>
    <t>CL10X106MO8NRN</t>
  </si>
  <si>
    <t>Samsung</t>
  </si>
  <si>
    <t>Samsung:CL10X106MO8NRN</t>
  </si>
  <si>
    <t>CAP CERAMIC, 0402, 0.1uF, 50V, X7R, +/-10%</t>
  </si>
  <si>
    <t>CL05B104KB54PNC</t>
  </si>
  <si>
    <t>Samsung:CL05B104KB54PNC</t>
  </si>
  <si>
    <t>CAP CER 0805 16 V 22 uF X6S В±20%</t>
  </si>
  <si>
    <t>CL21X226MOYNNWE</t>
  </si>
  <si>
    <t>Samsung:CL21X226MOYNNWE</t>
  </si>
  <si>
    <t>CAP CER 0402 16V 2.2uF X6S +/-10%</t>
  </si>
  <si>
    <t>C1005X6S1C225K050BC</t>
  </si>
  <si>
    <t>TDK</t>
  </si>
  <si>
    <t>TDK:C1005X6S1C225K050BC</t>
  </si>
  <si>
    <t>CAP CERAMIC, 0402, 0.01uF, 50V, X7R, +/-10%</t>
  </si>
  <si>
    <t>CL05B103KB5NNNC</t>
  </si>
  <si>
    <t>Samsung:CL05B103KB5NNNC</t>
  </si>
  <si>
    <t>CAP CER, 0402, 10pF, 50V, C0G, +/-5%</t>
  </si>
  <si>
    <t>CL05C100JB5NNNC</t>
  </si>
  <si>
    <t>Samsung:CL05C100JB5NNNC</t>
  </si>
  <si>
    <t>CAP CER 0603 16 V 10 uF X5R В±10%</t>
  </si>
  <si>
    <t>CL10A106KO8NQNC</t>
  </si>
  <si>
    <t>Samsung:CL10A106KO8NQNC</t>
  </si>
  <si>
    <t>CAP CER, 0603, 0.1uF, 100V, X7R, +/-10%</t>
  </si>
  <si>
    <t>CL10B104KC8NNNC</t>
  </si>
  <si>
    <t>Samsung:CL10B104KC8NNNC</t>
  </si>
  <si>
    <t>CAP CER 1206, 1000pF, В±10%, 2000V, X7R</t>
  </si>
  <si>
    <t>CC1206KKX7RDBB102</t>
  </si>
  <si>
    <t>Yageo</t>
  </si>
  <si>
    <t>Yageo:CC1206KKX7RDBB102</t>
  </si>
  <si>
    <t>CAP CER, 0402, 100pF, 50V, C0G, +/-5%</t>
  </si>
  <si>
    <t>CL05C101JB5NNNC</t>
  </si>
  <si>
    <t>Samsung:CL05C101JB5NNNC</t>
  </si>
  <si>
    <t>CAP CERAMIC, 0402, 1000pF, 50V, X7R, +/-5%</t>
  </si>
  <si>
    <t>CL05B102JB5NNNC</t>
  </si>
  <si>
    <t>Samsung:CL05B102JB5NNNC</t>
  </si>
  <si>
    <t>IC MCU 32BIT 256KB FLASH 64LQFP</t>
  </si>
  <si>
    <t>STMicroelectronics</t>
  </si>
  <si>
    <t>STMicroelectronics:STM32G473RCT6</t>
  </si>
  <si>
    <t>IC EEPROM 2KBIT I2C TSOT23-5</t>
  </si>
  <si>
    <t>Microchip:AT24CSW020-STUM-T</t>
  </si>
  <si>
    <t>IC Supervisory Circuit, Vth=2,85-3,0V, SOT-143</t>
  </si>
  <si>
    <t>TPV811S-4LTR</t>
  </si>
  <si>
    <t>3PEAK</t>
  </si>
  <si>
    <t>3PEAK:TPV811S-4LTR</t>
  </si>
  <si>
    <t>IC REG LIN POS 3.3V 800MA SOT223</t>
  </si>
  <si>
    <t>Advanced Monolithic Systems:AMS1117-3.3</t>
  </si>
  <si>
    <t>IC Isolated CAN, 5Mbps, WSOP8</t>
  </si>
  <si>
    <t>3PEAK:TPT71042-SOAR</t>
  </si>
  <si>
    <t>IC Load Switch, 3A, DFN1.2x1.6-4</t>
  </si>
  <si>
    <t>Silergy</t>
  </si>
  <si>
    <t>Silergy:SY6283ADRC</t>
  </si>
  <si>
    <t>IC DC-DC CONVERTER 5V 1W</t>
  </si>
  <si>
    <t>Mornsun</t>
  </si>
  <si>
    <t>Mornsun:B0505S-1WR3</t>
  </si>
  <si>
    <t>IND, 0402, 90ohms, 2,3 A, DCR 38 mOhm</t>
  </si>
  <si>
    <t>MPZ1005S900HT000</t>
  </si>
  <si>
    <t>Sunlord</t>
  </si>
  <si>
    <t>Sunlord:SDCW1608S-2-900TF</t>
  </si>
  <si>
    <t>300 Ohm 400mA, Common mode choke coil</t>
  </si>
  <si>
    <t>Sunlord:SDCW2520S-2-301TF</t>
  </si>
  <si>
    <t>FIXED IND 10UH 770MA 345MOHM SMD</t>
  </si>
  <si>
    <t>SWPA4012S100MT</t>
  </si>
  <si>
    <t>Sunlord:SWPA4012S100MT</t>
  </si>
  <si>
    <t>Test Points, 1mm DIA</t>
  </si>
  <si>
    <t>Test point Ostec Bed of Nails</t>
  </si>
  <si>
    <t>RES SMD 1kohm +/-1% 1/16W 0402</t>
  </si>
  <si>
    <t>RC0402FR-071KL</t>
  </si>
  <si>
    <t>Yageo:RC0402FR-071KL</t>
  </si>
  <si>
    <t>RES SMD 4.7kohm +/-1% 1/16W 0402</t>
  </si>
  <si>
    <t>RC0402FR-074K7L</t>
  </si>
  <si>
    <t>Yageo:RC0402FR-074K7L</t>
  </si>
  <si>
    <t>RES SMD 1.3kohm +/-1% 1/16W 0402</t>
  </si>
  <si>
    <t>Yageo:RC0402FR-071K3L</t>
  </si>
  <si>
    <t>RES SMD 0ohm +/-5% 1/16W 0402</t>
  </si>
  <si>
    <t>AC0402JR-070RL</t>
  </si>
  <si>
    <t>Yageo:AC0402JR-070RL</t>
  </si>
  <si>
    <t>RES SMD 100kohm +/-5% 1/16W 0402</t>
  </si>
  <si>
    <t>Yageo:RC0402JR-07100KL</t>
  </si>
  <si>
    <t>Yageo:AC1206JR-071ML</t>
  </si>
  <si>
    <t>RES SMD 62ohm +/-1% 1/16W 0402</t>
  </si>
  <si>
    <t>Yageo:RC0402FR-0762RL</t>
  </si>
  <si>
    <t>RES , 0402, 10kohms, 1%, 1/16W</t>
  </si>
  <si>
    <t>Bourns</t>
  </si>
  <si>
    <t>Bourns:CR0402-FX-1002-G</t>
  </si>
  <si>
    <t>RES SMD 270ohm +/-1% 1/2W 1210</t>
  </si>
  <si>
    <t>Yageo:AC1210FR-07270RL</t>
  </si>
  <si>
    <t>APHHS1005SYCK</t>
  </si>
  <si>
    <t>Kingbright</t>
  </si>
  <si>
    <t>Kingbright:APHHS1005SYCK</t>
  </si>
  <si>
    <t>LED 2.1V 20mA  GREEN COLOR SMD 1.0x0.5 mm</t>
  </si>
  <si>
    <t>APHHS1005CGCK</t>
  </si>
  <si>
    <t>Kingbright:APHHS1005CGCK</t>
  </si>
  <si>
    <t>TVS DIODE 24VWM 70VC, SOT-23-3</t>
  </si>
  <si>
    <t>UMW</t>
  </si>
  <si>
    <t>UMW:PESD1CAN</t>
  </si>
  <si>
    <t>TVS DIODE 5V  Low Capacitance ESD SOT23-6</t>
  </si>
  <si>
    <t>AZC199-04S</t>
  </si>
  <si>
    <t>Tech Public</t>
  </si>
  <si>
    <t>Tech Public:AZC199-04S</t>
  </si>
  <si>
    <t>TVS DIODE 5VWM 18.6VC SOD523</t>
  </si>
  <si>
    <t>ESD5Z5.0T1G</t>
  </si>
  <si>
    <t>On Semiconductor</t>
  </si>
  <si>
    <t>On Semiconductor:ESD5Z5.0T1G</t>
  </si>
  <si>
    <t>LOW CAP ESD HIGH SPEED 4-CH 5V</t>
  </si>
  <si>
    <t>AZ1045-04F</t>
  </si>
  <si>
    <t>Amazing Microelectronic Corp.</t>
  </si>
  <si>
    <t>Amazing Microelectronic Corp.:AZ1045-04F</t>
  </si>
  <si>
    <t>DIODE SCHOTTKY 30V 100MA SOD323</t>
  </si>
  <si>
    <t>BAT54WS</t>
  </si>
  <si>
    <t>SMC:BAT54WS</t>
  </si>
  <si>
    <t>CONN Double row 1.25mm wire to board connector</t>
  </si>
  <si>
    <t>L-KLS1-XL4-1.25-2-10-VM</t>
  </si>
  <si>
    <t>KLS</t>
  </si>
  <si>
    <t>KLS:L-KLS1-XL4-1.25-2-10-VM</t>
  </si>
  <si>
    <t>CONN SH 1.0mm WAFER SMT TOP ENTRY TYPE</t>
  </si>
  <si>
    <t>W9110-20PCSWXDR</t>
  </si>
  <si>
    <t>Hsuan Mao</t>
  </si>
  <si>
    <t>Hsuan Mao:W9110-20PCSWXDR</t>
  </si>
  <si>
    <t>Ref designator</t>
  </si>
  <si>
    <t>Qty2</t>
  </si>
  <si>
    <t>IB_2RS232_E1N002INF1</t>
  </si>
  <si>
    <t>IndustrialPC</t>
  </si>
  <si>
    <t>BQ1</t>
  </si>
  <si>
    <t>C1, C5, C27, C39, C48, C56, C67, C78, C89, C90, C91, C92, C93</t>
  </si>
  <si>
    <t>CAP CER, 220nF, +/-10%, 16V, X7R, 0402</t>
  </si>
  <si>
    <t>CL05B224KO5NNNC</t>
  </si>
  <si>
    <t>Samsung:CL05B224KO5NNNC</t>
  </si>
  <si>
    <t>C2, C9, C10, C11, C13, C14, C18, C30, C31, C54, C59, C60, C61, C62, C70, C71, C72, C73, C80, C81, C82, C85</t>
  </si>
  <si>
    <t>C3, C4, C7, C8, C15, C16, C19, C20, C21, C24, C25, C28, C29, C32, C33, C35, C40, C42, C43, C44, C49, C55, C57, C58, C68, C69, C79</t>
  </si>
  <si>
    <t>CAP CERAMIC, 0603, 10uF, 16V, X6S, +/-20%</t>
  </si>
  <si>
    <t>Murata</t>
  </si>
  <si>
    <t>Murata:GRM188C81C106MA73</t>
  </si>
  <si>
    <t>C6, C12, C17, C26, C34, C36, C37, C38, C41, C45, C46, C47, C51, C52, C53</t>
  </si>
  <si>
    <t>C22, C23</t>
  </si>
  <si>
    <t>CAP CER 0402 10uF 10V X5R +/-20%</t>
  </si>
  <si>
    <t>CL05A106MP6NUN8</t>
  </si>
  <si>
    <t>Samsung:CL05A106MP6NUN8</t>
  </si>
  <si>
    <t>C50</t>
  </si>
  <si>
    <t>C63, C64, C65, C66, C74, C75, C76, C77</t>
  </si>
  <si>
    <t>C86, C87, C88</t>
  </si>
  <si>
    <t>USB 2.0 PORT &amp; DUAL UART PORTS 64-TQFP</t>
  </si>
  <si>
    <t>F81532U</t>
  </si>
  <si>
    <t>Fintek:F81532U</t>
  </si>
  <si>
    <t>D1</t>
  </si>
  <si>
    <t>SINGLE 3.3/5V RS232/RS422/RS485 MULTIPROTOCOL TRANSCEIVER 40-TQFN</t>
  </si>
  <si>
    <t>F81439AN</t>
  </si>
  <si>
    <t>Fintek:F81439AN</t>
  </si>
  <si>
    <t>D2, D3</t>
  </si>
  <si>
    <t>IC REG LINEAR 3.3V 150MA SOT89-3L</t>
  </si>
  <si>
    <t>RS3005-3.3YE3L</t>
  </si>
  <si>
    <t>Runic</t>
  </si>
  <si>
    <t>Runic:RS3005-3.3YE3L</t>
  </si>
  <si>
    <t>D4</t>
  </si>
  <si>
    <t>IC 6 Channel Digital Isolator, QSOP16</t>
  </si>
  <si>
    <t>TPT7762-SSAR</t>
  </si>
  <si>
    <t>3PEAK:TPT7762-SSAR</t>
  </si>
  <si>
    <t>D5, D9, D15, D16, D17</t>
  </si>
  <si>
    <t>D6, D10</t>
  </si>
  <si>
    <t>D7, D11, D13</t>
  </si>
  <si>
    <t>IC Single 3-input NAND gate</t>
  </si>
  <si>
    <t>74LVC1G10GW</t>
  </si>
  <si>
    <t>NXP Semiconductors</t>
  </si>
  <si>
    <t>NXP Semiconductors:74LVC1G10GW</t>
  </si>
  <si>
    <t>D8, D12</t>
  </si>
  <si>
    <t>Dual Transmitter/Receiver RS-232</t>
  </si>
  <si>
    <t>3PEAK:TPT3232E-TS3R</t>
  </si>
  <si>
    <t>D14</t>
  </si>
  <si>
    <t>IND, 0402, 90ohms, 2, 3 A, DCR 38 mOhm</t>
  </si>
  <si>
    <t>TDK:MPZ1005S900HT000</t>
  </si>
  <si>
    <t>90 Om 300mA, 2LN, Common mode choke coil</t>
  </si>
  <si>
    <t>L4, L16, L17, L22, L23</t>
  </si>
  <si>
    <t>L6, L8, L10</t>
  </si>
  <si>
    <t>Test pin</t>
  </si>
  <si>
    <t>P23, P24, P25, P26, P29, P30, P31</t>
  </si>
  <si>
    <t>R1</t>
  </si>
  <si>
    <t>RES SMD 470kohm +/-1% 1/16W 0402</t>
  </si>
  <si>
    <t>Yageo:RC0402FR-07470KL</t>
  </si>
  <si>
    <t>R2, R6</t>
  </si>
  <si>
    <t>RES SMD 33ohm +/-1% 1/16W 0402</t>
  </si>
  <si>
    <t>Yageo:AC0402FR-0733RL</t>
  </si>
  <si>
    <t>R3, R33</t>
  </si>
  <si>
    <t>Yageo:AC0402FR-071KL</t>
  </si>
  <si>
    <t>R4, R11</t>
  </si>
  <si>
    <t>RES SMD 12kohm +/-1% 1/16W 0402</t>
  </si>
  <si>
    <t>Yageo:RC0402FR-0712KL</t>
  </si>
  <si>
    <t>RES SMD 100kohm +/-1% 1/16W 0402</t>
  </si>
  <si>
    <t>RC0402FR-07100KL</t>
  </si>
  <si>
    <t>Yageo:RC0402FR-07100KL</t>
  </si>
  <si>
    <t>R7, R13, R15, R16, R27, R28, R29, R30, R31</t>
  </si>
  <si>
    <t>R12, R14, R17</t>
  </si>
  <si>
    <t>RES , 0402, 0ohms, 1/16W</t>
  </si>
  <si>
    <t>RC0402JR-070RL</t>
  </si>
  <si>
    <t>Yageo:RC0402JR-070RL</t>
  </si>
  <si>
    <t>LED 2V 20mA 571nm GREEN COLOR SMD 0603</t>
  </si>
  <si>
    <t>LTST-C190KGKT</t>
  </si>
  <si>
    <t>Lite-On Electronics Inc</t>
  </si>
  <si>
    <t>Lite-On Electronics Inc:LTST-C190KGKT</t>
  </si>
  <si>
    <t>VD1, VD2</t>
  </si>
  <si>
    <t>VD3, VD4, VD5</t>
  </si>
  <si>
    <t>Tech Public:ESD12VB7-1006</t>
  </si>
  <si>
    <t>VD6, VD7, VD8, VD9, VD10, VD11, VD12, VD13, VD15, VD16</t>
  </si>
  <si>
    <t>VD14</t>
  </si>
  <si>
    <t>TVS DIODE 5V Low Capacitance ESD SOT23-6</t>
  </si>
  <si>
    <t>VD17</t>
  </si>
  <si>
    <t>X1, X2, X3, X4</t>
  </si>
  <si>
    <t>PCIe104_INF_E1N001INF1</t>
  </si>
  <si>
    <t>ModulePC</t>
  </si>
  <si>
    <t>CRYSTAL 25.0000MHZ 12PF</t>
  </si>
  <si>
    <t>ABM8-25.000MHZ-12-D1X-T</t>
  </si>
  <si>
    <t>Abracon Corporation:ABM8-25.000MHZ-12-D1X-T</t>
  </si>
  <si>
    <t>Abracon Corporation:ABM8-24.000MHZ-D1G-T</t>
  </si>
  <si>
    <t>BQ7</t>
  </si>
  <si>
    <t>CAP CER, 0805, 47uF, 6.3V, X6S, +/-20%</t>
  </si>
  <si>
    <t>MSASJ21GBC6476MTNA01</t>
  </si>
  <si>
    <t>Taiyo Yuden</t>
  </si>
  <si>
    <t>Taiyo Yuden:MSASJ21GBC6476MTNA01</t>
  </si>
  <si>
    <t>CAP CER 0603 6.3V 22uF X6S +/-20%</t>
  </si>
  <si>
    <t>CC0603MRX6S5BB226</t>
  </si>
  <si>
    <t>Yageo:CC0603MRX6S5BB226</t>
  </si>
  <si>
    <t>C2012X6S1C226M125AC</t>
  </si>
  <si>
    <t>TDK:C2012X6S1C226M125AC</t>
  </si>
  <si>
    <t>CAP CER 0201 16V 0.1uF X6S +/-10%</t>
  </si>
  <si>
    <t>C0603X6S1C104K030BC</t>
  </si>
  <si>
    <t>TDK:C0603X6S1C104K030BC</t>
  </si>
  <si>
    <t>CAP CER 0201 10V 0.22uF X6S +/-10%</t>
  </si>
  <si>
    <t>C0603X6S1A224K030BC</t>
  </si>
  <si>
    <t>TDK:C0603X6S1A224K030BC</t>
  </si>
  <si>
    <t>CAP CER 0201 10V 1uF X6S +/-20%</t>
  </si>
  <si>
    <t>CM03X6S105M10AH</t>
  </si>
  <si>
    <t>Kyocera</t>
  </si>
  <si>
    <t>Kyocera:CM03X6S105M10AH</t>
  </si>
  <si>
    <t>CAP CER 0402 25V 120pF C0G/NP0 +/-5%</t>
  </si>
  <si>
    <t>0402N121J250CT</t>
  </si>
  <si>
    <t>Walsin Technology Corp.</t>
  </si>
  <si>
    <t>Walsin:0402N121J250CT</t>
  </si>
  <si>
    <t>CAP CER 0201 25V 0.01uF X7R +/-10%</t>
  </si>
  <si>
    <t>CC0201KRX7R8BB103</t>
  </si>
  <si>
    <t>Yageo:CC0201KRX7R8BB103</t>
  </si>
  <si>
    <t>CAP CER 0201 50V 100pF C0G/NP0 +/-5%</t>
  </si>
  <si>
    <t>CC0201JRNPO9BN101</t>
  </si>
  <si>
    <t>Yageo:CC0201JRNPO9BN101</t>
  </si>
  <si>
    <t>CAP CER 0201 10V 0.47uF X6S +/-10%</t>
  </si>
  <si>
    <t>LMK063BC6474KPLF</t>
  </si>
  <si>
    <t>Taiyo Yuden:LMK063BC6474KPLF</t>
  </si>
  <si>
    <t>C61</t>
  </si>
  <si>
    <t>EMK105CC6225KV-F</t>
  </si>
  <si>
    <t>Taiyo Yuden:EMK105CC6225KV-F</t>
  </si>
  <si>
    <t>CAP TANT POLY, 100uF, 6.3V, 45mOhm, +/-20%, 1206 SMD</t>
  </si>
  <si>
    <t>T55A107M6R3C0045</t>
  </si>
  <si>
    <t>Vishay</t>
  </si>
  <si>
    <t>Vishay:T55A107M6R3C0045</t>
  </si>
  <si>
    <t>CAP FEEDTHRU 0.1uF +/-20% 16V 0402</t>
  </si>
  <si>
    <t>YFF15PC1C104MT000N</t>
  </si>
  <si>
    <t>TDK:YFF15PC1C104MT000N</t>
  </si>
  <si>
    <t>Walsin:0402N120G250CT</t>
  </si>
  <si>
    <t>CAP CER, 0805, 100uF, 4V, X6S, +/-20%</t>
  </si>
  <si>
    <t>KGM21AS60G107MU</t>
  </si>
  <si>
    <t>Kyocera:KGM21AS60G107MU</t>
  </si>
  <si>
    <t>CAP CER 0402 50V 18pF C0G/NP0 +/-5%</t>
  </si>
  <si>
    <t>CC0402JRNPO9BN180</t>
  </si>
  <si>
    <t>Yageo:CC0402JRNPO9BN180</t>
  </si>
  <si>
    <t>CAP CER 0201 16V 0.047uF X6S +/-20%</t>
  </si>
  <si>
    <t>C0603X6S1C473M030BC</t>
  </si>
  <si>
    <t>TDK:C0603X6S1C473M030BC</t>
  </si>
  <si>
    <t>CAP CER 0402 25V 82pF C0G/NP0 +/-5%</t>
  </si>
  <si>
    <t>C0402C820J3GACTU</t>
  </si>
  <si>
    <t>Kemet</t>
  </si>
  <si>
    <t>Kemet:C0402C820J3GACTU</t>
  </si>
  <si>
    <t>Kemet:T520A107M006ATE035</t>
  </si>
  <si>
    <t>CAP CER 0402 6.3V 10uF X6S +/-20%</t>
  </si>
  <si>
    <t>HGC0402S6106M6R3NTEJ</t>
  </si>
  <si>
    <t>Chinocera</t>
  </si>
  <si>
    <t>Chinocera:HGC0402S6106M6R3NTEJ</t>
  </si>
  <si>
    <t>CAP CER 0.1UF 10V X5R 0201 10%</t>
  </si>
  <si>
    <t>CL03A104KP3NNNC</t>
  </si>
  <si>
    <t>Samsung:CL03A104KP3NNNC</t>
  </si>
  <si>
    <t>CAP CER 0201 50V 1000pF X7R +/-10%</t>
  </si>
  <si>
    <t>CC0201KRX7R9BB102</t>
  </si>
  <si>
    <t>Yageo:CC0201KRX7R9BB102</t>
  </si>
  <si>
    <t>CAP CER 0402 10V 2.2uF X6S +/-10%</t>
  </si>
  <si>
    <t>TDK:C1005X6S1A225K050BC</t>
  </si>
  <si>
    <t>CAP CER 0201 10V 2.2uF X5R +/-20%</t>
  </si>
  <si>
    <t>CL03A225MP3CRNC</t>
  </si>
  <si>
    <t>Samsung:CL03A225MP3CRNC</t>
  </si>
  <si>
    <t>Yageo:CC0402FRNPO9BN300</t>
  </si>
  <si>
    <t>CL05X106MQ5NUNC</t>
  </si>
  <si>
    <t>Samsung:CL05X106MQ5NUNC</t>
  </si>
  <si>
    <t>CAP FEEDTHRU 4.3uF +/-20% 4V 0402</t>
  </si>
  <si>
    <t>YFF15PC0G435MT000N</t>
  </si>
  <si>
    <t>TDK:YFF15PC0G435MT000N</t>
  </si>
  <si>
    <t>CAP CER 0402 25V 0.22uF X7R +/-10%</t>
  </si>
  <si>
    <t>CC0402KRX7R8BB224</t>
  </si>
  <si>
    <t>Yageo:CC0402KRX7R8BB224</t>
  </si>
  <si>
    <t>2M-BIT SERIAL FLASH MEMORY</t>
  </si>
  <si>
    <t>W25X20CLUXIG</t>
  </si>
  <si>
    <t>Winbond Electronics</t>
  </si>
  <si>
    <t>Winbond Electronics:W25X20CLUXIG</t>
  </si>
  <si>
    <t>IC PCIe Packet Switch 492-BGA 21x21</t>
  </si>
  <si>
    <t>ASM2824I</t>
  </si>
  <si>
    <t>Asmedia Technology Inc</t>
  </si>
  <si>
    <t>Asmedia Technology Inc:ASM2824I</t>
  </si>
  <si>
    <t>D2</t>
  </si>
  <si>
    <t>IC 2-Lane PCIE SWITCH 42-TQFN</t>
  </si>
  <si>
    <t>Diodes Incorporated</t>
  </si>
  <si>
    <t>Diodes Incorporated:PI3PCIE3442AZHEX</t>
  </si>
  <si>
    <t>IC DC-DC CONVERTER 5V 1W, SMD</t>
  </si>
  <si>
    <t>B0505T-1WR3</t>
  </si>
  <si>
    <t>Mornsun:B0505T-1WR3</t>
  </si>
  <si>
    <t>IC PWR SWITCH N-CHAN 1:1 14VDFN</t>
  </si>
  <si>
    <t>AP22966DC8-7</t>
  </si>
  <si>
    <t>Diodes Incorporated:AP22966DC8-7</t>
  </si>
  <si>
    <t>D9</t>
  </si>
  <si>
    <t>3PEAK Incorporated</t>
  </si>
  <si>
    <t>D11</t>
  </si>
  <si>
    <t>Microchip Technology</t>
  </si>
  <si>
    <t>D12</t>
  </si>
  <si>
    <t>IC SUPERVISOR 1 CHANNEL 4X2SON</t>
  </si>
  <si>
    <t>TPS3839L30DQNR</t>
  </si>
  <si>
    <t>Texas Instruments</t>
  </si>
  <si>
    <t>Texas Instruments:TPS3839L30DQNR</t>
  </si>
  <si>
    <t>D13</t>
  </si>
  <si>
    <t>IC PCIE SWITCH 30-TQFN</t>
  </si>
  <si>
    <t>Diodes Incorporated:PI3DBS16222ZLEX</t>
  </si>
  <si>
    <t>IC PWR SWITCH P-CHAN 1:1 6UDFN</t>
  </si>
  <si>
    <t>AP22804ASN-7</t>
  </si>
  <si>
    <t>Diodes Incorporated:AP22804ASN-7</t>
  </si>
  <si>
    <t>IC 8 A Synchronous Step-Down Converter</t>
  </si>
  <si>
    <t>TPS568215RNN</t>
  </si>
  <si>
    <t>Texas Instruments:TPS568215RNN</t>
  </si>
  <si>
    <t>IC HOST CTRLR USB 3.0 68QFN</t>
  </si>
  <si>
    <t>Renesas Electronics</t>
  </si>
  <si>
    <t>Renesas Electronics:uPD720201K8-711-BAC-A</t>
  </si>
  <si>
    <t>D21</t>
  </si>
  <si>
    <t>IC PWR SWITCH N-CHAN 1:1 8UDFN</t>
  </si>
  <si>
    <t>AP22800HB-7</t>
  </si>
  <si>
    <t>Diodes Incorporated:AP22800HB-7</t>
  </si>
  <si>
    <t>IC 10/100/1000 Ethernet PCIe Transceiver 48-QFN-EP</t>
  </si>
  <si>
    <t>Realtek</t>
  </si>
  <si>
    <t>Realtek:RTL8125BI-CG</t>
  </si>
  <si>
    <t>IC CMOS Two 4-Channel Analog Multiplexer/Demultiplexer</t>
  </si>
  <si>
    <t>RS2252XTQC16</t>
  </si>
  <si>
    <t>Jiangsu Runic Technology Co., Ltd</t>
  </si>
  <si>
    <t>Runic:RS2252XTQC16</t>
  </si>
  <si>
    <t>D27</t>
  </si>
  <si>
    <t>IC 2 input AND Gate, SOT-886</t>
  </si>
  <si>
    <t>SN74LVC1G08DRYR</t>
  </si>
  <si>
    <t>YOUTAI SEMICONDUCTOR CO.,LIMITED</t>
  </si>
  <si>
    <t>UMW:SN74LVC1G08DRYR</t>
  </si>
  <si>
    <t>IC EEPROM 1KBIT 3-WIRE 8MINI MAP</t>
  </si>
  <si>
    <t>Microchip:AT93C46DY6-YH-T</t>
  </si>
  <si>
    <t>IC REG BUCK ADJ 4A 6VSON</t>
  </si>
  <si>
    <t>TPS62827ADMQR</t>
  </si>
  <si>
    <t>Texas Instruments:TPS62827ADMQR</t>
  </si>
  <si>
    <t>Feature Integration Technology Inc</t>
  </si>
  <si>
    <t>D42</t>
  </si>
  <si>
    <t>IC BUFFER NON-INVERT 5.5V 6SON</t>
  </si>
  <si>
    <t>SN74LVC2G17DRYR</t>
  </si>
  <si>
    <t>Texas Instruments:SN74LVC2G17DRYR</t>
  </si>
  <si>
    <t>IC INVERT SCHMITT 1CH 1-INP SOT886</t>
  </si>
  <si>
    <t>SN74LVC1G14DRYR</t>
  </si>
  <si>
    <t>UMW:SN74LVC1G14DRYR</t>
  </si>
  <si>
    <t>IC BUFFER NON-INVERT DUAL OPEN DRAIN 5.5V 6DFN</t>
  </si>
  <si>
    <t>SN74LVC2G07DRYR</t>
  </si>
  <si>
    <t>UMW:SN74LVC2G07DRYR</t>
  </si>
  <si>
    <t>NXP Semiconductors:NTSX2102GU8H</t>
  </si>
  <si>
    <t>D54</t>
  </si>
  <si>
    <t>IC GATE NAND 1CH 3-INP 6SON</t>
  </si>
  <si>
    <t>SN74LVC1G10DRYR</t>
  </si>
  <si>
    <t>Texas Instruments:SN74LVC1G10DRYR</t>
  </si>
  <si>
    <t>CMC 100MA 2LN 35 OHM SMD ESD</t>
  </si>
  <si>
    <t>LCFE121002A350TG</t>
  </si>
  <si>
    <t>Littelfuse Inc</t>
  </si>
  <si>
    <t>Littelfuse Inc:LCFE121002A350TG</t>
  </si>
  <si>
    <t>L1,L2,L3,L4</t>
  </si>
  <si>
    <t>CMC 100MA 2LN 90 OHM SMD ESD</t>
  </si>
  <si>
    <t>LCFE121002A900TG</t>
  </si>
  <si>
    <t>Littelfuse Inc:LCFE121002A900TG</t>
  </si>
  <si>
    <t>,TDK:MPZ1005S900HT000</t>
  </si>
  <si>
    <t>IND 1uH +/-20% 12.2A 7.6mOhm 5.5x5.3x3.1mm SMD</t>
  </si>
  <si>
    <t>PA5003.102NLT</t>
  </si>
  <si>
    <t>Pulse Electronics Corporation</t>
  </si>
  <si>
    <t>Pulse Electronics Corporation:PA5003.102NLT</t>
  </si>
  <si>
    <t>IND, 0201, 80 ohms, 1,2 A, DCR 95 mOhm</t>
  </si>
  <si>
    <t>Laird:TYS50403R3N-10</t>
  </si>
  <si>
    <t>IND, 0201, 22Ohms, 1.9A, DCR 36mOhm</t>
  </si>
  <si>
    <t>MPZ0603S220HT000</t>
  </si>
  <si>
    <t>TDK:MPZ0603S220HT000</t>
  </si>
  <si>
    <t>IND, 1uH, +/-20%, 4.1A , 22mOhm, 1210 SMD</t>
  </si>
  <si>
    <t>DFE32CAH1R0MR0L</t>
  </si>
  <si>
    <t>Murata:DFE32CAH1R0MR0L</t>
  </si>
  <si>
    <t>IND, 0201, 600Ohm, 280mA, DCR 0.75Ohm</t>
  </si>
  <si>
    <t>RES SMD 10kohm +/-1% 1/20W 0201</t>
  </si>
  <si>
    <t>RC0201FR-0710KL</t>
  </si>
  <si>
    <t>Yageo:RC0201FR-0710KL</t>
  </si>
  <si>
    <t>RES SMD 270ohm +/-5% 1/2W 1210</t>
  </si>
  <si>
    <t>RC1210JR-07270RL</t>
  </si>
  <si>
    <t>Yageo:RC1210JR-07270RL</t>
  </si>
  <si>
    <t>AC0201FR-0710KL</t>
  </si>
  <si>
    <t>Yageo:AC0201FR-0710KL</t>
  </si>
  <si>
    <t>RES SMD 470kohm +/-1% 1/20W 0201</t>
  </si>
  <si>
    <t>RC0201FR-07470KL</t>
  </si>
  <si>
    <t>Yageo:RC0201FR-07470KL</t>
  </si>
  <si>
    <t>RES SMD 0ohm +/-5% 1/20W 0201</t>
  </si>
  <si>
    <t>RC0201JR-070RL</t>
  </si>
  <si>
    <t>Yageo:RC0201JR-070RL</t>
  </si>
  <si>
    <t>RES SMD 12.1kohm +/-1% 1/20W 0201</t>
  </si>
  <si>
    <t>Yageo:RC0201FR-0712K1L</t>
  </si>
  <si>
    <t>RES SMD 100kohm +/-1% 1/20W 0201</t>
  </si>
  <si>
    <t>RC0201FR-07100KL</t>
  </si>
  <si>
    <t>Yageo:RC0201FR-07100KL</t>
  </si>
  <si>
    <t>RES SMD 1kohm +/-1% 1/20W 0201</t>
  </si>
  <si>
    <t>RC0201FR-071KL</t>
  </si>
  <si>
    <t>Yageo:RC0201FR-071KL</t>
  </si>
  <si>
    <t>RES SMD 360ohm +/-1% 1/16W 0402</t>
  </si>
  <si>
    <t>Yageo:RC0402FR-07360RL</t>
  </si>
  <si>
    <t>AC0201FR-101KL</t>
  </si>
  <si>
    <t>Yageo:AC0201FR-101KL</t>
  </si>
  <si>
    <t>RES SMD 75ohm +/-1% 1/10W 0603</t>
  </si>
  <si>
    <t>Yageo:RC0603FR-0775RL</t>
  </si>
  <si>
    <t>RES SMD 4.7kohm +/-1% 1/20W 0201</t>
  </si>
  <si>
    <t>RC0201FR-074K7L</t>
  </si>
  <si>
    <t>Yageo:RC0201FR-074K7L</t>
  </si>
  <si>
    <t>R68</t>
  </si>
  <si>
    <t>RES SMD 49.9ohm +/-1% 1/20W 0201</t>
  </si>
  <si>
    <t>Yageo:RC0201FR-0749R9L</t>
  </si>
  <si>
    <t>RES SMD 7.5kohm +/-1% 1/20W 0201</t>
  </si>
  <si>
    <t>RC0201FR-077K5L</t>
  </si>
  <si>
    <t>Yageo:RC0201FR-077K5L</t>
  </si>
  <si>
    <t>RES SMD SENSE 0.01ohm +/-1% 1/5W 0402</t>
  </si>
  <si>
    <t>ERJ-2LWFR010X</t>
  </si>
  <si>
    <t>Panasonic</t>
  </si>
  <si>
    <t>Panasonic:ERJ-2LWFR010X</t>
  </si>
  <si>
    <t>RES SMD 51kohm +/-1% 1/20W 0201</t>
  </si>
  <si>
    <t>Yageo:RC0201FR-0751KL</t>
  </si>
  <si>
    <t>RES SMD 180kohm +/-1% 1/20W 0201</t>
  </si>
  <si>
    <t>Yageo:RC0201FR-07180KL</t>
  </si>
  <si>
    <t>RES SMD 32.4kohm +/-1% 1/20W 0201</t>
  </si>
  <si>
    <t>RC0201FR-0732K4L</t>
  </si>
  <si>
    <t>Yageo:RC0201FR-0732K4L</t>
  </si>
  <si>
    <t>RES SMD 1Mohm +/-1% 1/20W 0201</t>
  </si>
  <si>
    <t>RC0201FR-071ML</t>
  </si>
  <si>
    <t>Yageo:RC0201FR-071ML</t>
  </si>
  <si>
    <t>RES SMD 2.49kohm +/-1% 1/20W 0201</t>
  </si>
  <si>
    <t>Yageo:RC0201FR-072K49L</t>
  </si>
  <si>
    <t>RES SMD 45.3kohm +/-1% 1/16W 0402</t>
  </si>
  <si>
    <t>RC0402FR-0745K3L</t>
  </si>
  <si>
    <t>Yageo:RC0402FR-0745K3L</t>
  </si>
  <si>
    <t>Yageo:RC0201FR-0759KL</t>
  </si>
  <si>
    <t>RES SMD 22ohm +/-1% 1/20W 0201</t>
  </si>
  <si>
    <t>RC0201FR-0722RL</t>
  </si>
  <si>
    <t>Yageo:RC0201FR-0722RL</t>
  </si>
  <si>
    <t>RES SMD 22ohm +/-5% 1/20W 0201</t>
  </si>
  <si>
    <t>RC0201JR-0722RL</t>
  </si>
  <si>
    <t>Yageo:RC0201JR-0722RL</t>
  </si>
  <si>
    <t>Yageo:RC0402FR-07220RL</t>
  </si>
  <si>
    <t>Yageo:RC0201FR-071K6L</t>
  </si>
  <si>
    <t>RES SMD 10Mohm +/-1% 0.3W 1206</t>
  </si>
  <si>
    <t>CRMA1206AF10M0FKEF</t>
  </si>
  <si>
    <t>Vishay:CRMA1206AF10M0FKEF</t>
  </si>
  <si>
    <t>RES SMD 30kohm +/-1% 1/20W 0201</t>
  </si>
  <si>
    <t>RC0201FR-0730KL</t>
  </si>
  <si>
    <t>Yageo:RC0201FR-0730KL</t>
  </si>
  <si>
    <t>RES SMD 12kohm +/-1% 1/20W 0201</t>
  </si>
  <si>
    <t>RC0201FR-0712KL</t>
  </si>
  <si>
    <t>Yageo:RC0201FR-0712KL</t>
  </si>
  <si>
    <t>RES SMD 100kohm +/-5% 1/20W 0201</t>
  </si>
  <si>
    <t>RC0201JR-07100KL</t>
  </si>
  <si>
    <t>Yageo:RC0201JR-07100KL</t>
  </si>
  <si>
    <t>RES ARRAY 4 RES 33ohm +/-5% 62.5mW 0804</t>
  </si>
  <si>
    <t>Yageo:YC124-JR-0733RL</t>
  </si>
  <si>
    <t>RES ARRAY 4 RES 100kohm +/-5% 62.5mW 0804</t>
  </si>
  <si>
    <t>YC124-JR-07100KL</t>
  </si>
  <si>
    <t>Yageo:YC124-JR-07100KL</t>
  </si>
  <si>
    <t>RN3</t>
  </si>
  <si>
    <t>Dual 2.5G Ethernet Transformer</t>
  </si>
  <si>
    <t>Link-PP:LP75001ANL</t>
  </si>
  <si>
    <t>TVS DIODE 3.3VWM 3VC 7XSON</t>
  </si>
  <si>
    <t>PUSB3FR6Z</t>
  </si>
  <si>
    <t>Nexperia</t>
  </si>
  <si>
    <t>Nexperia:PUSB3FR6Z</t>
  </si>
  <si>
    <t>Nexperia:PESD3V3L5UF</t>
  </si>
  <si>
    <t>VD7</t>
  </si>
  <si>
    <t>LOW CAP ESD HIGH SPEED 4-CH 3.3V</t>
  </si>
  <si>
    <t>AZ1123-04F</t>
  </si>
  <si>
    <t>Amazing Microelectronic Corp.:AZ1123-04F</t>
  </si>
  <si>
    <t>DIODE SCHOTTKY 30V 200MA 2DFN</t>
  </si>
  <si>
    <t>BAT54LP</t>
  </si>
  <si>
    <t>Diodes Incorporated:BAT54LP</t>
  </si>
  <si>
    <t>TVS DIODE 15VWM 30VC DFN1006-2</t>
  </si>
  <si>
    <t>D15V0X1B2LP-7B</t>
  </si>
  <si>
    <t>Diodes Incorporated:D15V0X1B2LP-7B</t>
  </si>
  <si>
    <t>CONN 20POS SMT MALE VERT 1MM</t>
  </si>
  <si>
    <t>L-KLS1-XF1-1.00-2-10-VM-A-T</t>
  </si>
  <si>
    <t>KLS electronic</t>
  </si>
  <si>
    <t>KLS:L-KLS1-XF1-1.00-2-10-VM-A-T</t>
  </si>
  <si>
    <t>X1</t>
  </si>
  <si>
    <t>CONN 10POS 1.25MM PITCH SMT MALE VERT</t>
  </si>
  <si>
    <t>L-KLS1-XL8-1.25-10-VM</t>
  </si>
  <si>
    <t>KLS:L-KLS1-XL8-1.25-10-VM</t>
  </si>
  <si>
    <t>CONN 31PIN FFC FPC 0.5MM SMD R/A</t>
  </si>
  <si>
    <t>FH55-31S-0.5SH</t>
  </si>
  <si>
    <t>Hirose</t>
  </si>
  <si>
    <t>Hirose:FH55-31S-0.5SH</t>
  </si>
  <si>
    <t>X3</t>
  </si>
  <si>
    <t>Conn, PCIe104 Bottom Side, Type2</t>
  </si>
  <si>
    <t>ASP-129646-03</t>
  </si>
  <si>
    <t>Samtec</t>
  </si>
  <si>
    <t>Samtec:ASP-129646-03</t>
  </si>
  <si>
    <t>X4</t>
  </si>
  <si>
    <t>KLS:L-KLS1-XF13-1.00-20-RM</t>
  </si>
  <si>
    <t>X6,X7</t>
  </si>
  <si>
    <t>Conn, 22 mm stack height, PCIe104 Top Side, Type2</t>
  </si>
  <si>
    <t>ASP-142781-03</t>
  </si>
  <si>
    <t>Samtec:ASP-142781-03</t>
  </si>
  <si>
    <t>X8</t>
  </si>
  <si>
    <t>CONN 4POS 1.25MM PITCH SMT MALE VERT</t>
  </si>
  <si>
    <t>L-KLS1-XL8-1.25-04-VM</t>
  </si>
  <si>
    <t>KLS:L-KLS1-XL8-1.25-04-VM</t>
  </si>
  <si>
    <t>X9</t>
  </si>
  <si>
    <t>CONN FASTENERS SMTSO</t>
  </si>
  <si>
    <t>SMTSO-M2-2ET</t>
  </si>
  <si>
    <t>PennEngineering</t>
  </si>
  <si>
    <t>PennEngineering:SMTSO-M2-2ET</t>
  </si>
  <si>
    <t>EM-PCIE104-CPU_E1E001CPU1E</t>
  </si>
  <si>
    <t>Friday, May 03, 2024</t>
  </si>
  <si>
    <t>PCIe104_2C3-1_E1E002CPU1_MAIN.xlsx</t>
  </si>
  <si>
    <t>BQ1,BQ2,BQ3</t>
  </si>
  <si>
    <t>BQ5</t>
  </si>
  <si>
    <t>C1,C2,C3,C4,C5,C31,C32,C33,C34,C35,C36,C37,C38,C41,C42,C45,C46,C48,C49,C50,C51,C52,C53,C54,C55,C119,C120,C121,C122,C123,C164,C165,C166,C167,C168,C240,C241,C242,C244,C251,C252,C253,C256,C257,C261,C262,C263,C264,C265,C266,C267,C268,C269,C270,C271,C272,C273,C274,C275,C276,C277,C278,C360,C362,C369,C370,C371,C372,C373,C374,C375,C376,C377,C378,C379,C380,C381,C382,C383,C384,C385,C386,C387,C388,C389,C390,C391,C392,C393,C394,C434,C438,C439,C441,C442,C443,C482,C509,C554,C650,C651,C675,C689,C696,C727,C728,C729,C730,C731,C732,C733,C734,C735,C736,C737,C750,C751,C752,C753,C754,C755,C756,C757,C758,C759,C760,C761,C762,C763,C764,C765,C766,C767,C768,C769,C770,C771,C772,C773,C774,C775,C776,C777,C778,C779,C780,C781,C782,C783,C784,C785,C825,C826,C827,C828,C829,C830,C831,C832,C833,C834,C835,C836,C837,C838,C839,C840,C841,C842,C843,C844,C845,C846,C847,C848,C849,C850,C851,C852,C853,C854,C855,C856,C857,C858,C859,C860,C861,C862,C863,C864,C865,C866,C867,C868,C869,C870,C871,C872,C873,C874,C875,C876,C877,C878,C879,C880,C881,C882,C883,C884,C897,C898,C899,C900,C901,C902,C903,C904,C905,C906,C907,C908,C950,C951,C952,C954,C956,C1168,C1175,C1176,C1177,C1178,C1179,C1180,C1181,C1182,C1183,C1184,C1185,C1186,C1205,C1206,C1207,C1208,C1209,C1210,C1211,C1212,C1213,C1214,C1215,C1216,C1217</t>
  </si>
  <si>
    <t>C6,C47,C96,C97,C98,C99,C107,C109,C110,C111,C114,C115,C147,C156,C157,C158,C159,C160,C161,C162,C163,C177,C178,C179,C180,C181,C182,C183,C184,C188,C189,C190,C191,C192,C193,C194,C195,C196,C200,C201,C202,C203,C204,C205,C206,C207,C208,C212,C213,C214,C215,C216,C217,C218,C219,C220,C224,C225,C226,C227,C228,C229,C230,C231,C232,C233,C234,C322,C323,C328,C329,C330,C331,C334,C336,C347,C348,C349,C350,C351,C352,C353,C354,C355,C356,C357,C358,C359,C361,C403,C409,C410,C447,C449,C450,C458,C486,C508,C513,C568,C571,C965,C997,C998,C999,C1000,C1025,C1026,C1027,C1030,C1031,C1034,C1035,C1038,C1039,C1042,C1043,C1044,C1045,C1046,C1047,C1048,C1049,C1050,C1051,C1052,C1053,C1054,C1055,C1056,C1057,C1058,C1059,C1060,C1061,C1062,C1063,C1064,C1065,C1066,C1067,C1068,C1069,C1070,C1071,C1072,C1073,C1074,C1075,C1092,C1093,C1094,C1095,C1096,C1097,C1098,C1099,C1100,C1101,C1102,C1103,C1104,C1105,C1106,C1107,C1108,C1109,C1110,C1111,C1112,C1113,C1114,C1115,C1116,C1117,C1118,C1119,C1120,C1121,C1122,C1123,C1124,C1125,C1126,C1127,C1128,C1129,C1130,C1131,C1132,C1133,C1134,C1135,C1136,C1137,C1138,C1139,C1140,C1143,C1144,C1145,C1146,C1147,C1148,C1149,C1150,C1151,C1152,C1153,C1154,C1155,C1156,C1157,C1158,C1167,C1172,C1173,C1174</t>
  </si>
  <si>
    <t>C7,C9,C10,C11,C14,C15,C16,C17,C18,C19,C21,C22,C237,C279,C280,C281,C282,C283,C284,C294,C295,C296,C297,C298,C299,C300,C301,C302,C303,C304,C305,C313,C333,C337,C338,C339,C340,C344,C345,C396,C399,C411,C412,C413,C414,C418,C419,C420,C424,C425,C429,C430,C431,C435,C444,C445,C446,C448,C451,C452,C453,C454,C455,C456,C459,C460,C462,C464,C465,C466,C467,C469,C470,C471,C472,C473,C474,C475,C476,C477,C478,C479,C480,C483,C484,C493,C500,C501,C503,C504,C505,C510,C511,C512,C514,C515,C516,C517,C518,C519,C520,C521,C522,C523,C524,C525,C526,C527,C528,C529,C530,C531,C532,C533,C534,C535,C536,C537,C538,C539,C540,C541,C542,C543,C544,C545,C546,C547,C548,C549,C550,C551,C555,C558,C559,C560,C561,C562,C563,C566,C573,C574,C575,C581,C582,C583,C584,C585,C586,C587,C588,C589,C590,C591,C592,C594,C596,C597,C598,C599,C601,C603,C604,C605,C609,C610,C611,C622,C624,C632,C633,C644,C645,C655,C656,C658,C738,C739,C740,C741,C742,C743,C744,C745,C746,C747,C748,C749,C800,C801,C802,C803,C804,C818,C822,C885,C886,C887,C888,C889,C890,C891,C892,C893,C894,C895,C896,C939,C940,C941,C942,C953,C957,C966,C970,C971,C972,C973,C974,C975,C976,C995,C996,C1006,C1012,C1013,C1014,C1015,C1016,C1017,C1018,C1019,C1028,C1029,C1032,C1033,C1036,C1037,C1040,C1041,C1163,C1164,C1165,C1166,C1195,C1197,C1200,C1202</t>
  </si>
  <si>
    <t>C8,C293,C944,C981</t>
  </si>
  <si>
    <t>CAP CER 0805 6,3 V 47 uF X6S В±20%</t>
  </si>
  <si>
    <t>CL21X476MQYNNWE</t>
  </si>
  <si>
    <t>Samsung:CL21X476MQYNNWE</t>
  </si>
  <si>
    <t>C12,C13,C408,C1203,C1204</t>
  </si>
  <si>
    <t>C20,C426,C506,C507,C556,C564,C565,C567,C569,C570,C576,C577,C578,C579,C580,C786,C787,C788,C789,C790,C909,C910,C911,C912,C913,C914,C1076,C1077,C1078,C1079,C1080,C1081,C1082,C1083,C1084,C1085,C1086,C1087,C1088,C1089,C1090,C1091</t>
  </si>
  <si>
    <t>C23,C24,C25,C26,C27,C28,C29,C30,C39,C40,C43,C44,C117,C118,C247,C248,C249,C250,C255,C400,C401,C795,C796,C797,C798,C799,C920,C921,C922,C923,C924,C925,C926,C927,C928,C1003,C1004,C1159,C1160,C1161,C1162,C1187,C1188,C1189,C1190,C1191</t>
  </si>
  <si>
    <t>C56,C57,C58,C59,C60,C61,C62,C63,C64,C65,C66,C67,C68,C69,C70,C71,C72,C73,C74,C75,C76,C77,C78,C79,C80,C81,C82,C83,C84,C85,C86,C87,C88,C89,C90,C91,C92,C93,C94,C95,C100,C101,C102,C103,C104,C105,C106,C108,C112,C113,C116,C124,C125,C126,C127,C128,C129,C130,C131,C132,C133,C134,C135,C136,C137,C138,C139,C140,C141,C142,C143,C144,C145,C146,C148,C149,C150,C151,C152,C153,C154,C155,C169,C170,C171,C172,C173,C174,C175,C176,C185,C186,C187,C197,C198,C199,C209,C210,C211,C221,C222,C223,C235,C236,C457,C468,C572,C686,C687,C811,C812,C813,C814,C1141,C1142</t>
  </si>
  <si>
    <t>C238,C239,C626</t>
  </si>
  <si>
    <t>C243,C245,C246,C258,C259,C260,C404,C405,C406,C407,C557,C593,C614,C615,C617,C618,C619,C643,C646,C688,C690,C691,C692,C693,C791,C792,C793,C794,C915,C916,C917,C918,C919,C933,C1010</t>
  </si>
  <si>
    <t>C254,C314,C315,C324,C325,C326,C395,C489,C490,C600,C602,C607,C608,C620,C621,C623,C625,C627,C628,C630,C631,C634,C635,C640,C647,C649,C652,C695,C943,C955,C978,C979,C1007,C1009</t>
  </si>
  <si>
    <t>C285,C286,C287,C288,C289,C290,C310,C311,C318,C319</t>
  </si>
  <si>
    <t>CAP CER 270PF 50V C0G/NPO 0402</t>
  </si>
  <si>
    <t>CC0402GRNPO9BN271</t>
  </si>
  <si>
    <t>Yageo:CC0402GRNPO9BN271</t>
  </si>
  <si>
    <t>C291</t>
  </si>
  <si>
    <t>CAP CER 390PF 50V C0G/NPO 0402</t>
  </si>
  <si>
    <t>CC0402GRNPO9BN391</t>
  </si>
  <si>
    <t>Yageo:CC0402GRNPO9BN391</t>
  </si>
  <si>
    <t>C292,C309</t>
  </si>
  <si>
    <t>CAP CER 36PF 50V C0G/NP0 0402</t>
  </si>
  <si>
    <t>CC0402FRNPO9BN360</t>
  </si>
  <si>
    <t>Yageo:CC0402FRNPO9BN360</t>
  </si>
  <si>
    <t>C306</t>
  </si>
  <si>
    <t>C307,C461,C938,C1002</t>
  </si>
  <si>
    <t>CAP CER 150PF 50V C0G/NPO 0402</t>
  </si>
  <si>
    <t>CC0402GRNPO9BN151</t>
  </si>
  <si>
    <t>Yageo:CC0402GRNPO9BN151</t>
  </si>
  <si>
    <t>C308</t>
  </si>
  <si>
    <t>CAP TANT POLY 220UF +/-20% 16V SMD 2917</t>
  </si>
  <si>
    <t>T521D227M016ATE025</t>
  </si>
  <si>
    <t>Kemet:T521D227M016ATE025</t>
  </si>
  <si>
    <t>C312,C316</t>
  </si>
  <si>
    <t>C317,C320,C612,C613</t>
  </si>
  <si>
    <t>C321,C335,C341,C415,C416,C417,C421,C422,C427,C428,C432,C433,C440,C641,C642,C934,C936,C937,C945,C946,C947,C948,C958,C959,C961,C962,C963,C983,C984,C1001</t>
  </si>
  <si>
    <t>CAP TAN POLY 330uF +/-20% 2.5V SMD 3528</t>
  </si>
  <si>
    <t>T520B337M2R5ATE009</t>
  </si>
  <si>
    <t>Kemet:T520B337M2R5ATE009</t>
  </si>
  <si>
    <t>C327,C701,C702,C703,C706,C707,C708,C709,C710,C711,C712,C809</t>
  </si>
  <si>
    <t>C332,C343,C697,C698,C699,C700,C949</t>
  </si>
  <si>
    <t>CAP CER 0201 10 V 0.22 uF X5R В±10%</t>
  </si>
  <si>
    <t>CL03A224KP3NNNC</t>
  </si>
  <si>
    <t>Samsung:CL03A224KP3NNNC</t>
  </si>
  <si>
    <t>C342,C346,C363,C364,C365,C366,C367,C368</t>
  </si>
  <si>
    <t>C397,C398,C1192,C1193,C1194</t>
  </si>
  <si>
    <t>C402,C491,C492,C616,C636,C637,C638,C648,C653,C654,C657,C715,C820,C935</t>
  </si>
  <si>
    <t>C423,C487,C488,C606</t>
  </si>
  <si>
    <t>C436,C437,C494,C495,C496,C497,C502,C713,C714,C1169,C1170</t>
  </si>
  <si>
    <t>CAP CER 0201 50V 220pF X7R +/-10%</t>
  </si>
  <si>
    <t>CC0201KRX7R9BB221</t>
  </si>
  <si>
    <t>Yageo:CC0201KRX7R9BB221</t>
  </si>
  <si>
    <t>C481,C485</t>
  </si>
  <si>
    <t>C498,C499</t>
  </si>
  <si>
    <t>CAP CER 0603 50V 1uF X7R +/-10%</t>
  </si>
  <si>
    <t>CC0603KRX7R9BB105</t>
  </si>
  <si>
    <t>Yageo:CC0603KRX7R9BB105</t>
  </si>
  <si>
    <t>C552,C553,C639,C694,C716,C717,C718,C719</t>
  </si>
  <si>
    <t>C595,C659,C660,C661,C662,C663,C664,C665,C666,C667,C668,C669,C670,C671,C672,C673,C674,C676,C677,C678,C679,C680,C681,C682,C683,C684,C685,C968,C985,C986</t>
  </si>
  <si>
    <t>C629,C817,C929,C930,C931</t>
  </si>
  <si>
    <t>CAP CERAMIC, 0201, 22pF, 25V, NP0, +/-5%</t>
  </si>
  <si>
    <t>CL03C220JA3NNNC</t>
  </si>
  <si>
    <t>Samsung:CL03C220JA3NNNC</t>
  </si>
  <si>
    <t>C704</t>
  </si>
  <si>
    <t>CAP CER 0201 25V 220pF X7R +/-5%</t>
  </si>
  <si>
    <t>CC0201JRX7R8BB221</t>
  </si>
  <si>
    <t>Yageo:CC0201JRX7R8BB221</t>
  </si>
  <si>
    <t>C705,C815,C816,C819</t>
  </si>
  <si>
    <t>CAP CER 0805 25V 10uF X6S +/-10%</t>
  </si>
  <si>
    <t>CL21X106KAYNNNE</t>
  </si>
  <si>
    <t>Samsung:CL21X106KAYNNNE</t>
  </si>
  <si>
    <t>C720,C721,C722,C723,C724,C725,C726,C805,C969,C977,C980,C990</t>
  </si>
  <si>
    <t>CAP Tantal Organic Polymer, 2917, 1500uF, 2.5V, 5mOhm, +/-20%</t>
  </si>
  <si>
    <t>T530X158M2R5ATE005</t>
  </si>
  <si>
    <t>Kemet:T530X158M2R5ATE005</t>
  </si>
  <si>
    <t>C806,C807,C808,C810</t>
  </si>
  <si>
    <t>C821</t>
  </si>
  <si>
    <t>CAP CER 0402 25V 33pF C0G/NP0 +/-5%</t>
  </si>
  <si>
    <t>CC0402JRNPO8BN330</t>
  </si>
  <si>
    <t>Yageo:CC0402JRNPO8BN330</t>
  </si>
  <si>
    <t>C823</t>
  </si>
  <si>
    <t>CAP FEEDTHRU 0.1uF +/-20% 100V 1206</t>
  </si>
  <si>
    <t>YFF31HC2A104MT000N</t>
  </si>
  <si>
    <t>TDK:YFF31HC2A104MT000N</t>
  </si>
  <si>
    <t>C824</t>
  </si>
  <si>
    <t>CAP CER 0201 25V 2200pF X7R +/-10%</t>
  </si>
  <si>
    <t>0201B222K250CT</t>
  </si>
  <si>
    <t>Walsin:0201B222K250CT</t>
  </si>
  <si>
    <t>C932</t>
  </si>
  <si>
    <t>C982,C1021</t>
  </si>
  <si>
    <t>C988</t>
  </si>
  <si>
    <t>C991,C992,C993</t>
  </si>
  <si>
    <t>IC Microprocessor Elbrus 2C3 42,5x42,5 mm HFCBGA-1903</t>
  </si>
  <si>
    <t>K1891BM068</t>
  </si>
  <si>
    <t>MCST</t>
  </si>
  <si>
    <t>MCST:K1891BM068</t>
  </si>
  <si>
    <t>4Gb F-die DDR4 SDRAM; x16; 3200 Mbps; 1.2V; 0-85 В°C; 96 FBGA</t>
  </si>
  <si>
    <t>K4A4G165WF-BCWE</t>
  </si>
  <si>
    <t>Samsung:K4A4G165WF-BCWE</t>
  </si>
  <si>
    <t>D2,D3,D4,D5,D6,D7,D8,D9,D10,D11</t>
  </si>
  <si>
    <t>IC Schmitt Trigger Buffer</t>
  </si>
  <si>
    <t>SN74LVC1G17DRYR</t>
  </si>
  <si>
    <t>UMW:SN74LVC1G17DRYR</t>
  </si>
  <si>
    <t>D12,D13</t>
  </si>
  <si>
    <t>IC INVERTER 1CH 1-INP 6SON</t>
  </si>
  <si>
    <t>SN74LVC1G06DRY</t>
  </si>
  <si>
    <t>Texas Instruments:SN74LVC1G06DRY</t>
  </si>
  <si>
    <t>D14,D77,D80,D106</t>
  </si>
  <si>
    <t>D15,D18</t>
  </si>
  <si>
    <t>IC USB 3.1 4-port Hub 76-QFN</t>
  </si>
  <si>
    <t>GL3523T-OTY20</t>
  </si>
  <si>
    <t>Genesys Logic, Inc.</t>
  </si>
  <si>
    <t>Genesys Logic, Inc.:GL3523T-OTY20</t>
  </si>
  <si>
    <t>D16</t>
  </si>
  <si>
    <t>D17</t>
  </si>
  <si>
    <t>IC 4-Bit Dual-Supply Bus Transceiver</t>
  </si>
  <si>
    <t>RS4T774XTQQ16</t>
  </si>
  <si>
    <t>Runic:RS4T774XTQQ16</t>
  </si>
  <si>
    <t>D19,D21,D30,D33</t>
  </si>
  <si>
    <t>D20,D22,D58</t>
  </si>
  <si>
    <t>D23,D24,D35,D37,D43,D81,D101,D102,D103,D104,D110</t>
  </si>
  <si>
    <t>D25,D47,D68,D69,D70,D71,D72,D73,D75,D78,D84,D107</t>
  </si>
  <si>
    <t>SENSOR DIGITAL -40C-125C SOT563</t>
  </si>
  <si>
    <t>TMP102AIDRLR</t>
  </si>
  <si>
    <t>Texas Instruments:TMP102AIDRLR</t>
  </si>
  <si>
    <t>D26,D27</t>
  </si>
  <si>
    <t>I2C-Compatible Serial E2PROM</t>
  </si>
  <si>
    <t>P24C512B-TSH-MIR</t>
  </si>
  <si>
    <t>Puya Technology Innovator</t>
  </si>
  <si>
    <t>Puya:P24C512B-TSH-MIR</t>
  </si>
  <si>
    <t>D28,D29</t>
  </si>
  <si>
    <t>D31,D32,D105</t>
  </si>
  <si>
    <t>4-Bit Bidirectional Voltage-Level Translator</t>
  </si>
  <si>
    <t>RS0104YUTQH12</t>
  </si>
  <si>
    <t>Runic:RS0104YUTQH12</t>
  </si>
  <si>
    <t>D34,D38,D40,D42,D45,D46,D50,D62</t>
  </si>
  <si>
    <t>SENSOR HUMIDITY TEMPERATURE  0 ~ 100%  RH Digital В±1.8%  SMD</t>
  </si>
  <si>
    <t>SHT40-AD1B-R2</t>
  </si>
  <si>
    <t>Sensirion AG</t>
  </si>
  <si>
    <t>Sensirion AG:SHT40-AD1B-R2</t>
  </si>
  <si>
    <t>D36</t>
  </si>
  <si>
    <t>IC 7.1+2 CHANNEL HD AUDIO CODEC WITH TWO INDEPENDENT SPDIF OUTPUTS</t>
  </si>
  <si>
    <t>ALC888S-VD2-GR</t>
  </si>
  <si>
    <t>Realtek:ALC888S-VD2-GR</t>
  </si>
  <si>
    <t>D39</t>
  </si>
  <si>
    <t>Arm Cortex-M4 MCU 170 MHz</t>
  </si>
  <si>
    <t>STM32G473VEH6</t>
  </si>
  <si>
    <t>STMicroelectronics:STM32G473VEH6</t>
  </si>
  <si>
    <t>D41</t>
  </si>
  <si>
    <t>IC 128GB Embedded SSD series MPT160</t>
  </si>
  <si>
    <t>ESE1A222-X280PYA</t>
  </si>
  <si>
    <t>Phison</t>
  </si>
  <si>
    <t>Phison:ESE1A222-X280PYA</t>
  </si>
  <si>
    <t>D44</t>
  </si>
  <si>
    <t>D48,D49,D61,D63</t>
  </si>
  <si>
    <t>IC RTC CLK/CALENDAR I2C SMD</t>
  </si>
  <si>
    <t>RX8111CE_B</t>
  </si>
  <si>
    <t>Epson</t>
  </si>
  <si>
    <t>Epson:RX8111CE_B</t>
  </si>
  <si>
    <t>D51</t>
  </si>
  <si>
    <t>IC 1.8V 512M-BIT SERIAL FLASH MEMORY</t>
  </si>
  <si>
    <t>W25Q512NWEIM</t>
  </si>
  <si>
    <t>Winbond Electronics:W25Q512NWEIM</t>
  </si>
  <si>
    <t>D52,D53</t>
  </si>
  <si>
    <t>DPDT USB Switch</t>
  </si>
  <si>
    <t>AW35742FCR</t>
  </si>
  <si>
    <t>Awinic</t>
  </si>
  <si>
    <t>Awinic:AW35742FCR</t>
  </si>
  <si>
    <t>D55</t>
  </si>
  <si>
    <t>1-of-2 Decoder / Demultiplexer</t>
  </si>
  <si>
    <t>NC7SZ19P6X</t>
  </si>
  <si>
    <t>On Semiconductor:NC7SZ19P6X</t>
  </si>
  <si>
    <t>D56</t>
  </si>
  <si>
    <t>Two-Channel High-Speed Diff 1:2 Switch</t>
  </si>
  <si>
    <t>AW35710QNR</t>
  </si>
  <si>
    <t>Awinic:AW35710QNR</t>
  </si>
  <si>
    <t>D57</t>
  </si>
  <si>
    <t>D59</t>
  </si>
  <si>
    <t>D60,D94,D99</t>
  </si>
  <si>
    <t>IC LOAD SWITCH 6A W-QFN1520-10</t>
  </si>
  <si>
    <t>AP22980FCF10-7</t>
  </si>
  <si>
    <t>Diodes Incorporated:AP22980FCF10-7</t>
  </si>
  <si>
    <t>D64,D89,D91,D98</t>
  </si>
  <si>
    <t>D65,D66</t>
  </si>
  <si>
    <t>IC GATE AND 1CH 3-INP 6XSON</t>
  </si>
  <si>
    <t>74LVC1G11GM</t>
  </si>
  <si>
    <t>Nexperia:74LVC1G11GM</t>
  </si>
  <si>
    <t>D67</t>
  </si>
  <si>
    <t>D74,D92</t>
  </si>
  <si>
    <t>IC CLOCK GENERATOR 32TQFN</t>
  </si>
  <si>
    <t>PI6CG18401ZHIEX</t>
  </si>
  <si>
    <t>Diodes Incorporated:PI6CG18401ZHIEX</t>
  </si>
  <si>
    <t>D76</t>
  </si>
  <si>
    <t>D79,D82,D111</t>
  </si>
  <si>
    <t>IC 1.2A LOW IQ LOW DROPOUT VOLTAGE</t>
  </si>
  <si>
    <t>NCP187AMTW080TAG</t>
  </si>
  <si>
    <t>On Semiconductor:NCP187AMTW080TAG</t>
  </si>
  <si>
    <t>D83</t>
  </si>
  <si>
    <t>D85,D87,D88</t>
  </si>
  <si>
    <t>IC LOAD SWITCH W-DFN2020-6 T&amp;R 3K</t>
  </si>
  <si>
    <t>AP22652AFDZ-7</t>
  </si>
  <si>
    <t>Diodes Incorporated:AP22652AFDZ-7</t>
  </si>
  <si>
    <t>D86</t>
  </si>
  <si>
    <t>IC REG CONV DDR 1OUT</t>
  </si>
  <si>
    <t>RT9089AGQW(2)</t>
  </si>
  <si>
    <t>Richtek</t>
  </si>
  <si>
    <t>Richtek:RT9089AGQW(2)</t>
  </si>
  <si>
    <t>D93</t>
  </si>
  <si>
    <t>IC Dual Multiphase Synchronous Controller</t>
  </si>
  <si>
    <t>LTC3774IUHE#PBF</t>
  </si>
  <si>
    <t>Analog Devices</t>
  </si>
  <si>
    <t>Analog Devices:LTC3774IUHE#PBF</t>
  </si>
  <si>
    <t>D95</t>
  </si>
  <si>
    <t>IC GATE DRVR HALF-BRIDGE 8DFN</t>
  </si>
  <si>
    <t>LTC4449IDCB#TRPBF</t>
  </si>
  <si>
    <t>Analog Devices:LTC4449IDCB#TRPBF</t>
  </si>
  <si>
    <t>D96,D97</t>
  </si>
  <si>
    <t>IC TRANSCEIVER FULL 1/1 12LFCSP</t>
  </si>
  <si>
    <t>ADM3101EACPZ</t>
  </si>
  <si>
    <t>Analog Devices:ADM3101EACPZ</t>
  </si>
  <si>
    <t>D108</t>
  </si>
  <si>
    <t>FUSE PTC Low resistance SMD 0,75A 0603</t>
  </si>
  <si>
    <t>PTSLR06038V075</t>
  </si>
  <si>
    <t>Eaton</t>
  </si>
  <si>
    <t>Eaton:PTSLR06038V075</t>
  </si>
  <si>
    <t>FU3,FU4</t>
  </si>
  <si>
    <t>XTAL OSC XO 156.25MHZ 1.8V LVDS</t>
  </si>
  <si>
    <t>AX3DCF1-156.2500</t>
  </si>
  <si>
    <t>Abracon Corporation:AX3DCF1-156.2500</t>
  </si>
  <si>
    <t>G2</t>
  </si>
  <si>
    <t>OSC 14.31818MHZ HCMOS</t>
  </si>
  <si>
    <t>ASDMB-14.31818MHZ-LY-T</t>
  </si>
  <si>
    <t>Abracon Corporation:ASDMB-14.31818MHZ-LY-T</t>
  </si>
  <si>
    <t>G3</t>
  </si>
  <si>
    <t>L1,L23,L27</t>
  </si>
  <si>
    <t>MMZ0603S601HT000</t>
  </si>
  <si>
    <t>TDK:MMZ0603S601HT000</t>
  </si>
  <si>
    <t>L2,L15,L16,L57,L58,L59,L61,L62,L63</t>
  </si>
  <si>
    <t>MPZ0603S800HT000</t>
  </si>
  <si>
    <t>,TDK:MPZ0603S800HT000</t>
  </si>
  <si>
    <t>L3,L8,L9,L11,L12,L13,L14,L83</t>
  </si>
  <si>
    <t>IND, 3.3uH, +/-20%, 1.33A, 174mOhm, 2.0x1.6x1.2</t>
  </si>
  <si>
    <t>VLS201612HBX-3R3M-1</t>
  </si>
  <si>
    <t>TDK:VLS201612HBX-3R3M-1</t>
  </si>
  <si>
    <t>L4</t>
  </si>
  <si>
    <t>L5,L6,L70,L74</t>
  </si>
  <si>
    <t>IND, 1.5uH, +/-20%, 10.5A, 11.2mOhm, 5.5x5.3x3.1mm SMD</t>
  </si>
  <si>
    <t>PA5003.152NLT</t>
  </si>
  <si>
    <t>Pulse Electronics Corporation:PA5003.152NLT</t>
  </si>
  <si>
    <t>L7,L47,L80</t>
  </si>
  <si>
    <t>IND 4.7uH +/-20% 1.9A 101mOhm 1210 SMD</t>
  </si>
  <si>
    <t>DFE32CAH4R7MR0L</t>
  </si>
  <si>
    <t>Murata:DFE32CAH4R7MR0L</t>
  </si>
  <si>
    <t>L10,L45</t>
  </si>
  <si>
    <t>L19,L20,L21,L22,L29,L30,L31,L32,L33,L34,L35,L36,L37,L38,L39,L40,L41,L42,L65,L66,L71,L72,L73</t>
  </si>
  <si>
    <t>L24,L25,L26,L28,L43,L44,L49,L50,L51,L52,L53,L54</t>
  </si>
  <si>
    <t>L75</t>
  </si>
  <si>
    <t>IND 0.18uH +/-15% 70A 0.18mOhm 10x7x9mm SMD</t>
  </si>
  <si>
    <t>VLBU1007090T-R18L</t>
  </si>
  <si>
    <t>TDK:VLBU1007090T-R18L</t>
  </si>
  <si>
    <t>L81</t>
  </si>
  <si>
    <t>IND FIXED 1uH +/-20% 27.5A 2.53mOhm 10.9x10x5mm</t>
  </si>
  <si>
    <t>ETQ-P5M1R0YLC</t>
  </si>
  <si>
    <t>Panasonic:ETQ-P5M1R0YLC</t>
  </si>
  <si>
    <t>L82</t>
  </si>
  <si>
    <t>AC0201FR-0749R9L</t>
  </si>
  <si>
    <t>Yageo:AC0201FR-0749R9L</t>
  </si>
  <si>
    <t>R1,R10,R25,R321,R347,R368,R375,R376,R377,R378,R379,R380,R381,R382,R383,R384,R385,R386,R387,R388,R389,R390,R391,R392,R393,R394,R395,R396,R397,R398,R399,R400,R401,R402,R403,R404,R405,R406,R407,R408,R409,R410,R411,R412,R413,R414,R415,R416,R417,R418,R419,R420,R421,R422,R423,R424,R425,R426,R440</t>
  </si>
  <si>
    <t>R2,R12,R13,R15,R16,R17,R18,R23,R24,R27,R28,R29,R30,R31,R32,R33,R34,R35,R36,R37,R39,R40,R41,R42,R43,R44,R45,R68,R78,R80,R81,R84,R86,R89,R92,R93,R97,R98,R99,R100,R101,R102,R103,R107,R108,R110,R112,R120,R137,R150,R160,R170,R172,R173,R188,R197,R221,R230,R267,R268,R275,R276,R277,R278,R279,R285,R287,R294,R295,R312,R360,R428,R429,R485,R510,R512,R517,R535,R568,R569</t>
  </si>
  <si>
    <t>RES SMD 240ohm +/-1% 1/20W 0201</t>
  </si>
  <si>
    <t>AC0201FR-10240RL</t>
  </si>
  <si>
    <t>Yageo:AC0201FR-10240RL</t>
  </si>
  <si>
    <t>R3,R4,R320,R328,R329,R330,R332,R370,R371,R372,R373,R374</t>
  </si>
  <si>
    <t>R5,R7,R9,R14,R19,R21,R73,R90,R91,R104,R105,R130,R132,R139,R151,R152,R193,R297,R298,R314,R315,R316,R317,R333,R334,R335,R336,R337,R338,R339,R345,R430,R469,R470,R471,R472,R473,R474,R475,R476,R477,R478,R479,R480,R481,R482,R483,R484,R486,R516,R537,R542,R577,R578</t>
  </si>
  <si>
    <t>RES SMD 200ohm +/-1% 1/20W 0201</t>
  </si>
  <si>
    <t>AC0201FR-10200RL</t>
  </si>
  <si>
    <t>Yageo:AC0201FR-10200RL</t>
  </si>
  <si>
    <t>R6</t>
  </si>
  <si>
    <t>RES SMD 0ohm +/-1% 1/20W 0201</t>
  </si>
  <si>
    <t>AC0201FR-070RL</t>
  </si>
  <si>
    <t>Yageo:AC0201FR-070RL</t>
  </si>
  <si>
    <t>R8</t>
  </si>
  <si>
    <t>R11</t>
  </si>
  <si>
    <t>R20,R79,R88,R124,R134,R135,R140,R142,R156,R157,R161,R185,R186,R187,R190,R191,R196,R200,R201,R202,R203,R204,R205,R206,R207,R208,R209,R210,R262,R271,R272,R494,R495,R497</t>
  </si>
  <si>
    <t>R22,R194</t>
  </si>
  <si>
    <t>RES SMD 1ohm +/-5% 1/20W 0201</t>
  </si>
  <si>
    <t>RC0201JR-071RL</t>
  </si>
  <si>
    <t>Yageo:RC0201JR-071RL</t>
  </si>
  <si>
    <t>R26,R69</t>
  </si>
  <si>
    <t>AC0201FR-07100KL</t>
  </si>
  <si>
    <t>Yageo:AC0201FR-07100KL</t>
  </si>
  <si>
    <t>R38,R106,R117,R129,R131,R138,R149,R183,R264,R280,R281,R283,R284,R286,R296,R299,R318,R443,R444,R445,R447,R448,R449,R450,R451,R452,R454,R455,R456,R457,R458,R459,R460,R461,R462,R463,R464,R465,R466,R467,R468,R498,R554,R555,R556,R557,R560,R562,R563,R565</t>
  </si>
  <si>
    <t>R46,R47,R48,R49,R50,R51,R115,R174,R242,R243,R431,R432,R433,R434,R435,R487</t>
  </si>
  <si>
    <t>RES SMD 1.62kohm +/-1% 1/20W 0201</t>
  </si>
  <si>
    <t>AC0201FR-101K62L</t>
  </si>
  <si>
    <t>Yageo:AC0201FR-101K62L</t>
  </si>
  <si>
    <t>R52,R53</t>
  </si>
  <si>
    <t>RES SMD 2.2kohm +/-1% 1/20W 0201</t>
  </si>
  <si>
    <t>AC0201FR-102K2L</t>
  </si>
  <si>
    <t>Yageo:AC0201FR-102K2L</t>
  </si>
  <si>
    <t>R54,R55,R56,R57,R58,R118,R163,R213,R369,R427</t>
  </si>
  <si>
    <t>R59,R61,R64,R66,R175</t>
  </si>
  <si>
    <t>RC0201FR-07200RL</t>
  </si>
  <si>
    <t>Yageo:RC0201FR-07200RL</t>
  </si>
  <si>
    <t>R60,R62,R63,R65,R67</t>
  </si>
  <si>
    <t>RC0201FR-072K2L</t>
  </si>
  <si>
    <t>Yageo:RC0201FR-072K2L</t>
  </si>
  <si>
    <t>R70,R71,R74,R77,R82,R85,R123,R136,R143,R144,R145,R146,R147,R148,R540,R543,R544,R545,R546,R547,R548,R549</t>
  </si>
  <si>
    <t>R75,R76,R83,R87,R111,R119,R133,R162,R165,R168,R239,R322,R550,R551,R552,R553</t>
  </si>
  <si>
    <t>RES SMD 510ohm +/-1% 1/20W 0201</t>
  </si>
  <si>
    <t>RC0201FR-07510RL</t>
  </si>
  <si>
    <t>Yageo:RC0201FR-07510RL</t>
  </si>
  <si>
    <t>R94,R95,R502,R503,R504</t>
  </si>
  <si>
    <t>RES SMD 49.9kohm +/-1% 1/20W 0201</t>
  </si>
  <si>
    <t>AC0201FR-0749K9L</t>
  </si>
  <si>
    <t>Yageo:AC0201FR-0749K9L</t>
  </si>
  <si>
    <t>R109</t>
  </si>
  <si>
    <t>AC0402FR-07360RL</t>
  </si>
  <si>
    <t>Yageo:AC0402FR-07360RL</t>
  </si>
  <si>
    <t>R114</t>
  </si>
  <si>
    <t>R116,R125,R128,R166,R167,R171,R176,R266,R269,R270</t>
  </si>
  <si>
    <t>RES SMD 10kohm +/-1% 1/16W 0402</t>
  </si>
  <si>
    <t>RC0402FR-0710KL</t>
  </si>
  <si>
    <t>Yageo:RC0402FR-0710KL</t>
  </si>
  <si>
    <t>R121</t>
  </si>
  <si>
    <t>R122,R127,R199,R261,R263,R290,R291,R292,R293,R300,R301,R302,R313,R442,R509,R536,R538</t>
  </si>
  <si>
    <t>RES SMD 453kohm +/-1% 1/20W 0201</t>
  </si>
  <si>
    <t>RC0201FR-07453KL</t>
  </si>
  <si>
    <t>Yageo:RC0201FR-07453KL</t>
  </si>
  <si>
    <t>R141,R158</t>
  </si>
  <si>
    <t>R153</t>
  </si>
  <si>
    <t>AC0201FR-10180KL</t>
  </si>
  <si>
    <t>Yageo:AC0201FR-10180KL</t>
  </si>
  <si>
    <t>R154,R192,R520</t>
  </si>
  <si>
    <t>AC0201FR-0751KL</t>
  </si>
  <si>
    <t>Yageo:AC0201FR-0751KL</t>
  </si>
  <si>
    <t>R155,R224,R519</t>
  </si>
  <si>
    <t>AC0201FR-07510RL</t>
  </si>
  <si>
    <t>Yageo:AC0201FR-07510RL</t>
  </si>
  <si>
    <t>R159</t>
  </si>
  <si>
    <t>RES SMD 20kohm +/-1% 1/20W 0201</t>
  </si>
  <si>
    <t>RC0201FR-0720KL</t>
  </si>
  <si>
    <t>Yageo:RC0201FR-0720KL</t>
  </si>
  <si>
    <t>R169,R181,R184,R195,R222,R235,R236,R237,R343,R344,R514</t>
  </si>
  <si>
    <t>AC0201FR-074K7L</t>
  </si>
  <si>
    <t>Yageo:AC0201FR-074K7L</t>
  </si>
  <si>
    <t>R177,R178,R179,R180,R182</t>
  </si>
  <si>
    <t>AC0201JR-070RL</t>
  </si>
  <si>
    <t>Yageo:AC0201JR-070RL</t>
  </si>
  <si>
    <t>R189,R198,R246,R247,R513</t>
  </si>
  <si>
    <t>R211,R212,R214,R215,R216,R217,R218,R219,R220,R223,R226,R233,R248,R251,R254</t>
  </si>
  <si>
    <t>R229,R240</t>
  </si>
  <si>
    <t>RES SMD 10Mohm +/-5% 1/20W 0201</t>
  </si>
  <si>
    <t>AC0201JR-0710ML</t>
  </si>
  <si>
    <t>Yageo:AC0201JR-0710ML</t>
  </si>
  <si>
    <t>R231</t>
  </si>
  <si>
    <t>RES SMD 33ohm +/-1% 1/20W 0201</t>
  </si>
  <si>
    <t>AC0201FR-1033RL</t>
  </si>
  <si>
    <t>Yageo:AC0201FR-1033RL</t>
  </si>
  <si>
    <t>R234</t>
  </si>
  <si>
    <t>AC0402FR-071K3L</t>
  </si>
  <si>
    <t>Yageo:AC0402FR-071K3L</t>
  </si>
  <si>
    <t>R238</t>
  </si>
  <si>
    <t>RES SMD 100ohm +/-1% 1/16W 0402</t>
  </si>
  <si>
    <t>RC0402FR-07100RL</t>
  </si>
  <si>
    <t>Yageo:RC0402FR-07100RL</t>
  </si>
  <si>
    <t>R241,R265,R273,R274</t>
  </si>
  <si>
    <t>RES SMD 59kohm +/-1% 1/16W 0402</t>
  </si>
  <si>
    <t>RC0402FR-0759KL</t>
  </si>
  <si>
    <t>Yageo:RC0402FR-0759KL</t>
  </si>
  <si>
    <t>R249</t>
  </si>
  <si>
    <t>RES SMD 8.87kohm +/-1% 1/16W 0402</t>
  </si>
  <si>
    <t>RC0402FR-078K87L</t>
  </si>
  <si>
    <t>Yageo:RC0402FR-078K87L</t>
  </si>
  <si>
    <t>R250</t>
  </si>
  <si>
    <t>R253,R255,R258,R259,R260</t>
  </si>
  <si>
    <t>AC0201FR-1022RL</t>
  </si>
  <si>
    <t>Yageo:AC0201FR-1022RL</t>
  </si>
  <si>
    <t>R282,R508,R539,R570,R572,R573</t>
  </si>
  <si>
    <t>RES SMD 360ohm +/-1% 1/20W 0201</t>
  </si>
  <si>
    <t>RC0201FR-07360RL</t>
  </si>
  <si>
    <t>Yageo:RC0201FR-07360RL</t>
  </si>
  <si>
    <t>R323</t>
  </si>
  <si>
    <t>RES SMD 360ohm +/-5% 1/16W 0402</t>
  </si>
  <si>
    <t>RC0402JR-07360RL</t>
  </si>
  <si>
    <t>Yageo:RC0402JR-07360RL</t>
  </si>
  <si>
    <t>R324</t>
  </si>
  <si>
    <t>AC0201FR-0712K1L</t>
  </si>
  <si>
    <t>Yageo:AC0201FR-0712K1L</t>
  </si>
  <si>
    <t>R342,R357</t>
  </si>
  <si>
    <t>R349</t>
  </si>
  <si>
    <t>RES SMD 100ohm +/-1% 1/20W 0201</t>
  </si>
  <si>
    <t>AC0201FR-07100RL</t>
  </si>
  <si>
    <t>Yageo:AC0201FR-07100RL</t>
  </si>
  <si>
    <t>R351,R353</t>
  </si>
  <si>
    <t>RC0201FR-07100RL</t>
  </si>
  <si>
    <t>Yageo:RC0201FR-07100RL</t>
  </si>
  <si>
    <t>R352</t>
  </si>
  <si>
    <t>RES SMD 1ohm +/-5% 1/16W 0402</t>
  </si>
  <si>
    <t>RC0402JR-071RL</t>
  </si>
  <si>
    <t>Yageo:RC0402JR-071RL</t>
  </si>
  <si>
    <t>R354</t>
  </si>
  <si>
    <t>RES SMD 0ohm +/-5% 1/10W 0603</t>
  </si>
  <si>
    <t>RC0603JR-070RL</t>
  </si>
  <si>
    <t>Yageo:RC0603JR-070RL</t>
  </si>
  <si>
    <t>R355,R356</t>
  </si>
  <si>
    <t>AC0201FR-10470KL</t>
  </si>
  <si>
    <t>Yageo:AC0201FR-10470KL</t>
  </si>
  <si>
    <t>R436</t>
  </si>
  <si>
    <t>AC0201FR-1030KL</t>
  </si>
  <si>
    <t>Yageo:AC0201FR-1030KL</t>
  </si>
  <si>
    <t>R489,R490,R496,R506,R507,R541</t>
  </si>
  <si>
    <t>NTC Thermistor 100kohm, В±1%,  0402</t>
  </si>
  <si>
    <t>NTCS0402E3104FHT</t>
  </si>
  <si>
    <t>Vishay:NTCS0402E3104FHT</t>
  </si>
  <si>
    <t>R521,R522</t>
  </si>
  <si>
    <t>RES SMD 16.9kohm +/-1% 1/16W 0402</t>
  </si>
  <si>
    <t>AC0402FR-0716K9L</t>
  </si>
  <si>
    <t>Yageo:AC0402FR-0716K9L</t>
  </si>
  <si>
    <t>R523</t>
  </si>
  <si>
    <t>RES SMD 32.4kohm +/-1% 1/16W 0402</t>
  </si>
  <si>
    <t>AC0402FR-0732K4L</t>
  </si>
  <si>
    <t>Yageo:AC0402FR-0732K4L</t>
  </si>
  <si>
    <t>R524</t>
  </si>
  <si>
    <t>RES SMD 9.09kohm +/-1% 1/16W 0402</t>
  </si>
  <si>
    <t>AC0402FR-079K09L</t>
  </si>
  <si>
    <t>Yageo:AC0402FR-079K09L</t>
  </si>
  <si>
    <t>R525</t>
  </si>
  <si>
    <t>RES SMD 38.3kohm +/-1% 1/16W 0402</t>
  </si>
  <si>
    <t>AC0402FR-0738K3L</t>
  </si>
  <si>
    <t>Yageo:AC0402FR-0738K3L</t>
  </si>
  <si>
    <t>R526</t>
  </si>
  <si>
    <t>RES SMD 34.8kohm +/-1% 1/16W 0402</t>
  </si>
  <si>
    <t>RC0402FR-0734K8L</t>
  </si>
  <si>
    <t>Yageo:RC0402FR-0734K8L</t>
  </si>
  <si>
    <t>R527</t>
  </si>
  <si>
    <t>RES SMD 5.9kohm +/-1% 1/16W 0402</t>
  </si>
  <si>
    <t>AC0402FR-075K9L</t>
  </si>
  <si>
    <t>Yageo:AC0402FR-075K9L</t>
  </si>
  <si>
    <t>R528</t>
  </si>
  <si>
    <t>RES SMD 1.18kohm +/-1% 1/10W 0603</t>
  </si>
  <si>
    <t>AC0603FR-071K18L</t>
  </si>
  <si>
    <t>Yageo:AC0603FR-071K18L</t>
  </si>
  <si>
    <t>R529</t>
  </si>
  <si>
    <t>RES SMD 3.83kohm +/-1% 1/16W 0402</t>
  </si>
  <si>
    <t>AC0402FR-073K83L</t>
  </si>
  <si>
    <t>Yageo:AC0402FR-073K83L</t>
  </si>
  <si>
    <t>R530</t>
  </si>
  <si>
    <t>RES SMD 750ohm +/-1% 1/10W 0603</t>
  </si>
  <si>
    <t>AC0603FR-07750RL</t>
  </si>
  <si>
    <t>Yageo:AC0603FR-07750RL</t>
  </si>
  <si>
    <t>R531</t>
  </si>
  <si>
    <t>RES SMD 23.7kohm +/-1% 1/16W 0402</t>
  </si>
  <si>
    <t>RC0402FR-0723K7L</t>
  </si>
  <si>
    <t>Yageo:RC0402FR-0723K7L</t>
  </si>
  <si>
    <t>R532</t>
  </si>
  <si>
    <t>RES SMD 15kohm +/-1% 1/16W 0402</t>
  </si>
  <si>
    <t>RC0402FR-0715KL</t>
  </si>
  <si>
    <t>Yageo:RC0402FR-0715KL</t>
  </si>
  <si>
    <t>R533,R534</t>
  </si>
  <si>
    <t>RES SMD 39.2kohm +/-1% 1/20W 0201</t>
  </si>
  <si>
    <t>RC0201FR-0739K2L</t>
  </si>
  <si>
    <t>Yageo:RC0201FR-0739K2L</t>
  </si>
  <si>
    <t>R579</t>
  </si>
  <si>
    <t>RN8</t>
  </si>
  <si>
    <t>VD1,VD2,VD4,VD5,VD13,VD14,VD15</t>
  </si>
  <si>
    <t>VD3,VD6</t>
  </si>
  <si>
    <t>TVS DIODE 1-CHANNEL 2V 0201 DFN</t>
  </si>
  <si>
    <t>AZ5B0S-01F</t>
  </si>
  <si>
    <t>Amazing Microelectronic Corp.:AZ5B0S-01F</t>
  </si>
  <si>
    <t>VD7,VD11</t>
  </si>
  <si>
    <t>VD8,VD9,VD10,VD16,VD19,VD20,VD21,VD34,VD35,VD37,VD44</t>
  </si>
  <si>
    <t>VD17,VD18</t>
  </si>
  <si>
    <t>VD25,VD26</t>
  </si>
  <si>
    <t>ULTRA-LOW CAP ESD HIGH SPEED 4-CH 3.3VWM</t>
  </si>
  <si>
    <t>TPD4E05U06DQAR-MS</t>
  </si>
  <si>
    <t>MSKSEMI Semiconductor</t>
  </si>
  <si>
    <t>MSKSEMI:TPD4E05U06DQAR-MS</t>
  </si>
  <si>
    <t>VD30</t>
  </si>
  <si>
    <t>DIODE SBR 30V 3A POWERDI123</t>
  </si>
  <si>
    <t>SBR3U30P1</t>
  </si>
  <si>
    <t>Diodes Incorporated:SBR3U30P1</t>
  </si>
  <si>
    <t>VD45,VD46</t>
  </si>
  <si>
    <t>SCHOTTKY RECTIFIER 60 V 10 A</t>
  </si>
  <si>
    <t>PMEG060V100EPEZ</t>
  </si>
  <si>
    <t>Nexperia:PMEG060V100EPEZ</t>
  </si>
  <si>
    <t>VD47,VD48</t>
  </si>
  <si>
    <t>Dual N-MOSFET</t>
  </si>
  <si>
    <t>LBSS138DW1T1G</t>
  </si>
  <si>
    <t>Leshan Radio Co.,Ltd</t>
  </si>
  <si>
    <t>LRC:LBSS138DW1T1G</t>
  </si>
  <si>
    <t>VT1,VT13</t>
  </si>
  <si>
    <t>TRANS PREBIAS 2NPN 50V SOT563</t>
  </si>
  <si>
    <t>NSBC114YDXV6T1G</t>
  </si>
  <si>
    <t>On Semiconductor:NSBC114YDXV6T1G</t>
  </si>
  <si>
    <t>VT7,VT8,VT9,VT14</t>
  </si>
  <si>
    <t>OptiMOS 5 Power-MOSFET,30V</t>
  </si>
  <si>
    <t>BSZ0506NSATMA1</t>
  </si>
  <si>
    <t>Infineon Technologies</t>
  </si>
  <si>
    <t>Infineon:BSZ0506NSATMA1</t>
  </si>
  <si>
    <t>VT16</t>
  </si>
  <si>
    <t>OptiMOS 6 Power-Transistor,40V</t>
  </si>
  <si>
    <t>BSC059N04LS6ATMA1</t>
  </si>
  <si>
    <t>Infineon:BSC059N04LS6ATMA1</t>
  </si>
  <si>
    <t>VT17</t>
  </si>
  <si>
    <t>MOSFET N-Channel 30 V 27A , PG-TSON-8-4</t>
  </si>
  <si>
    <t>IQE008N03LM5ATMA1</t>
  </si>
  <si>
    <t>Infineon:IQE008N03LM5ATMA1</t>
  </si>
  <si>
    <t>VT18</t>
  </si>
  <si>
    <t>OptiMOS 6 Power-Transistor,40V,  N channel, Id=637 A.</t>
  </si>
  <si>
    <t>IQDH45N04LM6ATMA1</t>
  </si>
  <si>
    <t>Infineon:IQDH45N04LM6ATMA1</t>
  </si>
  <si>
    <t>VT19</t>
  </si>
  <si>
    <t>CONN 7POS RA, Pitch 1mm</t>
  </si>
  <si>
    <t>L-KLS1-XF4-1.00-07-RM</t>
  </si>
  <si>
    <t>KLS:L-KLS1-XF4-1.00-07-RM</t>
  </si>
  <si>
    <t>X2</t>
  </si>
  <si>
    <t>CONN 22PIN FFC FPC 0.5MM SMD R/A</t>
  </si>
  <si>
    <t>FH55-22S-0.5SH</t>
  </si>
  <si>
    <t>Hirose:FH55-22S-0.5SH</t>
  </si>
  <si>
    <t>X3,X4</t>
  </si>
  <si>
    <t>X5</t>
  </si>
  <si>
    <t>X6</t>
  </si>
  <si>
    <t>X7</t>
  </si>
  <si>
    <t>CONN 7POS 1.25MM PITCH SMT MALE VERT</t>
  </si>
  <si>
    <t>L-KLS1-XL8-1.25-07-VM</t>
  </si>
  <si>
    <t>KLS:L-KLS1-XL8-1.25-07-VM</t>
  </si>
  <si>
    <t>CONN 8POS 1MM PITCH SMT MALE VERT</t>
  </si>
  <si>
    <t>L-KLS1-XL8-1.25-08-VM</t>
  </si>
  <si>
    <t>KLS:L-KLS1-XL8-1.25-08-VM</t>
  </si>
  <si>
    <t>X10</t>
  </si>
  <si>
    <t>CONN 2POS 1.25mm SMT MALE R/A</t>
  </si>
  <si>
    <t>L-KLS1-XL8-1.25-02-RM</t>
  </si>
  <si>
    <t>KLS:L-KLS1-XL8-1.25-02-RM</t>
  </si>
  <si>
    <t>X12</t>
  </si>
  <si>
    <t>CONN 3POS 1.25MM SMT MALE VERT</t>
  </si>
  <si>
    <t>L-KLS1-XL8-1.25-03-VM</t>
  </si>
  <si>
    <t>KLS:L-KLS1-XL8-1.25-03-VM</t>
  </si>
  <si>
    <t>X14</t>
  </si>
  <si>
    <t>X15,X16,X17,X18</t>
  </si>
  <si>
    <t>PCIe104_CON_E1N005INF1</t>
  </si>
  <si>
    <t>Tuesday, July 02, 2024</t>
  </si>
  <si>
    <t>PCIe104_CON_E1N005INF1.xlsx</t>
  </si>
  <si>
    <t>C1,C7,C8,C15,C16</t>
  </si>
  <si>
    <t>C2,C3,C4,C6,C9,C10,C17,C18,C56,C57,C67</t>
  </si>
  <si>
    <t>C5</t>
  </si>
  <si>
    <t>CAP CER 0805 100V 1uF X7R +/-10%</t>
  </si>
  <si>
    <t>CC0805KKX7R0BB105</t>
  </si>
  <si>
    <t>Yageo:CC0805KKX7R0BB105</t>
  </si>
  <si>
    <t>C11,C14,C76</t>
  </si>
  <si>
    <t>CAP CER SAFETY X2 1812 2.5KV 4.7nF X7R +/-10%</t>
  </si>
  <si>
    <t>FH12X472K302EGG</t>
  </si>
  <si>
    <t>Passive System Alliance</t>
  </si>
  <si>
    <t>PSA:FH12X472K302EGG</t>
  </si>
  <si>
    <t>C12,C13,C77,C78</t>
  </si>
  <si>
    <t>C19,C20,C21,C22</t>
  </si>
  <si>
    <t>CAP CER 220PF 50V X7R 0402 +/-5%</t>
  </si>
  <si>
    <t>CL05C221JB5NNNC</t>
  </si>
  <si>
    <t>Samsung:CL05C221JB5NNNC</t>
  </si>
  <si>
    <t>C23,C24,C25,C26</t>
  </si>
  <si>
    <t>C27,C28,C29,C30,C31,C32,C33,C34,C35,C36,C37,C38,C39,C40,C41,C42,C43,C44,C45,C46,C47,C48,C49,C50,C51,C52,C53,C54,C55</t>
  </si>
  <si>
    <t>C58,C59,C60,C61,C62,C63,C64,C65</t>
  </si>
  <si>
    <t>C66,C72,C73,C74,C75</t>
  </si>
  <si>
    <t>C68,C69,C70,C71</t>
  </si>
  <si>
    <t>D2,D3</t>
  </si>
  <si>
    <t>Fuse Holder, 32V, TH</t>
  </si>
  <si>
    <t>L-KLS5-719S</t>
  </si>
  <si>
    <t>KLS:L-KLS5-719S</t>
  </si>
  <si>
    <t>FU1</t>
  </si>
  <si>
    <t>Battery Holder, 2 Pin, Horizontal, SMT</t>
  </si>
  <si>
    <t>AAA-BAT-063-P01</t>
  </si>
  <si>
    <t>Lotes</t>
  </si>
  <si>
    <t>Lotes:AAA-BAT-063-P01</t>
  </si>
  <si>
    <t>GB1</t>
  </si>
  <si>
    <t>RELAY OPTOMOS 400mA 60V AC 4-SOP</t>
  </si>
  <si>
    <t>KAQY212SE</t>
  </si>
  <si>
    <t>COSMO Electronics Corporation</t>
  </si>
  <si>
    <t>COSMO:KAQY212SE</t>
  </si>
  <si>
    <t>K1,K2,K3,K4</t>
  </si>
  <si>
    <t>L1,L2,L3,L4,L5,L14</t>
  </si>
  <si>
    <t>IND, 0402, 600Ohm, 300mA, DCR 0.52Ohm</t>
  </si>
  <si>
    <t>MMZ1005S601CT000</t>
  </si>
  <si>
    <t>TDK: MMZ1005S601CT000</t>
  </si>
  <si>
    <t>L6,L7,L8,L9,L10,L11,L12,L13</t>
  </si>
  <si>
    <t>CMC 18A 2LN 45 OHM SMD AEC-Q200</t>
  </si>
  <si>
    <t>PLT10HH450180PN</t>
  </si>
  <si>
    <t>Murata:PLT10HH450180PN</t>
  </si>
  <si>
    <t>L15</t>
  </si>
  <si>
    <t>RES SMD 4.7kohm +/-1% 1/4W 1206</t>
  </si>
  <si>
    <t>RC1206FR-074K7L</t>
  </si>
  <si>
    <t>Yageo:RC1206FR-074K7L</t>
  </si>
  <si>
    <t>R1,R2,R3,R4</t>
  </si>
  <si>
    <t>R5,R6,R7,R8,R13,R14,R15,R16</t>
  </si>
  <si>
    <t>RES SMD 510ohm +/-1% 1/16W 0402</t>
  </si>
  <si>
    <t>RC0402FR-07510RL</t>
  </si>
  <si>
    <t>Yageo:RC0402FR-07510RL</t>
  </si>
  <si>
    <t>R9,R10,R11,R12</t>
  </si>
  <si>
    <t>RES SMD 10ohm +/-1% 1/16W 0402</t>
  </si>
  <si>
    <t>RC0402FR-0710RL</t>
  </si>
  <si>
    <t>Yageo:RC0402FR-0710RL</t>
  </si>
  <si>
    <t>R17</t>
  </si>
  <si>
    <t>RES SMD 3.9ohm +/-5% 1/4W 1206</t>
  </si>
  <si>
    <t>RC1206JR-073R9L</t>
  </si>
  <si>
    <t>Yageo:RC1206JR-073R9L</t>
  </si>
  <si>
    <t>R18</t>
  </si>
  <si>
    <t>R19,R24,R25,R26</t>
  </si>
  <si>
    <t>RC0402FR-0733RL</t>
  </si>
  <si>
    <t>Yageo:RC0402FR-0733RL</t>
  </si>
  <si>
    <t>R20,R21,R22,R23</t>
  </si>
  <si>
    <t>OPTOISO 3.75KV TRANS 4-SSOP</t>
  </si>
  <si>
    <t>EL3H7(B)(TA)-G</t>
  </si>
  <si>
    <t>Everlight Electronics</t>
  </si>
  <si>
    <t>Everlight Electronics:EL3H7(B)(TA)-G</t>
  </si>
  <si>
    <t>V1,V2,V3,V4</t>
  </si>
  <si>
    <t>TVS DIODE 48VWM 77.4VC DO214AB</t>
  </si>
  <si>
    <t>SMCJ48A</t>
  </si>
  <si>
    <t>Littelfuse Inc:SMCJ48A</t>
  </si>
  <si>
    <t>VD1</t>
  </si>
  <si>
    <t>SMC Diode Solutions Co. LTD Technical</t>
  </si>
  <si>
    <t>VD2,VD3,VD4,VD5</t>
  </si>
  <si>
    <t>TVS DIODE SOD123FL 36V 200W BIDIR</t>
  </si>
  <si>
    <t>SMF36CA</t>
  </si>
  <si>
    <t>Littelfuse Inc:SMF36CA</t>
  </si>
  <si>
    <t>VD6,VD7,VD8,VD9</t>
  </si>
  <si>
    <t>VD10,VD11,VD13,VD14,VD15,VD28</t>
  </si>
  <si>
    <t>VD12,VD19,VD29</t>
  </si>
  <si>
    <t>VD16,VD17,VD18,VD20,VD21</t>
  </si>
  <si>
    <t>Symmetrical TVS Diode</t>
  </si>
  <si>
    <t>ESD1CAN-MS</t>
  </si>
  <si>
    <t>MSKSEMI:ESD1CAN-MS</t>
  </si>
  <si>
    <t>VD22</t>
  </si>
  <si>
    <t>TVS DIODE 5VWM 14VC DFN1006-2</t>
  </si>
  <si>
    <t>D5V0L1B2LP</t>
  </si>
  <si>
    <t>Diodes Incorporated:D5V0L1B2LP</t>
  </si>
  <si>
    <t>VD23,VD24,VD25,VD26,VD27</t>
  </si>
  <si>
    <t>CONN 4pin Female, 104X, Key-N</t>
  </si>
  <si>
    <t>EXN.104X.304.FLLNP-26</t>
  </si>
  <si>
    <t>Xi?an spring technology Co., Ltd</t>
  </si>
  <si>
    <t>Spring Technology:EXN.104X.304.FLLNP-26</t>
  </si>
  <si>
    <t>CONN  12pin Female, 103X, Key-A</t>
  </si>
  <si>
    <t>EXA.103X.312.FLLNP-69</t>
  </si>
  <si>
    <t>Spring Technology:EXA.103X.312.FLLNP-69</t>
  </si>
  <si>
    <t>X2,X9,X11</t>
  </si>
  <si>
    <t>CONN 20pin Female, 104X, Key-N</t>
  </si>
  <si>
    <t>EXN.104X.H38.FLLNP-40-J</t>
  </si>
  <si>
    <t>Spring Technology:EXN.104X.H38.FLLNP-40-J</t>
  </si>
  <si>
    <t>CONN SOCET 12pin Female, 1031X, Key-N</t>
  </si>
  <si>
    <t>EXN.1031X.H52.HLLNP-50-J</t>
  </si>
  <si>
    <t>Spring Technology:EXN.1031X.H52.HLLNP-50-J</t>
  </si>
  <si>
    <t>X4,X5</t>
  </si>
  <si>
    <t>CONN 7pin Female, 102X, Key-N</t>
  </si>
  <si>
    <t>EXN.102X.307.FLLNP-83</t>
  </si>
  <si>
    <t>Spring Technology:EXN.102X.307.FLLNP-83</t>
  </si>
  <si>
    <t>CONN 7pin Female, 102X, Key-A</t>
  </si>
  <si>
    <t>EXA.102X.307.FLLNP-83</t>
  </si>
  <si>
    <t>Spring Technology:EXA.102X.307.FLLNP-83</t>
  </si>
  <si>
    <t>X10,X25,X26,X29</t>
  </si>
  <si>
    <t>CONN  12pin Female, 103X, Key-N</t>
  </si>
  <si>
    <t>EXN.103X.312.FLLNP-69</t>
  </si>
  <si>
    <t>Spring Technology:EXN.103X.312.FLLNP-69</t>
  </si>
  <si>
    <t>CONN 8pin Female, 1031X, Key-B</t>
  </si>
  <si>
    <t>EXB.1031X.H51.HLLNP-50-J</t>
  </si>
  <si>
    <t>Spring Technology:EXB.1031X.H51.HLLNP-50-J</t>
  </si>
  <si>
    <t>X13,X14,X15,X16</t>
  </si>
  <si>
    <t>CONN 7pin Female, 102X, Key-B</t>
  </si>
  <si>
    <t>EXB.102X.307.FLLNP-83</t>
  </si>
  <si>
    <t>Spring Technology:EXB.102X.307.FLLNP-83</t>
  </si>
  <si>
    <t>X17</t>
  </si>
  <si>
    <t>X18</t>
  </si>
  <si>
    <t>X19,X31</t>
  </si>
  <si>
    <t>CONN 20POS 1MM PITCH SMT MALE VERT</t>
  </si>
  <si>
    <t>L-KLS1-XF13-1.00-20-VM</t>
  </si>
  <si>
    <t>KLS:L-KLS1-XF13-1.00-20-VM</t>
  </si>
  <si>
    <t>X20,X21</t>
  </si>
  <si>
    <t>X22</t>
  </si>
  <si>
    <t>X23</t>
  </si>
  <si>
    <t>CONN 2POS 1.25MM PITCH SMT MALE VERT</t>
  </si>
  <si>
    <t>L-KLS1-XL8-1.25-02-VM</t>
  </si>
  <si>
    <t>KLS:L-KLS1-XL8-1.25-02-VM</t>
  </si>
  <si>
    <t>X24,X28,X40,X41,X42</t>
  </si>
  <si>
    <t>X27</t>
  </si>
  <si>
    <t>CONN 6POS 3MM PITCH SMT MALE VERT</t>
  </si>
  <si>
    <t>L-KLS1-XM1-3.00-2x03-S</t>
  </si>
  <si>
    <t>KLS:L-KLS1-XM1-3.00-2x03-S</t>
  </si>
  <si>
    <t>X30</t>
  </si>
  <si>
    <t>X39</t>
  </si>
  <si>
    <t>PCIe104_INF2_E1N006INF1</t>
  </si>
  <si>
    <t>Monday, May 27, 2024</t>
  </si>
  <si>
    <t>PCIe104_INF2_E1N006INF1_MAIN.xlsx</t>
  </si>
  <si>
    <t>BQ1,BQ2</t>
  </si>
  <si>
    <t>C1,C4,C61,C62,C63,C64,C65,C66,C67,C68,C69,C70,C71,C72,C76,C77,C78,C79,C80,C81,C82,C83,C84,C85,C88,C89,C90,C91,C92,C93,C171</t>
  </si>
  <si>
    <t>C2,C3,C5,C6</t>
  </si>
  <si>
    <t>C7,C8,C9,C10,C11,C12,C13,C14,C15,C16,C17,C18,C19,C20,C21,C22,C23,C24,C25,C26,C27,C28,C29,C30,C31,C32,C33,C34,C35,C36,C37,C38,C39,C40,C42,C43,C44,C45,C46,C47,C48,C49,C50,C51,C52,C55,C59,C60,C74,C75,C166,C167,C168,C169</t>
  </si>
  <si>
    <t>C41,C53,C54,C87</t>
  </si>
  <si>
    <t>C56,C57,C58</t>
  </si>
  <si>
    <t>C73,C94,C95,C96,C97,C98,C99,C100,C101,C102,C103,C104,C105,C106,C107,C108,C109,C110,C111,C165</t>
  </si>
  <si>
    <t>C86,C132,C170,C175</t>
  </si>
  <si>
    <t>C112,C113,C114,C115,C116,C117</t>
  </si>
  <si>
    <t>C118,C119,C120,C121,C122,C123</t>
  </si>
  <si>
    <t>C124,C125,C126,C127</t>
  </si>
  <si>
    <t>C128,C129,C130,C131</t>
  </si>
  <si>
    <t>C133,C134,C135,C136,C137,C138,C139,C140,C141,C142,C143,C144,C145,C146,C147,C148</t>
  </si>
  <si>
    <t>C149,C150,C151,C152,C153,C154,C155,C156,C157,C158,C159,C160,C161,C162,C163,C164</t>
  </si>
  <si>
    <t>D1,D4</t>
  </si>
  <si>
    <t>D5,D6,D7,D8</t>
  </si>
  <si>
    <t>D9,D10</t>
  </si>
  <si>
    <t>D11,D12,D13,D14,D15,D16,D17,D18</t>
  </si>
  <si>
    <t>D19,D20,D21,D22</t>
  </si>
  <si>
    <t>D23,D24,D25,D26</t>
  </si>
  <si>
    <t>D27,D28,D31</t>
  </si>
  <si>
    <t>D29</t>
  </si>
  <si>
    <t>D30</t>
  </si>
  <si>
    <t>D32,D33</t>
  </si>
  <si>
    <t>L5,L6,L7,L8</t>
  </si>
  <si>
    <t>L9,L10</t>
  </si>
  <si>
    <t>L11,L12,L13,L14,L15,L16,L17,L18,L19,L20,L21,L22,L23,L24,L25,L26,L27,L28,L29,L30,L31,L32,L33,L34,L35,L36,L37,L38,L39,L40,L41,L42</t>
  </si>
  <si>
    <t>R1,R2,R3,R4,R5,R7,R53,R54</t>
  </si>
  <si>
    <t>R6,R56</t>
  </si>
  <si>
    <t>R8,R9,R10</t>
  </si>
  <si>
    <t>R11,R12,R13,R14</t>
  </si>
  <si>
    <t>R15,R16,R17,R18</t>
  </si>
  <si>
    <t>R19,R20</t>
  </si>
  <si>
    <t>R21,R22,R23,R24,R25,R26</t>
  </si>
  <si>
    <t>R27,R28</t>
  </si>
  <si>
    <t>R29,R30,R31,R32,R33,R34,R35,R36,R37,R38,R39,R40,R55</t>
  </si>
  <si>
    <t>R41,R42,R43,R44</t>
  </si>
  <si>
    <t>VD1,VD2,VD3,VD4</t>
  </si>
  <si>
    <t>VD5,VD6,VD7,VD8,VD9,VD10,VD11,VD12,VD13,VD14,VD15,VD16,VD17,VD18,VD19,VD20</t>
  </si>
  <si>
    <t>VD21,VD22</t>
  </si>
  <si>
    <t>X2,X5,X9,X10</t>
  </si>
  <si>
    <t>PCIe104_PSU_E1N001PWR1</t>
  </si>
  <si>
    <t>Friday, May 31, 2024</t>
  </si>
  <si>
    <t>PCIe104_PSU_E1N001PWR1_MAIN.xlsx</t>
  </si>
  <si>
    <t>C1</t>
  </si>
  <si>
    <t>C3,C4,C30,C31,C92,C93,C94,C95,C96,C133</t>
  </si>
  <si>
    <t>C5,C6,C8,C9,C10,C12,C14,C15,C20,C23,C27,C28,C29,C39,C46,C47,C48,C50,C51,C52,C54,C60,C63,C68,C84,C85,C118,C120,C121,C122,C125,C126,C134,C135,C136,C138,C139</t>
  </si>
  <si>
    <t>C7,C37,C38,C70,C73,C107</t>
  </si>
  <si>
    <t>CAP CERAMIC, 0402, 0.047uF, 50V, X7R, +/-10%</t>
  </si>
  <si>
    <t>CL05B473KB5VPNC</t>
  </si>
  <si>
    <t>Samsung:CL05B473KB5VPNC</t>
  </si>
  <si>
    <t>C11,C89,C90</t>
  </si>
  <si>
    <t>CAP CER SAFETY X1/Y2 1812 5KV 1nF X7R +/-10%</t>
  </si>
  <si>
    <t>FK12X102K502EGQ</t>
  </si>
  <si>
    <t>PSA:FK12X102K502EGQ</t>
  </si>
  <si>
    <t>C13,C49,C108,C111</t>
  </si>
  <si>
    <t>CAP CER 0805 50V 2.2uF X7R +/-10%</t>
  </si>
  <si>
    <t>CC0805KKX7R9BB225</t>
  </si>
  <si>
    <t>Yageo:CC0805KKX7R9BB225</t>
  </si>
  <si>
    <t>C16,C104,C131</t>
  </si>
  <si>
    <t>C17,C18,C21,C22,C24,C32,C33,C75,C76,C77,C78,C79,C80,C81,C82,C101,C102,C113,C116</t>
  </si>
  <si>
    <t>C19,C25,C127</t>
  </si>
  <si>
    <t>C26,C53,C91,C119,C124,C128</t>
  </si>
  <si>
    <t>CAP CER 15p 5% 50V NP0 0402</t>
  </si>
  <si>
    <t>CL05C150JB51PNC</t>
  </si>
  <si>
    <t>Samsung:CL05C150JB51PNC</t>
  </si>
  <si>
    <t>C34</t>
  </si>
  <si>
    <t>CAP ALUM 100uF 100V +/-20% 12.5x13.5mm SMD</t>
  </si>
  <si>
    <t>EMVY101ARA101MKE0S</t>
  </si>
  <si>
    <t>United Chemi-Con</t>
  </si>
  <si>
    <t>United Chemi-Con:EMVY101ARA101MKE0S</t>
  </si>
  <si>
    <t>C35,C36,C40,C41,C42,C43,C44,C141</t>
  </si>
  <si>
    <t>CAP CER 10UF 50V X7R 1206 10%</t>
  </si>
  <si>
    <t>CL31B106KBHNNNE</t>
  </si>
  <si>
    <t>Samsung:CL31B106KBHNNNE</t>
  </si>
  <si>
    <t>C55,C56,C57,C69,C74,C129,C130</t>
  </si>
  <si>
    <t>CAP CER 1206 100V 4.7uF X7R +/-10%</t>
  </si>
  <si>
    <t>CGA5L1X7R2A475K160AC</t>
  </si>
  <si>
    <t>TDK:CGA5L1X7R2A475K160AC</t>
  </si>
  <si>
    <t>C58,C65,C66,C67,C71,C72,C105,C106</t>
  </si>
  <si>
    <t>C59,C61,C83,C109,C110</t>
  </si>
  <si>
    <t>CAP TANT POLY, 220uF, 6.3V, 9mOhm, +/-20%, 2817 SMD</t>
  </si>
  <si>
    <t>T520D227M006ATE009</t>
  </si>
  <si>
    <t>Kemet:T520D227M006ATE009</t>
  </si>
  <si>
    <t>C62,C64,C100,C103,C112,C114,C115</t>
  </si>
  <si>
    <t>CAP CER, 0402, 22pF, 50V, C0G, +/-5%</t>
  </si>
  <si>
    <t>CL05C220JB5NNNC</t>
  </si>
  <si>
    <t>Samsung:CL05C220JB5NNNC</t>
  </si>
  <si>
    <t>C86,C87,C97,C98</t>
  </si>
  <si>
    <t>C88,C99,C142</t>
  </si>
  <si>
    <t>C117</t>
  </si>
  <si>
    <t>C123</t>
  </si>
  <si>
    <t>DC-DC 9-60VIN; 12VOUT, 150W</t>
  </si>
  <si>
    <t>E35SE12013PDPG</t>
  </si>
  <si>
    <t>Delta Electronics</t>
  </si>
  <si>
    <t>Delta Electronics:E35SE12013PDPG</t>
  </si>
  <si>
    <t>IC DC-DC 9-60VIN; 5VOUT, 150W</t>
  </si>
  <si>
    <t>E35SE05030PDPG</t>
  </si>
  <si>
    <t>Delta Electronics:E35SE05030PDPG</t>
  </si>
  <si>
    <t>D3,D18</t>
  </si>
  <si>
    <t>IC SUPERVISOR 3 CHANNEL 8SOIC</t>
  </si>
  <si>
    <t>TPS3510D</t>
  </si>
  <si>
    <t>Texas Instruments:TPS3510D</t>
  </si>
  <si>
    <t>D5</t>
  </si>
  <si>
    <t>D6,D13</t>
  </si>
  <si>
    <t>D7</t>
  </si>
  <si>
    <t>IC CURRENT/VOLT MON 0.25% 16VQFN</t>
  </si>
  <si>
    <t>INA3221AIRGV</t>
  </si>
  <si>
    <t>Texas Instruments:INA3221AIRGV</t>
  </si>
  <si>
    <t>D8</t>
  </si>
  <si>
    <t>IC 70A Stackable eFuse, Latch-Off, QFN32</t>
  </si>
  <si>
    <t>TPS259840RZJ</t>
  </si>
  <si>
    <t>Texas Instruments:TPS259840RZJ</t>
  </si>
  <si>
    <t>D10,D11</t>
  </si>
  <si>
    <t>SN74LVC1G07DRYR</t>
  </si>
  <si>
    <t>Texas Instruments:SN74LVC1G07DRYR</t>
  </si>
  <si>
    <t>D20</t>
  </si>
  <si>
    <t>IC COMPARATOR 1 W/VOLT REF SOT23</t>
  </si>
  <si>
    <t>MCP65R41T-1202E/CHY</t>
  </si>
  <si>
    <t>Microchip:MCP65R41T-1202E/CHY</t>
  </si>
  <si>
    <t>IC REG LIN 3.3V 300MA 6DFN2020</t>
  </si>
  <si>
    <t>AP7331-33SNG-7</t>
  </si>
  <si>
    <t>Diodes Incorporated:AP7331-33SNG-7</t>
  </si>
  <si>
    <t>D22</t>
  </si>
  <si>
    <t>FUSE BRD MT 40A 250VAC 125VDC</t>
  </si>
  <si>
    <t>0678H9400-02</t>
  </si>
  <si>
    <t>Bel Fuse Incorporated</t>
  </si>
  <si>
    <t>BelFuse:0678H9400-02</t>
  </si>
  <si>
    <t>L1</t>
  </si>
  <si>
    <t>IND, 4.7uH, +/-20%, 25A, 5.5mOhm, 16.9x16.9x7mm SMD</t>
  </si>
  <si>
    <t>SRP1770TA-4R7M</t>
  </si>
  <si>
    <t>Bourns:SRP1770TA-4R7M</t>
  </si>
  <si>
    <t>L2,L3</t>
  </si>
  <si>
    <t>RES SMD 51kohm +/-1% 1/16W 0402</t>
  </si>
  <si>
    <t>RC0402FR-0751KL</t>
  </si>
  <si>
    <t>Yageo:RC0402FR-0751KL</t>
  </si>
  <si>
    <t>R1,R24,R42,R92</t>
  </si>
  <si>
    <t>RES SMD 180kohm +/-1% 1/16W 0402</t>
  </si>
  <si>
    <t>RC0402FR-07180KL</t>
  </si>
  <si>
    <t>Yageo:RC0402FR-07180KL</t>
  </si>
  <si>
    <t>R2</t>
  </si>
  <si>
    <t>R4,R5,R9,R14,R20,R33,R47,R48,R64,R75</t>
  </si>
  <si>
    <t>R6,R7,R8</t>
  </si>
  <si>
    <t>RES SMD 3.3kohm +/-1% 1/16W 0402</t>
  </si>
  <si>
    <t>RC0402FR-073K3L</t>
  </si>
  <si>
    <t>Yageo:RC0402FR-073K3L</t>
  </si>
  <si>
    <t>R10,R76,R77</t>
  </si>
  <si>
    <t>R11,R12,R15,R16,R17,R18,R19,R22,R26,R37,R51,R59,R93</t>
  </si>
  <si>
    <t>R13,R40,R52,R63,R67,R73,R74,R78,R79,R80,R81</t>
  </si>
  <si>
    <t>R21,R35,R50,R65,R66,R91,R94,R95</t>
  </si>
  <si>
    <t>R28</t>
  </si>
  <si>
    <t>RES SMD 1mohm 1% 1W 0612</t>
  </si>
  <si>
    <t>WSKW06121L000FEA</t>
  </si>
  <si>
    <t>Vishay:WSKW06121L000FEA</t>
  </si>
  <si>
    <t>R31</t>
  </si>
  <si>
    <t>RES SMD CURRENT SENSE 0.5mOhm +/-1% 5W 1216</t>
  </si>
  <si>
    <t>WSK1216L5000FEA</t>
  </si>
  <si>
    <t>Vishay:WSK1216L5000FEA</t>
  </si>
  <si>
    <t>R32</t>
  </si>
  <si>
    <t>RES SMD 80.6kohm +/-1% 1/16W 0402</t>
  </si>
  <si>
    <t>RC0402FR-1380K6L</t>
  </si>
  <si>
    <t>Yageo:RC0402FR-1380K6L</t>
  </si>
  <si>
    <t>R36</t>
  </si>
  <si>
    <t>R39,R53,R70,R71,R72,R82,R83,R84,R87</t>
  </si>
  <si>
    <t>RES SMD CURRENT SENSE 3.05x1.5x0.71, 5mohm, 4-wire, 1W, +/-1%</t>
  </si>
  <si>
    <t>WSKW06125L000FEA</t>
  </si>
  <si>
    <t>Vishay:WSKW06125L000FEA</t>
  </si>
  <si>
    <t>R41</t>
  </si>
  <si>
    <t>RES SMD 51kohm +/-1% 1/10W 0603</t>
  </si>
  <si>
    <t>RC0603FR-0751KL</t>
  </si>
  <si>
    <t>Yageo:RC0603FR-0751KL</t>
  </si>
  <si>
    <t>R43,R44</t>
  </si>
  <si>
    <t>R45</t>
  </si>
  <si>
    <t>RES SMD 40.2kohm +/-1% 1/16W 0402</t>
  </si>
  <si>
    <t>RC0402FR-0740K2L</t>
  </si>
  <si>
    <t>Yageo:RC0402FR-0740K2L</t>
  </si>
  <si>
    <t>R54,R61</t>
  </si>
  <si>
    <t>R56,R57</t>
  </si>
  <si>
    <t>RES SMD 300ohm +/-5% 1/2W 1210</t>
  </si>
  <si>
    <t>RC1210JR-07300RL</t>
  </si>
  <si>
    <t>Yageo:RC1210JR-07300RL</t>
  </si>
  <si>
    <t>R60</t>
  </si>
  <si>
    <t>RES SMD 5.6kohm +/-1% 1/16W 0402</t>
  </si>
  <si>
    <t>RC0402FR-075K6L</t>
  </si>
  <si>
    <t>Yageo:RC0402FR-075K6L</t>
  </si>
  <si>
    <t>R62</t>
  </si>
  <si>
    <t>V1</t>
  </si>
  <si>
    <t>VD1,VD3,VD8</t>
  </si>
  <si>
    <t>VD2,VD9,VD10,VD11,VD12</t>
  </si>
  <si>
    <t>TVS DIODE 12VWM 19.9VC DO214AB</t>
  </si>
  <si>
    <t>SMDJ12A</t>
  </si>
  <si>
    <t>Littelfuse Inc:SMDJ12A</t>
  </si>
  <si>
    <t>VD4</t>
  </si>
  <si>
    <t>TVS DIODE 5VWM 9.2VC DO214AB</t>
  </si>
  <si>
    <t>SMDJ5.0A</t>
  </si>
  <si>
    <t>Littelfuse Inc:SMDJ5.0A</t>
  </si>
  <si>
    <t>VD5</t>
  </si>
  <si>
    <t>VD6,VD7</t>
  </si>
  <si>
    <t>VD13</t>
  </si>
  <si>
    <t>VD14,VD15,VD16,VD19,VD20</t>
  </si>
  <si>
    <t>LED 1.95V 20mA  RED COLOR SMD 1.0x0.5 mm</t>
  </si>
  <si>
    <t>APHHS1005SURCK</t>
  </si>
  <si>
    <t>Kingbright:APHHS1005SURCK</t>
  </si>
  <si>
    <t>VD21</t>
  </si>
  <si>
    <t>65 V, 100 mA NPN general-purpose transistor</t>
  </si>
  <si>
    <t>BC846B,215</t>
  </si>
  <si>
    <t>Nexperia:BC846B,215</t>
  </si>
  <si>
    <t>VT1</t>
  </si>
  <si>
    <t>VT3,VT5</t>
  </si>
  <si>
    <t>CONN 6POS 3MM PITCH SMT MALE R/A</t>
  </si>
  <si>
    <t>L-KLS1-XM1-3.00-2x03-R</t>
  </si>
  <si>
    <t>KLS:L-KLS1-XM1-3.00-2x03-R</t>
  </si>
  <si>
    <t>SBC_35_2C3_1_E1E001CPU1E</t>
  </si>
  <si>
    <t>Thursday, March 14, 2024</t>
  </si>
  <si>
    <t>SBC_35_2C3_1_E1E001CPU1E_Var_MAIN.xlsx</t>
  </si>
  <si>
    <t>BQ1,BQ2,BQ3,BQ4,BQ5</t>
  </si>
  <si>
    <t>BQ6</t>
  </si>
  <si>
    <t>C1,C2,C3,C4,C108,C109,C718,C719,C809,C810</t>
  </si>
  <si>
    <t>C5,C6,C7,C8,C9,C10,C11,C12,C13,C14,C15,C16,C17,C18,C19,C20,C21,C22,C23,C24,C25,C26,C122,C123,C131,C132,C133,C134,C135,C247,C253,C254,C256,C288,C489,C490,C491,C650,C651,C654,C655,C656,C657,C658,C659,C660,C661,C662,C663,C664,C665,C671,C672,C673,C674,C675,C676,C677,C678,C679,C680,C681,C682,C683,C684,C685,C686,C687,C688,C689,C690,C691,C692,C693,C694,C716,C720,C721,C722,C723,C724,C725,C726,C727,C728,C729,C734,C735,C736,C737,C738,C739,C740,C741,C742,C743,C744,C745,C746,C747,C748,C749,C750,C751,C752,C753,C754,C755,C756,C757,C758,C759,C760,C761,C762,C763,C764,C765,C766,C767,C768,C769,C770,C771,C772,C773,C774,C775,C776,C777,C778,C779,C780,C781,C782,C783,C784,C785,C902,C903,C969,C970,C971,C972,C973,C974,C975,C976,C977,C978,C979,C980,C981,C982,C983,C984,C985,C986,C987,C988,C989,C990,C991,C992,C993,C994,C995,C996,C997,C998,C999,C1000,C1001,C1002,C1003,C1004,C1005,C1006,C1007,C1008,C1009,C1010,C1011,C1012,C1013,C1014,C1015,C1016,C1017,C1018,C1019,C1020,C1021,C1022,C1023,C1024,C1025,C1026,C1027,C1028,C1029,C1043,C1044,C1045,C1046,C1047,C1048,C1049,C1050,C1051,C1052,C1053,C1054,C1055,C1056,C1057,C1058,C1059,C1060,C1061,C1062,C1063,C1064,C1065,C1066,C1067,C1068,C1069,C1070,C1071,C1072,C1073,C1074,C1075,C1076,C1077,C1078,C1079,C1080,C1081,C1082,C1083,C1084,C1085,C1086,C1087,C1088,C1089,C1090,C1191,C1458,C1459,C1460</t>
  </si>
  <si>
    <t>C27,C28,C29,C30,C31,C32,C34,C35,C36,C38,C39,C40,C41,C42,C43,C44,C46,C47,C56,C57,C58,C59,C60,C61,C62,C63,C64,C65,C66,C67,C68,C69,C70,C73,C75,C79,C84,C86,C87,C96,C97,C98,C99,C100,C101,C102,C103,C104,C105,C106,C107,C110,C111,C112,C113,C124,C138,C147,C153,C154,C155,C156,C157,C158,C161,C164,C165,C167,C180,C183,C184,C190,C191,C193,C200,C202,C204,C207,C208,C209,C210,C211,C213,C218,C220,C221,C222,C223,C224,C225,C226,C229,C231,C232,C233,C235,C261,C262,C264,C265,C271,C272,C273,C274,C275,C282,C283,C285,C293,C296,C301,C311,C313,C315,C317,C318,C320,C324,C332,C346,C347,C353,C357,C359,C409,C410,C411,C412,C413,C414,C415,C416,C417,C418,C419,C420,C421,C422,C423,C424,C425,C443,C444,C445,C446,C447,C448,C449,C450,C451,C452,C455,C456,C457,C458,C459,C461,C463,C464,C465,C466,C467,C468,C469,C470,C471,C472,C473,C474,C476,C478,C479,C480,C481,C482,C483,C484,C485,C486,C487,C488,C652,C653,C797,C798,C799,C800,C801,C802,C806,C807,C812,C813,C814,C815,C816,C817,C820,C821,C822,C825,C826,C827,C839,C840,C841,C848,C849,C850,C851,C855,C856,C857,C858,C911,C918,C932,C934,C963,C966,C1104,C1105,C1110,C1113,C1114,C1115,C1116,C1117,C1118,C1130,C1134,C1136,C1137,C1142,C1156,C1164,C1166,C1167,C1174,C1175,C1176,C1177,C1195,C1196,C1197,C1198,C1200,C1201,C1202,C1206,C1211,C1216,C1218,C1219,C1220,C1221,C1222,C1241,C1242,C1243,C1244,C1246,C1247,C1333,C1335,C1336,C1337,C1338,C1340,C1341,C1343,C1421,C1436,C1437,C1457</t>
  </si>
  <si>
    <t>CAP CER, 1210, 100uF, 6.3V, X6S, +/-20%</t>
  </si>
  <si>
    <t>CL32X107MQVNNNE</t>
  </si>
  <si>
    <t>Samsung:CL32X107MQVNNNE</t>
  </si>
  <si>
    <t>C33,C37,C1369,C1370,C1371,C1372</t>
  </si>
  <si>
    <t>C45,C794,C795</t>
  </si>
  <si>
    <t>C48,C49,C50,C51,C52,C53,C54,C55,C81,C85,C88,C89,C90,C91,C92,C93,C94,C95,C114,C115,C116,C117,C118,C119,C120,C121,C263,C291,C875,C876,C1178,C1179,C1180,C1359,C1360,C1361,C1362,C1363,C1364</t>
  </si>
  <si>
    <t>C71,C148,C151,C199,C227,C228,C255,C260,C352,C355,C505,C506,C508,C509,C1144,C1145,C1146,C1150,C1153,C1154,C1155,C1334</t>
  </si>
  <si>
    <t>C72,C137,C178,C179,C206,C212,C216,C239,C250,C326,C333,C345,C432,C433,C883,C1171,C1208,C1227,C1240,C1248,C1347,C1348,C1349,C1351,C1352,C1353,C1429,C1430,C1431,C1434,C1450</t>
  </si>
  <si>
    <t>C74,C76,C77,C78,C80,C82,C83,C142,C242,C248,C249,C286,C666,C667,C670,C695,C696,C697,C698,C699,C700,C701,C702,C703,C704,C705,C706,C707,C708,C709,C710,C711,C712,C713,C714,C715,C786,C787,C823,C824,C846,C1030,C1031,C1032,C1033,C1034,C1035,C1036,C1037,C1381,C1382,C1383,C1384,C1385,C1386,C1387,C1388,C1389,C1390,C1391,C1392,C1393,C1394,C1395,C1396,C1397,C1398,C1399,C1400,C1401,C1402,C1403,C1404,C1405,C1406,C1407,C1408,C1409,C1410,C1411,C1412,C1423</t>
  </si>
  <si>
    <t>C125,C126,C173,C174,C175,C177,C496,C497,C498,C499</t>
  </si>
  <si>
    <t>C127,C128,C959,C960</t>
  </si>
  <si>
    <t>C129,C182,C334,C335,C837,C838,C1217,C1230,C1251,C1252,C1253,C1254,C1255,C1256,C1257,C1258,C1259,C1260,C1261,C1262,C1292,C1293,C1294</t>
  </si>
  <si>
    <t>C130,C143,C144,C186</t>
  </si>
  <si>
    <t>C136,C159,C160,C162,C205,C217,C219,C241,C287,C323,C404,C430,C431,C867,C870,C900,C901,C961,C962,C1106,C1107,C1108,C1109,C1209,C1210,C1214,C1215,C1245,C1424,C1427,C1432,C1433,C1448,C1449,C1451,C1452</t>
  </si>
  <si>
    <t>CAP CER 1206 25V 22uF X6S +/-10%</t>
  </si>
  <si>
    <t>CL31X226KAHN3NE</t>
  </si>
  <si>
    <t>Samsung:CL31X226KAHN3NE</t>
  </si>
  <si>
    <t>C139,C140,C243,C246</t>
  </si>
  <si>
    <t>C141</t>
  </si>
  <si>
    <t>C145,C146,C149,C150,C1131,C1132,C1133,C1135,C1138,C1139,C1140,C1141,C1143,C1148,C1149,C1151</t>
  </si>
  <si>
    <t>C152,C171,C194,C197,C198,C281,C891,C892,C1187</t>
  </si>
  <si>
    <t>C163</t>
  </si>
  <si>
    <t>C166,C168,C169,C170,C426,C438</t>
  </si>
  <si>
    <t>CAP CER 0201 10V 0.1uF X6S +/-10%</t>
  </si>
  <si>
    <t>0201S104K100CT</t>
  </si>
  <si>
    <t>Walsin</t>
  </si>
  <si>
    <t>Walsin:0201S104K100CT</t>
  </si>
  <si>
    <t>C172,C1263,C1264</t>
  </si>
  <si>
    <t>C176,C251,C280,C427,C428,C429,C436,C437,C926</t>
  </si>
  <si>
    <t>C181,C1092,C1295</t>
  </si>
  <si>
    <t>CAP CER 1210 16V 47uF X7R +/-10%</t>
  </si>
  <si>
    <t>CS3225X7R476K160NRL</t>
  </si>
  <si>
    <t>Samwha</t>
  </si>
  <si>
    <t>Samwha:CS3225X7R476K160NRL</t>
  </si>
  <si>
    <t>C185,C187,C244,C245,C269,C270</t>
  </si>
  <si>
    <t>CAP CER 0201 50V 33pF C0G/NP0 +/-5%</t>
  </si>
  <si>
    <t>CC0201JRNPO9BN330</t>
  </si>
  <si>
    <t>Yageo:CC0201JRNPO9BN330</t>
  </si>
  <si>
    <t>C188,C189,C201,C203,C1428</t>
  </si>
  <si>
    <t>C192</t>
  </si>
  <si>
    <t>C195,C196,C230,C240,C258,C259,C267,C276,C294,C312,C314,C316,C1207</t>
  </si>
  <si>
    <t>C214,C215,C266</t>
  </si>
  <si>
    <t>C234,C236,C289,C290,C1453,C1454,C1455,C1456</t>
  </si>
  <si>
    <t>CAP CER 1UF 25V X7R 0603 +/-10%</t>
  </si>
  <si>
    <t>CL10B105KA8NFNC</t>
  </si>
  <si>
    <t>Samsung:CL10B105KA8NFNC</t>
  </si>
  <si>
    <t>C237,C238</t>
  </si>
  <si>
    <t>C252,C257</t>
  </si>
  <si>
    <t>C268</t>
  </si>
  <si>
    <t>C277,C278,C1307,C1308,C1309,C1310,C1311,C1312,C1313,C1314,C1315,C1316,C1317,C1319,C1320,C1321,C1322,C1323,C1324,C1325,C1326,C1327,C1328,C1329,C1330,C1331</t>
  </si>
  <si>
    <t>C279</t>
  </si>
  <si>
    <t>C284</t>
  </si>
  <si>
    <t>C407,C937</t>
  </si>
  <si>
    <t>C434,C435</t>
  </si>
  <si>
    <t>CAP CERAMIC, 0402, 10uF, 6.3V, X6S, +/-20%</t>
  </si>
  <si>
    <t>GRM155C80J106ME11D</t>
  </si>
  <si>
    <t>Murata:GRM155C80J106ME11D</t>
  </si>
  <si>
    <t>C492,C493,C494,C495</t>
  </si>
  <si>
    <t>C500,C501,C502,C503,C1365,C1367</t>
  </si>
  <si>
    <t>C634,C635,C636,C637,C638,C639,C640,C641,C789,C790,C791,C793</t>
  </si>
  <si>
    <t>CAP CER 0603 100V 0.01uF X7R +/-10%</t>
  </si>
  <si>
    <t>CC0603KRX7R0BB103</t>
  </si>
  <si>
    <t>Yageo:CC0603KRX7R0BB103</t>
  </si>
  <si>
    <t>C796</t>
  </si>
  <si>
    <t>C843,C844</t>
  </si>
  <si>
    <t>C868,C871,C885,C886,C887,C888,C897,C898,C1186</t>
  </si>
  <si>
    <t>C869,C872,C889,C890,C905,C906,C907,C1100,C1101,C1102,C1103,C1182,C1183,C1296,C1297,C1298,C1299,C1302,C1303,C1304,C1413,C1414,C1415,C1416,C1417,C1418,C1419,C1420</t>
  </si>
  <si>
    <t>CAP CERAMIC, 0402, 30pF, 50V, C0G, +/-5%</t>
  </si>
  <si>
    <t>GRM1555C1H300JZ01</t>
  </si>
  <si>
    <t>Murata:GRM1555C1H300JZ01</t>
  </si>
  <si>
    <t>C877</t>
  </si>
  <si>
    <t>CAP CER 0402 50V 300pF C0G/NP0 +/-5%</t>
  </si>
  <si>
    <t>0402N301J500CT</t>
  </si>
  <si>
    <t>Walsin:0402N301J500CT</t>
  </si>
  <si>
    <t>C878</t>
  </si>
  <si>
    <t>CAP CERAMIC, 0402, 20pF, 50V, C0G, +/-5%</t>
  </si>
  <si>
    <t>GRM1555C1H200JZ01</t>
  </si>
  <si>
    <t>Murata:GRM1555C1H200JZ01</t>
  </si>
  <si>
    <t>C879</t>
  </si>
  <si>
    <t>CAP CERAMIC, 0402, 4700pF, 50V, X5R, +/-10%</t>
  </si>
  <si>
    <t>GRM155R61H472KA01</t>
  </si>
  <si>
    <t>Murata:GRM155R61H472KA01</t>
  </si>
  <si>
    <t>C880</t>
  </si>
  <si>
    <t>CAP CERAMIC, 0402, 47pF, 50V, C0G, +/-5%</t>
  </si>
  <si>
    <t>GJM1555C1H470JB01</t>
  </si>
  <si>
    <t>Murata:GJM1555C1H470JB01</t>
  </si>
  <si>
    <t>C893,C895,C1188</t>
  </si>
  <si>
    <t>CAP CERAMIC, 0402, 2200p, 50V, X7R, +/-10%</t>
  </si>
  <si>
    <t>CL05B222KB5NNNC</t>
  </si>
  <si>
    <t>Samsung:CL05B222KB5NNNC</t>
  </si>
  <si>
    <t>C894</t>
  </si>
  <si>
    <t>CAP CERAMIC, 0402, 1000pF, 50V, X7R, +/-10%</t>
  </si>
  <si>
    <t>GRM155R71H102KA01</t>
  </si>
  <si>
    <t>Murata:GRM155R71H102KA01</t>
  </si>
  <si>
    <t>C896</t>
  </si>
  <si>
    <t>C899,C1438,C1439,C1440,C1441,C1442,C1443,C1444,C1445,C1446,C1447</t>
  </si>
  <si>
    <t>C930,C931,C941,C942</t>
  </si>
  <si>
    <t>C939,C940,C943,C944,C1120,C1121,C1122,C1123,C1168,C1169</t>
  </si>
  <si>
    <t>C964,C965,C967,C968,C1190</t>
  </si>
  <si>
    <t>CAP CER, 0603, 22uF, 10V, X5R, +/-20%</t>
  </si>
  <si>
    <t>CL10A226MP8NUNE</t>
  </si>
  <si>
    <t>Samsung:CL10A226MP8NUNE</t>
  </si>
  <si>
    <t>C1147,C1152</t>
  </si>
  <si>
    <t>CAP CERAMIC, 0402, 470pF, 50V, C0G, +/-5%</t>
  </si>
  <si>
    <t>GRM1535C1H471JDD5</t>
  </si>
  <si>
    <t>Murata:GRM1535C1H471JDD5</t>
  </si>
  <si>
    <t>C1189</t>
  </si>
  <si>
    <t>C1192,C1193,C1194</t>
  </si>
  <si>
    <t>CAP ALUM POLY, 1200uF, 2.5V, 7mOhm, +/-20%, 6.3x8mm T/H</t>
  </si>
  <si>
    <t>ORZ122M0EBK-0608</t>
  </si>
  <si>
    <t>Lelon</t>
  </si>
  <si>
    <t>Lelon:ORZ122M0EBK-0608</t>
  </si>
  <si>
    <t>C1289</t>
  </si>
  <si>
    <t>CAP ALUM POLY 3900uF 2.5V 7mOhm +/-20% 10x13mm THT</t>
  </si>
  <si>
    <t>ORZ392M0EBK-1012</t>
  </si>
  <si>
    <t>Lelon:ORZ392M0EBK-1012</t>
  </si>
  <si>
    <t>C1290</t>
  </si>
  <si>
    <t>CAP ALUM POLY, 180uF, 16V, 10mOhm, +/-20%, 6.3x8mm T/H</t>
  </si>
  <si>
    <t>ORZ181M1CBK-0608</t>
  </si>
  <si>
    <t>Lelon:ORZ181M1CBK-0608</t>
  </si>
  <si>
    <t>C1291</t>
  </si>
  <si>
    <t>CAP ALUM POLY, 820uF, 6.3V, 7mOhm, +/-20%, 6.3x8mm T/H</t>
  </si>
  <si>
    <t>ORZ821M0JBK-0608</t>
  </si>
  <si>
    <t>Lelon:ORZ821M0JBK-0608</t>
  </si>
  <si>
    <t>C1305,C1306</t>
  </si>
  <si>
    <t>C1318,C1332</t>
  </si>
  <si>
    <t>CAP ALUM POLY HYB, 100uF, 50V, 28mOhm, +/-20%, 10x9mm T/H</t>
  </si>
  <si>
    <t>50PZS100M10X9</t>
  </si>
  <si>
    <t>Rubycon</t>
  </si>
  <si>
    <t>Rubycon:50PZS100M10X9</t>
  </si>
  <si>
    <t>C1344,C1345</t>
  </si>
  <si>
    <t>D2,D18</t>
  </si>
  <si>
    <t>D3,D17</t>
  </si>
  <si>
    <t>D4,D29,D32</t>
  </si>
  <si>
    <t>D5,D27,D30,D37,D40,D127,D153,D187,D188,D189</t>
  </si>
  <si>
    <t>D6,D125,D128,D129,D174</t>
  </si>
  <si>
    <t>D7,D36,D148,D160,D161,D162,D163,D165,D166,D167,D175</t>
  </si>
  <si>
    <t>Very Low Power 8-Output PCIe Clock Generator</t>
  </si>
  <si>
    <t>PI6CG18801ZLIEX</t>
  </si>
  <si>
    <t>Diodes Incorporated:PI6CG18801ZLIEX</t>
  </si>
  <si>
    <t>D10,D115,D121,D124,D126,D130,D131,D134</t>
  </si>
  <si>
    <t>INTEGRATED 10/100/1000M/2.5G ETHERNET TRANSCEIVER</t>
  </si>
  <si>
    <t>RTL8221BI-VB-CG</t>
  </si>
  <si>
    <t>Realtek:RTL8221BI-VB-CG</t>
  </si>
  <si>
    <t>D11,D12</t>
  </si>
  <si>
    <t>D15</t>
  </si>
  <si>
    <t>Puya</t>
  </si>
  <si>
    <t>D19,D28,D38,D39,D180,D181</t>
  </si>
  <si>
    <t>IC Power Monitor With I2C Interface</t>
  </si>
  <si>
    <t>INA237AIDGST</t>
  </si>
  <si>
    <t>Texas Instruments:INA237AIDGST</t>
  </si>
  <si>
    <t>IC AMP CLASS D MONO 3W</t>
  </si>
  <si>
    <t>PAM8304AYR</t>
  </si>
  <si>
    <t>Diodes Incorporated:PAM8304AYR</t>
  </si>
  <si>
    <t>D22,D23</t>
  </si>
  <si>
    <t>D24,D122</t>
  </si>
  <si>
    <t>D25,D26,D41,D190,D195</t>
  </si>
  <si>
    <t>D31,D34,D158</t>
  </si>
  <si>
    <t>D33</t>
  </si>
  <si>
    <t>D35</t>
  </si>
  <si>
    <t>D63,D100,D182,D183</t>
  </si>
  <si>
    <t>IC Surge Stopper 12-DFN</t>
  </si>
  <si>
    <t>LT4356IDE-1#TRPBF</t>
  </si>
  <si>
    <t>Analog Devices:LT4356IDE-1#TRPBF</t>
  </si>
  <si>
    <t>D70</t>
  </si>
  <si>
    <t>D71</t>
  </si>
  <si>
    <t>D73</t>
  </si>
  <si>
    <t>IC SINGLE CHANNEL POWER DISTRIBUTION LOAD SWITCH</t>
  </si>
  <si>
    <t>AP22804BSN-7</t>
  </si>
  <si>
    <t>Diodes Incorporated:AP22804BSN-7</t>
  </si>
  <si>
    <t>D90,D101,D102,D103,D168,D169</t>
  </si>
  <si>
    <t>IC 4-channel I2C-bus switch</t>
  </si>
  <si>
    <t>NCA9545-DTSR</t>
  </si>
  <si>
    <t>Novosense</t>
  </si>
  <si>
    <t>Novosense:NCA9545-DTSR</t>
  </si>
  <si>
    <t>D111</t>
  </si>
  <si>
    <t>IC LOW IQ TRIPLE OUTPUT BUCK CONTRO</t>
  </si>
  <si>
    <t>LTC7819RUJ#PBF</t>
  </si>
  <si>
    <t>Analog Devices:LTC7819RUJ#PBF</t>
  </si>
  <si>
    <t>D116</t>
  </si>
  <si>
    <t>D119,D120</t>
  </si>
  <si>
    <t>D123</t>
  </si>
  <si>
    <t>D133,D135,D136</t>
  </si>
  <si>
    <t>D137,D138</t>
  </si>
  <si>
    <t>D173</t>
  </si>
  <si>
    <t>D178,D185</t>
  </si>
  <si>
    <t>MOSFET 2P-CH 20V 3.6A 6HUSON</t>
  </si>
  <si>
    <t>PMDPB58UPE</t>
  </si>
  <si>
    <t>Nexperia:PMDPB58UPE</t>
  </si>
  <si>
    <t>D184</t>
  </si>
  <si>
    <t>D186</t>
  </si>
  <si>
    <t>IC XPNDR 400kHz I2C QFN24</t>
  </si>
  <si>
    <t>XL9535QF24</t>
  </si>
  <si>
    <t>Xinluda</t>
  </si>
  <si>
    <t>Xinluda:XL9535QF24</t>
  </si>
  <si>
    <t>D192</t>
  </si>
  <si>
    <t>D194</t>
  </si>
  <si>
    <t>FUSE PTC Low resistance SMD 1.25A 6V 0603</t>
  </si>
  <si>
    <t>PTSLR06036V125</t>
  </si>
  <si>
    <t>Eaton:PTSLR06036V125</t>
  </si>
  <si>
    <t>FU1,FU6,FU7,FU12</t>
  </si>
  <si>
    <t>FUSE BRD MNT 4A 32VAC 32VDC SMD 1206</t>
  </si>
  <si>
    <t>0407004.WRA</t>
  </si>
  <si>
    <t>Littelfuse Inc:0407004.WRA</t>
  </si>
  <si>
    <t>FU3,FU5</t>
  </si>
  <si>
    <t>FU8,FU9,FU10,FU11</t>
  </si>
  <si>
    <t>G1</t>
  </si>
  <si>
    <t>Quartz crystal oscillator 32.768kHz, 1.62V~3.63V, В±20ppm CMOS</t>
  </si>
  <si>
    <t>SX2M32.768KM20F30TNN</t>
  </si>
  <si>
    <t>SCTF</t>
  </si>
  <si>
    <t>SCTF:SX2M32.768KM20F30TNN</t>
  </si>
  <si>
    <t>G4</t>
  </si>
  <si>
    <t>TDK:MPZ0603S800HT000</t>
  </si>
  <si>
    <t>L1,L17,L18,L20,L21,L33,L34,L35,L36,L37,L38,L39,L40,L84,L85,L86,L89,L103</t>
  </si>
  <si>
    <t>CMC 100MA 2LN 90 OHM SMD</t>
  </si>
  <si>
    <t>LCF080602A900TG</t>
  </si>
  <si>
    <t>Littelfuse Inc:LCF080602A900TG</t>
  </si>
  <si>
    <t>L2,L3,L4,L5,L6,L7,L8,L9,L102</t>
  </si>
  <si>
    <t>IND, 15uH, +/-20%, 9.9A, 18.6mOhm, 11.3x10x10mm</t>
  </si>
  <si>
    <t>XAL1010-153MED</t>
  </si>
  <si>
    <t>Coilcraft</t>
  </si>
  <si>
    <t>Coilcraft:XAL1010-153MED</t>
  </si>
  <si>
    <t>L10</t>
  </si>
  <si>
    <t>IND FIXED 2.2uH +/-20% 15A 2.6mOhms</t>
  </si>
  <si>
    <t>XGL1010-222MED</t>
  </si>
  <si>
    <t>Coilcraft:XGL1010-222MED</t>
  </si>
  <si>
    <t>L11</t>
  </si>
  <si>
    <t>IND SMD molded 1,5 uH / 31 A, В±20%, 1.76mOhm</t>
  </si>
  <si>
    <t>XAL1010-152MED</t>
  </si>
  <si>
    <t>Coilcraft:XAL1010-152MED</t>
  </si>
  <si>
    <t>L12</t>
  </si>
  <si>
    <t>CMC 120MA 2LN 35 OHM SMD</t>
  </si>
  <si>
    <t>DLM0QSB350HY2D</t>
  </si>
  <si>
    <t>Murata:DLM0QSB350HY2D</t>
  </si>
  <si>
    <t>L13,L14,L65,L66,L67,L68,L69,L70,L71,L72,L91,L97,L98,L99,L100,L101,L104,L106,L107</t>
  </si>
  <si>
    <t>L19,L29,L30,L31,L32,L73,L74,L75,L76,L82,L83,L87,L92,L93,L94,L95,L96,L108</t>
  </si>
  <si>
    <t>L22,L27,L28,L41,L42,L43,L44,L45,L46,L47,L48,L49,L50,L51,L52,L53,L54,L55,L56,L57,L58,L59,L60,L61,L62,L63,L64,L77,L90</t>
  </si>
  <si>
    <t>L23</t>
  </si>
  <si>
    <t>IND FIXED 1ВµH +/-20% 32A 1.1mOhm</t>
  </si>
  <si>
    <t>XAL1010-102MED</t>
  </si>
  <si>
    <t>Coilcraft:XAL1010-102MED</t>
  </si>
  <si>
    <t>L24</t>
  </si>
  <si>
    <t>IND 1.5uH +/-20% 5.2A 36mOhm 4.2x4.2x2mm</t>
  </si>
  <si>
    <t>PA4332.152NLT</t>
  </si>
  <si>
    <t>Pulse Electronics Corporation:PA4332.152NLT</t>
  </si>
  <si>
    <t>L25</t>
  </si>
  <si>
    <t>IND Power, SMT, 220nH, 75 A, 0.15mOhm</t>
  </si>
  <si>
    <t>PG2290.221HLT</t>
  </si>
  <si>
    <t>Pulse Electronics Corporation:PG2290.221HLT</t>
  </si>
  <si>
    <t>L26</t>
  </si>
  <si>
    <t>IND, 0805, 30ohms, 8.5A, DCR 4 mOhm</t>
  </si>
  <si>
    <t>BLM21SN300SN1D</t>
  </si>
  <si>
    <t>Murata:BLM21SN300SN1D</t>
  </si>
  <si>
    <t>L80,L81</t>
  </si>
  <si>
    <t>IND, 0402, 18Ohm, 4A, DCR 10mOhm</t>
  </si>
  <si>
    <t>MPZ1005S180HT000</t>
  </si>
  <si>
    <t>TDK:MPZ1005S180HT000</t>
  </si>
  <si>
    <t>L105</t>
  </si>
  <si>
    <t>P1,P2,P3,P4,P5,P6,P7,P8,P9,P10,P11,P12,P13,P14,P15,P16,P17,P18,P19,P20,P21,P22,P23,P24,P25,P26,P27,P28,P29,P30,P31,P32,P33,P34,P35,P36,P37,P38,P39,P40,P41,P42,P43,P44,P45,P46,P47,P48,P49,P50,P51,P52,P53,P54,P55,P56,P57,P58,P59,P60,P61,P62,P63,P64,P65,P66,P67,P68,P69,P70,P71,P72,P73,P74,P75,P76,P77,P78,P79,P80,P81,P82,P83,P84,P85,P86</t>
  </si>
  <si>
    <t>R1,R2,R3,R4,R6,R7,R9,R10,R11,R12,R18,R19,R20,R21,R22,R25,R144,R166,R167,R168,R169,R177,R178,R182,R240,R241,R314,R315,R320,R321,R324,R325,R328,R329,R332,R333,R338,R339,R358,R359,R384,R385,R388,R389,R483,R484,R485,R525,R542,R543,R545,R548,R659,R665,R666</t>
  </si>
  <si>
    <t>R5,R8,R116,R117,R188,R194,R247</t>
  </si>
  <si>
    <t>R13,R14,R164,R209,R210,R211,R212,R222,R223,R226,R227,R268,R269,R270,R280,R302,R303,R308,R311,R312,R313,R316,R317,R318,R319,R322,R323,R326,R327,R330,R331,R336,R337,R356,R357,R386,R640,R658,R817,R818,R819,R820,R821,R822</t>
  </si>
  <si>
    <t>R15,R16,R17,R216,R282,R399,R402,R404,R412,R414,R415,R426,R428,R444,R540,R618,R664,R716</t>
  </si>
  <si>
    <t>R23,R28,R138,R143,R163,R187,R255,R436,R438,R491,R492,R493,R494,R495,R498,R499,R500,R501,R502,R503,R504,R505,R506,R517,R549,R571,R590,R591,R652,R700,R701,R702</t>
  </si>
  <si>
    <t>R24,R29,R30,R32,R36,R40,R41,R42,R43,R66,R68,R69,R70,R71,R72,R73,R74,R75,R76,R133,R136,R137,R253,R288,R354,R643,R650,R806,R807</t>
  </si>
  <si>
    <t>AC0201FR-1020KL</t>
  </si>
  <si>
    <t>Yageo:AC0201FR-1020KL</t>
  </si>
  <si>
    <t>R26,R52,R53,R80,R81,R82,R83,R108,R189,R190,R239,R242,R243,R300,R301,R523,R647,R648</t>
  </si>
  <si>
    <t>AC0201FR-101ML</t>
  </si>
  <si>
    <t>Yageo:AC0201FR-101ML</t>
  </si>
  <si>
    <t>R27,R54,R649</t>
  </si>
  <si>
    <t>R31,R38,R45,R46,R56,R57,R84,R89,R90,R92,R93,R94,R95,R96,R97,R98,R99,R100,R101,R105,R106,R109,R110,R114,R115,R118,R119,R120,R121,R122,R123,R124,R125,R126,R129,R130,R131,R132,R140,R154,R155,R156,R157,R158,R161,R172,R173,R174,R176,R180,R181,R193,R197,R199,R238,R244,R261,R262,R263,R264,R273,R276,R287,R289,R291,R345,R349,R350,R355,R376,R377,R378,R423,R430,R432,R478,R479,R480,R481,R482,R486,R488,R489,R490,R512,R513,R516,R524,R541,R544,R554,R570,R572,R588,R589,R593,R596,R602,R605,R613,R617,R623,R624,R657,R660,R661,R685,R687,R688,R691,R692,R693,R694,R703,R704,R709,R711,R712,R755,R800,R801,R803,R804,R805,R808,R809,R810,R811,R812,R815,R816</t>
  </si>
  <si>
    <t>R33,R47,R55,R265,R309</t>
  </si>
  <si>
    <t>R35,R59,R62,R88,R102,R103,R104,R107,R127,R142,R165,R170,R171,R175,R179,R185,R192,R196,R283,R284,R292,R341,R342,R343,R344,R391,R394,R395,R396,R454,R457,R458,R466,R487,R533,R559,R578,R579,R580,R584,R587,R614,R622,R626,R627,R628,R629,R630,R631,R632,R637,R641,R642,R645,R646,R662,R671</t>
  </si>
  <si>
    <t>R37,R39,R44,R48,R50,R51,R78,R79,R113,R271,R272,R279,R281,R295,R296,R297,R299,R608,R644,R766,R767</t>
  </si>
  <si>
    <t>R49,R201,R202,R203,R204,R248</t>
  </si>
  <si>
    <t>R58,R77</t>
  </si>
  <si>
    <t>RES SMD 360kohm +/-0.5% 1/16W 0402</t>
  </si>
  <si>
    <t>AC0402DR-07360KL</t>
  </si>
  <si>
    <t>Yageo:AC0402DR-07360KL</t>
  </si>
  <si>
    <t>AC0402FR-0751KL</t>
  </si>
  <si>
    <t>Yageo:AC0402FR-0751KL</t>
  </si>
  <si>
    <t>R61</t>
  </si>
  <si>
    <t>R63</t>
  </si>
  <si>
    <t>AC0402FR-0710RL</t>
  </si>
  <si>
    <t>Yageo:AC0402FR-0710RL</t>
  </si>
  <si>
    <t>R64</t>
  </si>
  <si>
    <t>RES SMD 120kohm +/-1% 1/16W 0402</t>
  </si>
  <si>
    <t>AC0402FR-07120KL</t>
  </si>
  <si>
    <t>Yageo:AC0402FR-07120KL</t>
  </si>
  <si>
    <t>R65</t>
  </si>
  <si>
    <t>RES SMD 4.32kohm +/-1% 1/16W 0402</t>
  </si>
  <si>
    <t>AC0402FR-074K32L</t>
  </si>
  <si>
    <t>Yageo:AC0402FR-074K32L</t>
  </si>
  <si>
    <t>R67</t>
  </si>
  <si>
    <t>RES SMD 360ohm +/-0.5% 1/16W 0402</t>
  </si>
  <si>
    <t>AC0402DR-07360RL</t>
  </si>
  <si>
    <t>Yageo:AC0402DR-07360RL</t>
  </si>
  <si>
    <t>R85,R134</t>
  </si>
  <si>
    <t>AC0402FR-0759KL</t>
  </si>
  <si>
    <t>Yageo:AC0402FR-0759KL</t>
  </si>
  <si>
    <t>R86</t>
  </si>
  <si>
    <t>AC0402FR-07100KL</t>
  </si>
  <si>
    <t>Yageo:AC0402FR-07100KL</t>
  </si>
  <si>
    <t>R87,R577</t>
  </si>
  <si>
    <t>RES SMD 0ohm +/-5% 1/5W 0603</t>
  </si>
  <si>
    <t>AC0603JR-3W0RL</t>
  </si>
  <si>
    <t>Yageo:AC0603JR-3W0RL</t>
  </si>
  <si>
    <t>R91,R788,R789,R790,R791</t>
  </si>
  <si>
    <t>R111</t>
  </si>
  <si>
    <t>R112</t>
  </si>
  <si>
    <t>R128,R205,R206,R207,R208</t>
  </si>
  <si>
    <t>R135</t>
  </si>
  <si>
    <t>R141,R183,R184,R246</t>
  </si>
  <si>
    <t>R145,R146,R147,R148,R149,R150,R151,R152,R260,R669,R672,R673,R674,R675,R676,R677,R707,R708,R792,R793,R794,R802,R814</t>
  </si>
  <si>
    <t>RES SMD 21.5kohm +/-1% 1/16W 0402</t>
  </si>
  <si>
    <t>AC0402FR-0721K5L</t>
  </si>
  <si>
    <t>Yageo:AC0402FR-0721K5L</t>
  </si>
  <si>
    <t>AC0402FR-0710KL</t>
  </si>
  <si>
    <t>Yageo:AC0402FR-0710KL</t>
  </si>
  <si>
    <t>R160,R406,R558</t>
  </si>
  <si>
    <t>RES SMD 75ohm +/-1% 1/8W 0402</t>
  </si>
  <si>
    <t>AC0402FR-7W75RL</t>
  </si>
  <si>
    <t>Yageo:AC0402FR-7W75RL</t>
  </si>
  <si>
    <t>R218,R219,R220,R221,R224,R225,R228,R229</t>
  </si>
  <si>
    <t>RES SMD 22kohm +/-1% 1/20W 0201</t>
  </si>
  <si>
    <t>AC0201FR-1022KL</t>
  </si>
  <si>
    <t>Yageo:AC0201FR-1022KL</t>
  </si>
  <si>
    <t>R230,R231,R232,R233,R234,R235,R236,R237,R373,R757</t>
  </si>
  <si>
    <t>RES SMD 39.2kohm +/-1% 1/16W 0402</t>
  </si>
  <si>
    <t>AC0402FR-0739K2L</t>
  </si>
  <si>
    <t>Yageo:AC0402FR-0739K2L</t>
  </si>
  <si>
    <t>R245</t>
  </si>
  <si>
    <t>R250,R257</t>
  </si>
  <si>
    <t>RES SMD 0ohm +/-1% 1/16W 0402</t>
  </si>
  <si>
    <t>AC0402FR-070RL</t>
  </si>
  <si>
    <t>Yageo:AC0402FR-070RL</t>
  </si>
  <si>
    <t>R251,R252</t>
  </si>
  <si>
    <t>R258,R526</t>
  </si>
  <si>
    <t>RES SMD 3.9ohm +/-5% 1/2W 1206</t>
  </si>
  <si>
    <t>AC1206JR-7W3R9L</t>
  </si>
  <si>
    <t>Yageo:AC1206JR-7W3R9L</t>
  </si>
  <si>
    <t>R266</t>
  </si>
  <si>
    <t>AC0201FR-102K49L</t>
  </si>
  <si>
    <t>Yageo:AC0201FR-102K49L</t>
  </si>
  <si>
    <t>R267,R304</t>
  </si>
  <si>
    <t>AC0402JR-071RL</t>
  </si>
  <si>
    <t>Yageo:AC0402JR-071RL</t>
  </si>
  <si>
    <t>R274</t>
  </si>
  <si>
    <t>RES SMD 5.76kohm +/-1% 1/16W 0402</t>
  </si>
  <si>
    <t>RC0402FR-075K76L</t>
  </si>
  <si>
    <t>Yageo:RC0402FR-075K76L</t>
  </si>
  <si>
    <t>R275</t>
  </si>
  <si>
    <t>AC0402FR-074K7L</t>
  </si>
  <si>
    <t>Yageo:AC0402FR-074K7L</t>
  </si>
  <si>
    <t>R278,R306</t>
  </si>
  <si>
    <t>RES SMD 2.67kohm +/-1% 1/16W 0402</t>
  </si>
  <si>
    <t>RC0402FR-072K67L</t>
  </si>
  <si>
    <t>Yageo:RC0402FR-072K67L</t>
  </si>
  <si>
    <t>R290</t>
  </si>
  <si>
    <t>RES SMD 2.05kohm +/-1% 1/16W 0402</t>
  </si>
  <si>
    <t>RC0402FR-072K05L</t>
  </si>
  <si>
    <t>Yageo:RC0402FR-072K05L</t>
  </si>
  <si>
    <t>R293</t>
  </si>
  <si>
    <t>R334,R335</t>
  </si>
  <si>
    <t>R360</t>
  </si>
  <si>
    <t>RES , 0402, 53.6kohms, 1%, 1/16W</t>
  </si>
  <si>
    <t>CR0402-FX-5362-G</t>
  </si>
  <si>
    <t>Bourns:CR0402-FX-5362-G</t>
  </si>
  <si>
    <t>R397</t>
  </si>
  <si>
    <t>RES , 0402, 6.65kohms, 1%, 1/16W</t>
  </si>
  <si>
    <t>CR0402-FX-6651-G</t>
  </si>
  <si>
    <t>Bourns:CR0402-FX-6651-G</t>
  </si>
  <si>
    <t>R398</t>
  </si>
  <si>
    <t>AC0402FR-0715KL</t>
  </si>
  <si>
    <t>Yageo:AC0402FR-0715KL</t>
  </si>
  <si>
    <t>R400,R403,R721</t>
  </si>
  <si>
    <t>AC0402FR-0723K7L</t>
  </si>
  <si>
    <t>Yageo:AC0402FR-0723K7L</t>
  </si>
  <si>
    <t>R405</t>
  </si>
  <si>
    <t>R407</t>
  </si>
  <si>
    <t>RES SMD 3.83kohm +/-1% 1/10W 0603</t>
  </si>
  <si>
    <t>AC0603FR-073K83L</t>
  </si>
  <si>
    <t>Yageo:AC0603FR-073K83L</t>
  </si>
  <si>
    <t>R408</t>
  </si>
  <si>
    <t>R409</t>
  </si>
  <si>
    <t>RES SMD 5.9kohm +/-1% 1/10W 0603</t>
  </si>
  <si>
    <t>AC0603FR-075K9L</t>
  </si>
  <si>
    <t>Yageo:AC0603FR-075K9L</t>
  </si>
  <si>
    <t>R410</t>
  </si>
  <si>
    <t>RES SMD 28.7kohm +/-1% 1/16W 0402</t>
  </si>
  <si>
    <t>AC0402FR-0728K7L</t>
  </si>
  <si>
    <t>Yageo:AC0402FR-0728K7L</t>
  </si>
  <si>
    <t>R411</t>
  </si>
  <si>
    <t>R416,R433</t>
  </si>
  <si>
    <t>R417</t>
  </si>
  <si>
    <t>R418</t>
  </si>
  <si>
    <t>R419</t>
  </si>
  <si>
    <t>R420</t>
  </si>
  <si>
    <t>RES SMD 115kohm +/-1% 1/16W 0402</t>
  </si>
  <si>
    <t>AC0402FR-07115KL</t>
  </si>
  <si>
    <t>Yageo:AC0402FR-07115KL</t>
  </si>
  <si>
    <t>R421</t>
  </si>
  <si>
    <t>RES SMD 20kohm +/-1% 1/16W 0402</t>
  </si>
  <si>
    <t>RC0402FR-0720KL</t>
  </si>
  <si>
    <t>Yageo:RC0402FR-0720KL</t>
  </si>
  <si>
    <t>R424</t>
  </si>
  <si>
    <t>RES SMD 360kohm +/-1% 1/16W 0402</t>
  </si>
  <si>
    <t>AC0402FR-07360KL</t>
  </si>
  <si>
    <t>Yageo:AC0402FR-07360KL</t>
  </si>
  <si>
    <t>R425</t>
  </si>
  <si>
    <t>RES SMD 31.6kohm +/-1% 1/20W 0201</t>
  </si>
  <si>
    <t>AC0201FR-1031K6L</t>
  </si>
  <si>
    <t>Yageo:AC0201FR-1031K6L</t>
  </si>
  <si>
    <t>R429</t>
  </si>
  <si>
    <t>RES SMD 53.6kohm +/-1% 1/20W 0201</t>
  </si>
  <si>
    <t>AC0201FR-0753K6L</t>
  </si>
  <si>
    <t>Yageo:AC0201FR-0753K6L</t>
  </si>
  <si>
    <t>R431</t>
  </si>
  <si>
    <t>RES SMD 86.6kohm +/-1% 1/16W 0402</t>
  </si>
  <si>
    <t>AC0402FR-0786K6L</t>
  </si>
  <si>
    <t>Yageo:AC0402FR-0786K6L</t>
  </si>
  <si>
    <t>R434</t>
  </si>
  <si>
    <t>RES SMD 1.82kohm +/-1% 1/16W 0402</t>
  </si>
  <si>
    <t>AC0402FR-071K82L</t>
  </si>
  <si>
    <t>Yageo:AC0402FR-071K82L</t>
  </si>
  <si>
    <t>R435</t>
  </si>
  <si>
    <t>RES SMD 732ohm +/-1% 1/16W 0402</t>
  </si>
  <si>
    <t>AC0402FR-07732RL</t>
  </si>
  <si>
    <t>Yageo:AC0402FR-07732RL</t>
  </si>
  <si>
    <t>R437</t>
  </si>
  <si>
    <t>RES SMD 150kohm +/-1% 1/16W 0402</t>
  </si>
  <si>
    <t>AC0402FR-07150KL</t>
  </si>
  <si>
    <t>Yageo:AC0402FR-07150KL</t>
  </si>
  <si>
    <t>R518,R519,R520,R521</t>
  </si>
  <si>
    <t>RES SMD 8.66kohm +/-1% 1/16W 0402</t>
  </si>
  <si>
    <t>AC0402FR-078K66L</t>
  </si>
  <si>
    <t>Yageo:AC0402FR-078K66L</t>
  </si>
  <si>
    <t>R569</t>
  </si>
  <si>
    <t>RES SMD 1.78kohm +/-1% 1/16W 0402</t>
  </si>
  <si>
    <t>AC0402FR-071K78L</t>
  </si>
  <si>
    <t>Yageo:AC0402FR-071K78L</t>
  </si>
  <si>
    <t>R573</t>
  </si>
  <si>
    <t>RES SMD 2kohm +/-1% 1/16W 0402</t>
  </si>
  <si>
    <t>RC0402FR-072KL</t>
  </si>
  <si>
    <t>Yageo:RC0402FR-072KL</t>
  </si>
  <si>
    <t>R574</t>
  </si>
  <si>
    <t>RES SMD 140kohm +/-1% 1/16W 0402</t>
  </si>
  <si>
    <t>AC0402FR-07140KL</t>
  </si>
  <si>
    <t>Yageo:AC0402FR-07140KL</t>
  </si>
  <si>
    <t>R575</t>
  </si>
  <si>
    <t>R601</t>
  </si>
  <si>
    <t>RES SMD 6.2kohm +/-1% 1/20W 0201</t>
  </si>
  <si>
    <t>AC0201FR-076K2L</t>
  </si>
  <si>
    <t>Yageo:AC0201FR-076K2L</t>
  </si>
  <si>
    <t>R768</t>
  </si>
  <si>
    <t>MSKSEMI</t>
  </si>
  <si>
    <t>VD1,VD2,VD6,VD9,VD33,VD41</t>
  </si>
  <si>
    <t>VD3,VD4,VD5,VD10</t>
  </si>
  <si>
    <t>TVS DIODE 36VWM 58.1VC SMC</t>
  </si>
  <si>
    <t>SMCJ36A</t>
  </si>
  <si>
    <t>Littelfuse Inc:SMCJ36A</t>
  </si>
  <si>
    <t>VD8,VD11,VD13,VD85,VD86,VD87,VD88,VD89,VD99,VD100,VD101</t>
  </si>
  <si>
    <t>VD12,VD14,VD15,VD17,VD18,VD19,VD20,VD21</t>
  </si>
  <si>
    <t>DIODE SCHOTTKY 45V 5A X3-TSN1616-2 T&amp;R</t>
  </si>
  <si>
    <t>SDM5U45EP3-7</t>
  </si>
  <si>
    <t>Diodes Incorporated:SDM5U45EP3-7</t>
  </si>
  <si>
    <t>VD16,VD52,VD82,VD83</t>
  </si>
  <si>
    <t>VD22,VD23,VD24,VD25,VD26,VD27,VD28,VD38,VD39,VD40,VD46,VD63,VD64,VD65,VD66,VD70</t>
  </si>
  <si>
    <t>VD31,VD68,VD71,VD72</t>
  </si>
  <si>
    <t>VD32,VD45</t>
  </si>
  <si>
    <t>DIODE SCHOTTKY RECTIFIER 60V 1A SMD</t>
  </si>
  <si>
    <t>DFLS160-7</t>
  </si>
  <si>
    <t>Diodes Incorporated:DFLS160-7</t>
  </si>
  <si>
    <t>VD47,VD48,VD49,VD50,VD69</t>
  </si>
  <si>
    <t>LED Dual color chip, Yellow-YellowGreen, 1.6x1.5mm</t>
  </si>
  <si>
    <t>19-223/Y1G5C-B01/2T</t>
  </si>
  <si>
    <t>Everlight Electronics:19-223/Y1G5C-B01/2T</t>
  </si>
  <si>
    <t>VD58,VD60,VD90</t>
  </si>
  <si>
    <t>LED Dual color chip, Green-Red, 1.6x1.5mm</t>
  </si>
  <si>
    <t>LTST-C195KGJRKT</t>
  </si>
  <si>
    <t>Lite-On Electronics Inc:LTST-C195KGJRKT</t>
  </si>
  <si>
    <t>VD59</t>
  </si>
  <si>
    <t>VD73,VD74,VD75,VD76,VD77,VD78,VD79,VD80,VD81,VD84</t>
  </si>
  <si>
    <t>N-Channel MOSFET 60V, 12A(Ta), 44A(Tc), 10mOhm, 5DFN</t>
  </si>
  <si>
    <t>NTMFS5H610NLT1G</t>
  </si>
  <si>
    <t>On Semiconductor:NTMFS5H610NLT1G</t>
  </si>
  <si>
    <t>VT1,VT22,VT23,VT24</t>
  </si>
  <si>
    <t>N-Channel MOSFET 60V PQFN 3.3x3.3 Source-Down dual-side cooling</t>
  </si>
  <si>
    <t>IQE022N06LM5SC</t>
  </si>
  <si>
    <t>Infineon</t>
  </si>
  <si>
    <t>Infineon:IQE022N06LM5SC</t>
  </si>
  <si>
    <t>VT2,VT11,VT13</t>
  </si>
  <si>
    <t>VT3,VT32,VT37,VT50,VT53,VT57,VT59,VT60</t>
  </si>
  <si>
    <t>N-Channel MOSFET 60V, 288A, 1.15mOhm</t>
  </si>
  <si>
    <t>ISC011N06LM5ATMA1</t>
  </si>
  <si>
    <t>Infineon:ISC011N06LM5ATMA1</t>
  </si>
  <si>
    <t>VT5</t>
  </si>
  <si>
    <t>VT7,VT9</t>
  </si>
  <si>
    <t>LRC</t>
  </si>
  <si>
    <t>VT15,VT16,VT17,VT18,VT27,VT28,VT29,VT30,VT31,VT41,VT42,VT51,VT55,VT56</t>
  </si>
  <si>
    <t>N-Channel MOSFET 60V, 57A, 6.9mOhm</t>
  </si>
  <si>
    <t>ISC0703NLSATMA1</t>
  </si>
  <si>
    <t>Infineon:ISC0703NLSATMA1</t>
  </si>
  <si>
    <t>VT25</t>
  </si>
  <si>
    <t>MOSFET N-CH 30V 14.1A 6UDFN</t>
  </si>
  <si>
    <t>DMT3006LFDF-7</t>
  </si>
  <si>
    <t>Diodes Incorporated:DMT3006LFDF-7</t>
  </si>
  <si>
    <t>VT47</t>
  </si>
  <si>
    <t>X23,X55</t>
  </si>
  <si>
    <t>X25</t>
  </si>
  <si>
    <t>X26,X27,X53</t>
  </si>
  <si>
    <t>CONN 4POS 1.25MM PITCH SMT MALE R/A</t>
  </si>
  <si>
    <t>L-KLS1-XL8-1.25-04-RM</t>
  </si>
  <si>
    <t>KLS:L-KLS1-XL8-1.25-04-RM</t>
  </si>
  <si>
    <t>X29,X30</t>
  </si>
  <si>
    <t>CONN 2.0mm Box Header Connector</t>
  </si>
  <si>
    <t>L-KLS1-202H-10-T-B</t>
  </si>
  <si>
    <t>KLS:L-KLS1-202H-10-T-B</t>
  </si>
  <si>
    <t>X32,X57</t>
  </si>
  <si>
    <t>High Rise USB3.1 connector</t>
  </si>
  <si>
    <t>AUSB0174-K004C</t>
  </si>
  <si>
    <t>Lotes:AUSB0174-K004C</t>
  </si>
  <si>
    <t>X34</t>
  </si>
  <si>
    <t>CONN WIRE TO BOARD PH TYPE 2POS 2MM VERT</t>
  </si>
  <si>
    <t>L-KLS1-XL1-2.00-02-S</t>
  </si>
  <si>
    <t>KLS:L-KLS1-XL1-2.00-02-S</t>
  </si>
  <si>
    <t>X35,X50</t>
  </si>
  <si>
    <t>CONN 4.20mm Pitch Mini-Fit JR Board Connector</t>
  </si>
  <si>
    <t>L-KLS1-4.20-2X02-SB</t>
  </si>
  <si>
    <t>KLS:L-KLS1-4.20-2X02-SB</t>
  </si>
  <si>
    <t>X37</t>
  </si>
  <si>
    <t>CONN M.2 Key-B H8.5, Soc.2, PCIe/USB3.1 WWAN Adapter</t>
  </si>
  <si>
    <t>APCI0615-P002A</t>
  </si>
  <si>
    <t>Lotes:APCI0615-P002A</t>
  </si>
  <si>
    <t>CONN M.2 Key-M H8.5, Soc.3, PCIe-based Adapter</t>
  </si>
  <si>
    <t>APCI0447-P002A</t>
  </si>
  <si>
    <t>Lotes:APCI0447-P002A</t>
  </si>
  <si>
    <t>X40</t>
  </si>
  <si>
    <t>Nano SIM Card Connector</t>
  </si>
  <si>
    <t>KLS1-SIM-077A-6P-H1.4-R</t>
  </si>
  <si>
    <t>KLS:KLS1-SIM-077A-6P-H1.4-R</t>
  </si>
  <si>
    <t>X41</t>
  </si>
  <si>
    <t>CONN M.2 Key-E H8.5, Soc.1, SDIO Based Add-in Card</t>
  </si>
  <si>
    <t>APCI0617-P002A</t>
  </si>
  <si>
    <t>Lotes:APCI0617-P002A</t>
  </si>
  <si>
    <t>X42</t>
  </si>
  <si>
    <t>CONN SATA 7POS 1.27MM VERT SMT</t>
  </si>
  <si>
    <t>LD1507H-S52U6</t>
  </si>
  <si>
    <t>Foxconn</t>
  </si>
  <si>
    <t>Foxconn:LD1507H-S52U6</t>
  </si>
  <si>
    <t>X43,X44</t>
  </si>
  <si>
    <t>CONN SODDR4 5.2H 260 PIN RVR TYPE</t>
  </si>
  <si>
    <t>ADDR0208-P003A</t>
  </si>
  <si>
    <t>Lotes:ADDR0208-P003A</t>
  </si>
  <si>
    <t>X45</t>
  </si>
  <si>
    <t>CONN SODDR4 9.2H 260 PIN RVR TYPE</t>
  </si>
  <si>
    <t>ADDR0111-P007A</t>
  </si>
  <si>
    <t>Lotes:ADDR0111-P007A</t>
  </si>
  <si>
    <t>X46</t>
  </si>
  <si>
    <t>CONN RJ45 Tab up over USB3.1 Gen 2 stack</t>
  </si>
  <si>
    <t>RUP-ZZ-0185</t>
  </si>
  <si>
    <t>UDE</t>
  </si>
  <si>
    <t>UDE:RUP-ZZ-0185</t>
  </si>
  <si>
    <t>X47,X62</t>
  </si>
  <si>
    <t>CONN Dual HDMI connector</t>
  </si>
  <si>
    <t>G7415-03000003-00</t>
  </si>
  <si>
    <t>Wieson</t>
  </si>
  <si>
    <t>Wieson:G7415-03000003-00</t>
  </si>
  <si>
    <t>X49</t>
  </si>
  <si>
    <t>X54</t>
  </si>
  <si>
    <t>X56</t>
  </si>
  <si>
    <t>CONN Double row 1.25mm connector</t>
  </si>
  <si>
    <t>L-KLS1-XL4-1.25-2-14-VM</t>
  </si>
  <si>
    <t>KLS:L-KLS1-XL4-1.25-2-14-VM</t>
  </si>
  <si>
    <t>X58</t>
  </si>
  <si>
    <t>CONN WIRE TO BOARD ZH TYPE 4POS 1.25MM VERT MALE</t>
  </si>
  <si>
    <t>L-KLS1-XL1-1.25-04-S</t>
  </si>
  <si>
    <t>KLS:L-KLS1-XL1-1.25-04-S</t>
  </si>
  <si>
    <t>X60,X61</t>
  </si>
  <si>
    <t>CONN FASTENERS NUT M2*4*4+1.5</t>
  </si>
  <si>
    <t>TH162040CTJ</t>
  </si>
  <si>
    <t>Sinhoo</t>
  </si>
  <si>
    <t>Sinhoo:TH162040CTJ</t>
  </si>
  <si>
    <t>X63,X64,X65</t>
  </si>
  <si>
    <t>CONN CRIMP STYLE WAFER (STRAIGHT) 8POS 2MM VERT</t>
  </si>
  <si>
    <t>JS-1125-08</t>
  </si>
  <si>
    <t>Central</t>
  </si>
  <si>
    <t>Central:JS-1125-08</t>
  </si>
  <si>
    <t>XP1</t>
  </si>
  <si>
    <t>Wire to board, connector for LVDS, pith 0.5mm, pin 40, smt</t>
  </si>
  <si>
    <t>PDG1001040Q0-1</t>
  </si>
  <si>
    <t>JPC</t>
  </si>
  <si>
    <t>JPC:PDG1001040Q0-1</t>
  </si>
  <si>
    <t>XP2</t>
  </si>
  <si>
    <t>SBC_DIO_E1N004INF1</t>
  </si>
  <si>
    <t>Monday, April 22, 2024</t>
  </si>
  <si>
    <t>SBC_DIO_E1N004INF1_MAIN.xlsx</t>
  </si>
  <si>
    <t>C1, C3, C4</t>
  </si>
  <si>
    <t>C2</t>
  </si>
  <si>
    <t>Shenzhen Xinluda Information Technology Co., Ltd.</t>
  </si>
  <si>
    <t>K1, K2, K3, K4, K5, K6, K7, K8</t>
  </si>
  <si>
    <t>R1, R3, R6, R8, R11, R13, R15, R17, R22, R24, R26, R27, R28, R29, R34, R35, R36, R37</t>
  </si>
  <si>
    <t>R2, R4, R12, R14, R16, R18, R21, R23</t>
  </si>
  <si>
    <t>R5, R7, R9</t>
  </si>
  <si>
    <t>R19, R20, R25</t>
  </si>
  <si>
    <t>R30, R31, R32, R33, R38, R39, R40, R41</t>
  </si>
  <si>
    <t>V1, V2, V3, V4, V5, V6, V7, V8</t>
  </si>
  <si>
    <t>VD9, VD10, VD11, VD12, VD13, VD14, VD15, VD16</t>
  </si>
  <si>
    <t>VD17, VD18, VD19, VD20, VD21, VD22, VD23, VD24</t>
  </si>
  <si>
    <t>CONN 9 PIN, TH, Vertical, Terminal Block</t>
  </si>
  <si>
    <t>15EDGVM-3.5-09P-14-00A(H)</t>
  </si>
  <si>
    <t>Degson</t>
  </si>
  <si>
    <t>Degson:15EDGVM-3.5-09P-14-00A(H)</t>
  </si>
  <si>
    <t>X1, X3</t>
  </si>
  <si>
    <t>C2B004CPU2</t>
  </si>
  <si>
    <t>Friday, December 01, 2023</t>
  </si>
  <si>
    <t>Thin_RJ_C2B004CPU2_Var_MAIN.xlsx</t>
  </si>
  <si>
    <t>Osci SMD 25 MHz 15ppm@25C 25ppm@-40+85C 60 Ohm 8pF</t>
  </si>
  <si>
    <t>NX2520SA-25.000000MHz-S1-4085-25-10-8</t>
  </si>
  <si>
    <t>NDK Corporation</t>
  </si>
  <si>
    <t>NDK Corporation:NX2520SA-25.000000MHz-S1-4085-25-10-8</t>
  </si>
  <si>
    <t>BQ1,BQ4,BQ6</t>
  </si>
  <si>
    <t>Osci SMD KX-7T  12,0 MHz  +/-30ppm 12pF</t>
  </si>
  <si>
    <t>12.88662</t>
  </si>
  <si>
    <t>Geyer Electronic</t>
  </si>
  <si>
    <t>Geyer Electronic:12.88662</t>
  </si>
  <si>
    <t>BQ3</t>
  </si>
  <si>
    <t>Tuning Fork Crystal 32.768 kHz 20 ppm 2x1,2x0,6</t>
  </si>
  <si>
    <t>12.87160</t>
  </si>
  <si>
    <t>Geyer Electronic:12.87160</t>
  </si>
  <si>
    <t>CRYSTAL 32MHZ 8PF SMD 2x1.6mm</t>
  </si>
  <si>
    <t>ABM11W-32.0000MHZ-8-D1X-T3</t>
  </si>
  <si>
    <t>Abracon Corporation:ABM11W-32.0000MHZ-8-D1X-T3</t>
  </si>
  <si>
    <t>MLCC 22UF 6.3V  X5R 0603 В±20%</t>
  </si>
  <si>
    <t>CL10A226MQ7NRN</t>
  </si>
  <si>
    <t>Samsung:CL10A226MQ7NRN</t>
  </si>
  <si>
    <t>C1,C2,C4,C6,C8,C10,C13,C14,C21,C22,C23,C25,C27,C29,C31,C34,C37,C38,C43,C44,C163,C164,C192,C195,C198,C201,C208,C209,C210,C243,C309,C310,C525,C526,C527,C534,C535,C536,C544,C545,C546,C554,C555,C556,C563,C564,C565,C572,C573,C574,C581,C582,C583,C590,C591,C592,C599,C606,C634,C639,C644,C649,C654,C659,C664,C669,C717,C730,C731,C742,C743,C759,C760,C761,C762,C775,C807,C808,C809,C810,C811,C812,C814,C815,C817,C818,C823,C824,C825,C826,C827,C833,C858,C859,C860,C861</t>
  </si>
  <si>
    <t>CAP CER 1UF 6.3V X5R 0201 20%</t>
  </si>
  <si>
    <t>CL03A105MQ3CSNC</t>
  </si>
  <si>
    <t>Samsung:CL03A105MQ3CSNC</t>
  </si>
  <si>
    <t>C3,C5,C7,C9,C12,C17,C18,C19,C20,C24,C26,C28,C30,C33,C36,C39,C40,C41,C42,C80,C81,C82,C85,C122,C123,C125,C134,C221,C247,C259,C262,C269,C270,C271,C277,C314,C326,C332,C334,C348,C356,C361,C702,C704,C706,C713,C715,C718,C721,C722,C725,C726,C732,C733,C734,C737,C738,C739,C740,C745,C746,C765,C766,C864,C865,C866,C867,C890,C891,C892,C893,C898,C899</t>
  </si>
  <si>
    <t>C11,C16,C32,C35,C67,C68,C69,C70,C71,C72,C83,C84,C86,C87,C133,C139,C140,C141,C142,C151,C152,C153,C154,C193,C194,C196,C197,C199,C200,C202,C203,C211,C212,C213,C214,C215,C216,C222,C227,C228,C229,C230,C248,C249,C253,C254,C256,C258,C260,C265,C278,C279,C300,C301,C302,C303,C304,C306,C311,C312,C315,C316,C317,C318,C319,C321,C322,C323,C324,C325,C327,C328,C329,C330,C331,C335,C336,C337,C338,C340,C342,C345,C347,C349,C350,C351,C352,C353,C354,C355,C359,C362,C364,C371,C372,C373,C374,C376,C377,C378,C379,C380,C703,C708,C709,C720,C723,C735,C747,C748,C819,C820,C821,C822,C868,C869,C870,C871,C872,C873,C874,C875,C876,C877,C887,C888,C889,C894,C895,C896,C907</t>
  </si>
  <si>
    <t>CAP ALUM, 330uF, 2V, +/-20%, SMD</t>
  </si>
  <si>
    <t>OVF331M0DTR-0605-STA</t>
  </si>
  <si>
    <t>Lelon:OVF331M0DTR-0605-STA</t>
  </si>
  <si>
    <t>C15,C524,C543,C553,C813</t>
  </si>
  <si>
    <t>C45,C46,C47,C48,C49,C50,C51,C52,C53,C54,C55,C56,C57,C58,C59,C60,C61,C62,C63,C64,C65,C66,C165,C166,C190,C191,C252,C367,C368,C390,C393,C395,C396,C402,C403,C404,C405,C409,C410,C411,C412,C413,C416,C417,C418,C421,C422,C425,C428,C429,C431,C432,C434,C435,C436,C437,C438,C439,C440,C441,C445,C446,C447,C448,C449,C450,C452,C453,C454,C456,C457,C458,C459,C460,C461,C463,C465,C466,C467,C468,C469,C470,C473,C476,C477,C479,C481,C483,C484,C485,C486,C489,C490,C493,C494,C497,C498,C499,C500,C501,C502,C503,C504,C505,C506,C511,C512,C516,C518,C519,C520,C529,C530,C531,C532,C533,C538,C539,C540,C541,C542,C548,C549,C550,C551,C552,C558,C559,C560,C561,C562,C567,C568,C569,C570,C571,C576,C577,C578,C579,C580,C585,C586,C587,C588,C589,C594,C595,C596,C597,C598,C601,C602,C603,C604,C605,C608,C609,C610,C611,C612,C613,C614,C615,C616,C617,C618,C619,C620,C621,C622,C623,C624,C625,C626,C627,C628,C629,C630,C631,C632,C633,C636,C637,C638,C641,C642,C643,C646,C647,C648,C651,C652,C653,C656,C657,C658,C661,C662,C663,C666,C667,C668,C671,C672,C673,C675,C676,C677,C678,C679,C680,C688,C689,C690,C697,C698,C699,C750,C754,C776,C781,C782,C783,C793,C794,C795,C834,C838,C839,C848,C849</t>
  </si>
  <si>
    <t>CAP CER  0402  10uF  10V   X5R  +/-20%</t>
  </si>
  <si>
    <t>C73,C75,C76,C78,C79,C124,C135,C136,C137,C138,C143,C144,C145,C146,C147,C148,C149,C150,C167,C168,C250,C251,C255,C264,C272,C308,C313,C320,C333,C346,C375,C381,C382,C384,C399,C400,C401,C415,C420,C442,C478,C480,C495,C496,C514,C517,C523,C528,C537,C547,C557,C566,C575,C584,C593,C600,C607,C695,C705,C707,C712,C714,C716,C751,C879,C880,C881,C882,C883</t>
  </si>
  <si>
    <t>CER CAP, 0201, 16pF, 25V, C0G, +/-5%</t>
  </si>
  <si>
    <t>CL03C160JA3GNN</t>
  </si>
  <si>
    <t>Samsung:CL03C160JA3GNN</t>
  </si>
  <si>
    <t>C74,C77,C127,C130,C343,C344,C884,C885</t>
  </si>
  <si>
    <t>CAP CER 22UF 25V X5R 1206 10%</t>
  </si>
  <si>
    <t>CL31A226KAH1IN</t>
  </si>
  <si>
    <t>Samsung:CL31A226KAH1IN</t>
  </si>
  <si>
    <t>C89,C686,C691,C692,C693,C701,C919,C920</t>
  </si>
  <si>
    <t>C90,C91,C357,C358,C727,C755,C756</t>
  </si>
  <si>
    <t>C92,C93,C94,C95,C171,C180,C189,C244,C365,C366,C744,C749,C753,C758,C763,C780,C796,C797,C798,C799,C801,C802,C837,C850,C851,C852,C853,C913,C914,C915,C916</t>
  </si>
  <si>
    <t>CAP CER 0.01uF 25V X5R 0201</t>
  </si>
  <si>
    <t>CL03A103KA3NNNC</t>
  </si>
  <si>
    <t>Samsung:CL03A103KA3NNNC</t>
  </si>
  <si>
    <t>C126,C128,C129,C131,C132,C233,C234,C235,C236,C237,C238,C239,C240,C710,C711,C724,C736,C777,C778,C779,C816,C835,C836</t>
  </si>
  <si>
    <t>CAP CER 0.22UF 6.3V X5R 0201 10%</t>
  </si>
  <si>
    <t>CL03A224KQ3NNNC</t>
  </si>
  <si>
    <t>Samsung:CL03A224KQ3NNNC</t>
  </si>
  <si>
    <t>C155,C156,C157,C158,C159,C160,C161,C162,C172,C173,C174,C175,C176,C177,C178,C179,C181,C182,C183,C184,C185,C186,C187,C188,C204,C205,C217,C218,C219,C220,C223,C224,C225,C226,C231,C232</t>
  </si>
  <si>
    <t>CAP, 100uF, 10V, +/-20%, SMD</t>
  </si>
  <si>
    <t>OVA101M1ATR-0605-STA</t>
  </si>
  <si>
    <t>Lelon:OVA101M1ATR-0605-STA</t>
  </si>
  <si>
    <t>C169,C170,C241,C862,C863</t>
  </si>
  <si>
    <t>CAP CERAMIC, 0402, 1mF, 25V, X5R, +/-10%</t>
  </si>
  <si>
    <t>CL05A105KA5NNNC</t>
  </si>
  <si>
    <t>Samsung:CL05A105KA5NNNC</t>
  </si>
  <si>
    <t>C206,C207,C305,C307,C385,C386,C387,C388,C389,C391,C392,C394,C397,C398,C406,C407,C408,C414,C419,C423,C424,C426,C427,C430,C433,C443,C455,C462,C464,C471,C472,C474,C475,C482,C487,C488,C491,C492,C507,C508,C509,C510,C513,C515,C521,C522,C635,C640,C645,C650,C655,C660,C665,C670,C674,C694,C719,C728,C729,C788,C789,C790,C803,C804,C805,C840,C841,C856,C857,C900,C901,C902,C903</t>
  </si>
  <si>
    <t>CAP ALUM, 33uF, 25V, +/-20%, SMD</t>
  </si>
  <si>
    <t>OVG330M1ETR-0605-STA</t>
  </si>
  <si>
    <t>Lelon:OVG330M1ETR-0605-STA</t>
  </si>
  <si>
    <t>C242,C685,C700,C741,C768,C800,C806,C854,C855</t>
  </si>
  <si>
    <t>CAP CERAMIC, 0603, 2.2uF, 10V, X5R, +/-10%</t>
  </si>
  <si>
    <t>CL10A225KP8NNNC</t>
  </si>
  <si>
    <t>Samsung:CL10A225KP8NNNC</t>
  </si>
  <si>
    <t>C257,C261,C263</t>
  </si>
  <si>
    <t>C273,C274,C275,C276,C293,C294,C295,C296,C792</t>
  </si>
  <si>
    <t>C444,C451,C752,C770,C771,C772,C773,C774,C828,C829,C830,C831,C832,C904,C905</t>
  </si>
  <si>
    <t>CAP CERAMIC, 0402, 100pF, 50V, C0G, +/-5%</t>
  </si>
  <si>
    <t>CL05C101JB5NNND</t>
  </si>
  <si>
    <t>Samsung:CL05C101JB5NNND</t>
  </si>
  <si>
    <t>C681,C682,C684,C791,C846,C847</t>
  </si>
  <si>
    <t>C683,C764,C786</t>
  </si>
  <si>
    <t>CAP CER 470PF 50V X7R 10% 0402</t>
  </si>
  <si>
    <t>CL05B471KB5NNNC</t>
  </si>
  <si>
    <t>Samsung:CL05B471KB5NNNC</t>
  </si>
  <si>
    <t>C687</t>
  </si>
  <si>
    <t>C696</t>
  </si>
  <si>
    <t>CL05C100JB51PN</t>
  </si>
  <si>
    <t>Samsung:CL05C100JB51PN</t>
  </si>
  <si>
    <t>C757,C917,C918</t>
  </si>
  <si>
    <t>CAP CER, 0402, 680pF, 50V, X7R, +/-10%</t>
  </si>
  <si>
    <t>CL05B681KB5NNN</t>
  </si>
  <si>
    <t>Samsung:CL05B681KB5NNN</t>
  </si>
  <si>
    <t>C769</t>
  </si>
  <si>
    <t>CAP CER 1500PF 50V X7R 0402 +/-10%</t>
  </si>
  <si>
    <t>CL05B152KB5NNN</t>
  </si>
  <si>
    <t>Samsung:CL05B152KB5NNN</t>
  </si>
  <si>
    <t>C784</t>
  </si>
  <si>
    <t>CAP CERAMIC, 0402, 6800pF, 25V, X7R, +/-10%</t>
  </si>
  <si>
    <t>CC0402KRX7R8BB682</t>
  </si>
  <si>
    <t>Yageo:CC0402KRX7R8BB682</t>
  </si>
  <si>
    <t>C785</t>
  </si>
  <si>
    <t>CAP CER, 0402, 3300pF, 50V, X7R, +/-5%</t>
  </si>
  <si>
    <t>CL05B332JB5NNW</t>
  </si>
  <si>
    <t>Samsung:CL05B332JB5NNW</t>
  </si>
  <si>
    <t>C787,C843,C845</t>
  </si>
  <si>
    <t>CAP CER, 0402, 560pF, 50V, X7R, +/-5%</t>
  </si>
  <si>
    <t>CL05B561JB5NNN</t>
  </si>
  <si>
    <t>Samsung:CL05B561JB5NNN</t>
  </si>
  <si>
    <t>C842,C844</t>
  </si>
  <si>
    <t>CAP CER 1000PF 25V X7R 0201 10%</t>
  </si>
  <si>
    <t>CL03B102KA3NNNC</t>
  </si>
  <si>
    <t>Samsung:CL03B102KA3NNNC</t>
  </si>
  <si>
    <t>C886,C906</t>
  </si>
  <si>
    <t>Power Mux with switchhover 1.6-5.5V 2.5A</t>
  </si>
  <si>
    <t>TPS2116DRLR</t>
  </si>
  <si>
    <t>Texas Instruments:TPS2116DRLR</t>
  </si>
  <si>
    <t>Baikal-M 1521-BGA rev0.95</t>
  </si>
  <si>
    <t>BE-M1000</t>
  </si>
  <si>
    <t>Baikal Electronics</t>
  </si>
  <si>
    <t>Baikal Electronics:BE-M1000</t>
  </si>
  <si>
    <t>DD1</t>
  </si>
  <si>
    <t>10/100/1000BASE-T Gigabit Ethernet Transceiver</t>
  </si>
  <si>
    <t>B50210EB1KMLG</t>
  </si>
  <si>
    <t>Broadcom</t>
  </si>
  <si>
    <t>Broadcom:B50210EB1KMLG</t>
  </si>
  <si>
    <t>DD2,DD3</t>
  </si>
  <si>
    <t>USB 2.0 4-port Hub</t>
  </si>
  <si>
    <t>GL852GT-OHG12</t>
  </si>
  <si>
    <t>Genesys Logic, Inc.:GL852GT-OHG12</t>
  </si>
  <si>
    <t>DD4</t>
  </si>
  <si>
    <t>IC EEPROM 2KBIT 400KHZ SOT-23-5</t>
  </si>
  <si>
    <t>CAT24C02TDI-GT3A</t>
  </si>
  <si>
    <t>On Semiconductor:CAT24C02TDI-GT3A</t>
  </si>
  <si>
    <t>DD5</t>
  </si>
  <si>
    <t>IC LOAD SW PROGR SOT-25</t>
  </si>
  <si>
    <t>AP22802AW5-7</t>
  </si>
  <si>
    <t>Diodes Incorporated:AP22802AW5-7</t>
  </si>
  <si>
    <t>DD6,DD7,DD8,DD9,DD10,DD11,DD14,DD20</t>
  </si>
  <si>
    <t>Buffer, Non-Inverting Element SC-70-5</t>
  </si>
  <si>
    <t>SN74LVC1G07DCKR</t>
  </si>
  <si>
    <t>Texas Instruments:SN74LVC1G07DCKR</t>
  </si>
  <si>
    <t>DD12,DD24,DD25,DD58</t>
  </si>
  <si>
    <t>PCIE SWITCH W-QFN2545-30</t>
  </si>
  <si>
    <t>PI3PCIE3242AZLEX</t>
  </si>
  <si>
    <t>Diodes Incorporated:PI3PCIE3242AZLEX</t>
  </si>
  <si>
    <t>DD13</t>
  </si>
  <si>
    <t>IC TVoltage Level Translator BI 1 Circuit 4 Channel 140Mbps 12MLP</t>
  </si>
  <si>
    <t>FXLA0104QFX</t>
  </si>
  <si>
    <t>On Semiconductor:FXLA0104QFX</t>
  </si>
  <si>
    <t>DD15</t>
  </si>
  <si>
    <t>IC HD AUDIO CODEC 4-CH 2 TO 10 CH2 ADC/DAC</t>
  </si>
  <si>
    <t>92HD95B2X3NDGXZAX</t>
  </si>
  <si>
    <t>Tempo Semiconductor, Inc.</t>
  </si>
  <si>
    <t>Tempo Semiconductor:92HD95B2X3NDGXZAX</t>
  </si>
  <si>
    <t>DD16</t>
  </si>
  <si>
    <t>IC CLOCK GENERATOR 48MLF</t>
  </si>
  <si>
    <t>9FGV0841AKLF</t>
  </si>
  <si>
    <t>IDT</t>
  </si>
  <si>
    <t>IDT:9FGV0841AKLF</t>
  </si>
  <si>
    <t>DD21</t>
  </si>
  <si>
    <t>Buffer/Line Driver, Non-Inverting Tri-state 5.5V SC70-5</t>
  </si>
  <si>
    <t>SN74LVC1G125DCKR</t>
  </si>
  <si>
    <t>Texas Instruments:SN74LVC1G125DCKR</t>
  </si>
  <si>
    <t>DD22,DD23</t>
  </si>
  <si>
    <t>2-output 1.8V PCIe Gen1/2/3 Zero Delay / Fanout Buffer</t>
  </si>
  <si>
    <t>9DBV0231AKLF</t>
  </si>
  <si>
    <t>Renesas Electronics:9DBV0231AKLF</t>
  </si>
  <si>
    <t>DD26</t>
  </si>
  <si>
    <t>Arm Cortex-M 32-bit Microcontroller</t>
  </si>
  <si>
    <t>M031KG6AE</t>
  </si>
  <si>
    <t>Nuvoton</t>
  </si>
  <si>
    <t>Nuvoton:M031KG6AE</t>
  </si>
  <si>
    <t>DD28</t>
  </si>
  <si>
    <t>IC LDO CMOS LOWCURR SOT25</t>
  </si>
  <si>
    <t>AP2205-W5-7</t>
  </si>
  <si>
    <t>Diodes Incorporated:AP2205-W5-7</t>
  </si>
  <si>
    <t>DD30,DD49,DD57</t>
  </si>
  <si>
    <t>Secure authentification MCU</t>
  </si>
  <si>
    <t>A7001CMHN1</t>
  </si>
  <si>
    <t>NXP Semiconductors:A7001CMHN1</t>
  </si>
  <si>
    <t>DD31</t>
  </si>
  <si>
    <t>IC ANLG SW DATA/AUD DPDT 16-UMLP</t>
  </si>
  <si>
    <t>FSA2466UMX</t>
  </si>
  <si>
    <t>On Semiconductor:FSA2466UMX</t>
  </si>
  <si>
    <t>DD32,DD33</t>
  </si>
  <si>
    <t>IC FLASH 256MBIT SPI/QUAD 8WSON</t>
  </si>
  <si>
    <t>W25Q256JWEIQ</t>
  </si>
  <si>
    <t>Winbond Electronics:W25Q256JWEIQ</t>
  </si>
  <si>
    <t>DD34,DD35</t>
  </si>
  <si>
    <t>IC BATT MGMT LI+ 1-4CELL 28-QFN-EP</t>
  </si>
  <si>
    <t>BQ24780SRUYR</t>
  </si>
  <si>
    <t>Texas Instruments:BQ24780SRUYR</t>
  </si>
  <si>
    <t>DD37</t>
  </si>
  <si>
    <t>7.3 mOh, 9 A GreenFET 3 Load Switch with Discharge</t>
  </si>
  <si>
    <t>SLG5NT1581V</t>
  </si>
  <si>
    <t>Silego Technology</t>
  </si>
  <si>
    <t>Silego Technology:SLG5NT1581V</t>
  </si>
  <si>
    <t>DD38,DD39,DD41,DD44</t>
  </si>
  <si>
    <t>IC REG LINEAR  ADJ Voltage 1.2A WDFN6</t>
  </si>
  <si>
    <t>NCV8187AMTWADJTAG</t>
  </si>
  <si>
    <t>On Semiconductor:NCV8187AMTWADJTAG</t>
  </si>
  <si>
    <t>DD40</t>
  </si>
  <si>
    <t>1MHZ, 3A STEP-DOWN DC-DC BUCK CONVERTER</t>
  </si>
  <si>
    <t>AP3441LSHE-7B</t>
  </si>
  <si>
    <t>Diodes Incorporated:AP3441LSHE-7B</t>
  </si>
  <si>
    <t>DD42,DD46,DD47</t>
  </si>
  <si>
    <t>N-CHANNEL MOSFET DRIVERS WITH IN 8-TDFN</t>
  </si>
  <si>
    <t>SLG55021-200010V</t>
  </si>
  <si>
    <t>Silego Technology:SLG55021-200010V</t>
  </si>
  <si>
    <t>DD43</t>
  </si>
  <si>
    <t>IC REG BUCK ADJUSTABLE 15A 40QFN</t>
  </si>
  <si>
    <t>NCP3235MNTXG</t>
  </si>
  <si>
    <t>On Semiconductor:NCP3235MNTXG</t>
  </si>
  <si>
    <t>DD45</t>
  </si>
  <si>
    <t>IC REG CTRLR BUCK 40-QFN-EP</t>
  </si>
  <si>
    <t>NCP81232MNTXG</t>
  </si>
  <si>
    <t>On Semiconductor:NCP81232MNTXG</t>
  </si>
  <si>
    <t>DD48,DD54</t>
  </si>
  <si>
    <t>IC MOSFET DRIVER VR12.5 8DFN</t>
  </si>
  <si>
    <t>NCP81161MNTBG</t>
  </si>
  <si>
    <t>On Semiconductor:NCP81161MNTBG</t>
  </si>
  <si>
    <t>DD50,DD51,DD52,DD55,DD56</t>
  </si>
  <si>
    <t>IC REG VTT TERM 3A DDR 10DFN</t>
  </si>
  <si>
    <t>NCP51200MNTXG</t>
  </si>
  <si>
    <t>On Semiconductor:NCP51200MNTXG</t>
  </si>
  <si>
    <t>DD53</t>
  </si>
  <si>
    <t>Buffer/Line Driver, Non-Inverting open drain  SOT-363</t>
  </si>
  <si>
    <t>74LVC2G07GW,125</t>
  </si>
  <si>
    <t>NXP Semiconductors:74LVC2G07GW,125</t>
  </si>
  <si>
    <t>DD59,DD60</t>
  </si>
  <si>
    <t>SMD Fuse, 0603 chip size</t>
  </si>
  <si>
    <t>0ZCM0010FF2G</t>
  </si>
  <si>
    <t>BelFuse:0ZCM0010FF2G</t>
  </si>
  <si>
    <t>FU1,FU6</t>
  </si>
  <si>
    <t>PTC RESET FUSE</t>
  </si>
  <si>
    <t>0ZCG0160CF2C</t>
  </si>
  <si>
    <t>Bel Fuse Incorporated:0ZCG0160CF2C</t>
  </si>
  <si>
    <t>FU2</t>
  </si>
  <si>
    <t>PTC RESETTABLE 0.35A 30V CHIP 1206</t>
  </si>
  <si>
    <t>0ZCJ0035AF2E</t>
  </si>
  <si>
    <t>BelFuse:0ZCJ0035AF2E</t>
  </si>
  <si>
    <t>FUSE BOARD MOUNT 12A 32VAC 63VDC</t>
  </si>
  <si>
    <t>3413.0329.22</t>
  </si>
  <si>
    <t>SCHURTER electronic components</t>
  </si>
  <si>
    <t>SCHURTER:3413.0329.22</t>
  </si>
  <si>
    <t>FU5</t>
  </si>
  <si>
    <t>Clock Oscillator Programmable 27.0 MHz 50 ppm 2.5x2x0.8</t>
  </si>
  <si>
    <t>SG-8018CG 27.0000M-TJHSA0</t>
  </si>
  <si>
    <t>Epson:SG-8018CG 27.0000M-TJHSA0</t>
  </si>
  <si>
    <t>IND, 0603, 470ohms, 1A, DCR 200 mOhm</t>
  </si>
  <si>
    <t>BLM18PG471SN1</t>
  </si>
  <si>
    <t>Murata:BLM18PG471SN1</t>
  </si>
  <si>
    <t>L1,L2,L3,L4,L65,L66,L67,L68</t>
  </si>
  <si>
    <t>IND, 0603, 120ohms, 2A, DCR 50 mOhm</t>
  </si>
  <si>
    <t>BLM18PG121SN1</t>
  </si>
  <si>
    <t>Murata:BLM18PG121SN1</t>
  </si>
  <si>
    <t>L9,L30,L52</t>
  </si>
  <si>
    <t>L10,L11,L12,L13,L18,L19,L20,L21,L22,L23,L26,L27,L28,L29</t>
  </si>
  <si>
    <t>L14,L15,L16,L17,L24,L25</t>
  </si>
  <si>
    <t>IND, 0603, 1kohms, 1A, DCR 200 mOhm</t>
  </si>
  <si>
    <t>BLM18KG102SN1D</t>
  </si>
  <si>
    <t>Murata:BLM18KG102SN1D</t>
  </si>
  <si>
    <t>L31,L32,L33,L34,L35,L36</t>
  </si>
  <si>
    <t>IND, 0402, 1kohms, 350mA, DCR 490 mOhm</t>
  </si>
  <si>
    <t>BLM15AX102SN1D</t>
  </si>
  <si>
    <t>Murata:BLM15AX102SN1D</t>
  </si>
  <si>
    <t>L39,L40,L41,L42</t>
  </si>
  <si>
    <t>IND, 0603, 470ohms, 500mA, DCR 210 mOhm</t>
  </si>
  <si>
    <t>BLM18EG471SN1</t>
  </si>
  <si>
    <t>Murata:BLM18EG471SN1</t>
  </si>
  <si>
    <t>L45,L46,L47,L48,L49,L50</t>
  </si>
  <si>
    <t>IND, 0603, 1kohms, 600mA, DCR 350 mOhm</t>
  </si>
  <si>
    <t>BLM18HB221SN1</t>
  </si>
  <si>
    <t>Murata:BLM18HB221SN1</t>
  </si>
  <si>
    <t>L53,L54,L69,L70</t>
  </si>
  <si>
    <t>IND,6.8uH, +/-20%, 3A, 0.16Ohm, 4x4x2mm SMD</t>
  </si>
  <si>
    <t>FHD4020S-6R8MT</t>
  </si>
  <si>
    <t>Changjiang Microelectronics Tech</t>
  </si>
  <si>
    <t>cjiang:FHD4020S-6R8MT</t>
  </si>
  <si>
    <t>L55</t>
  </si>
  <si>
    <t>IND,2.2uH, +/-20%, 6A, 0.056Ohm, 4x4x2mm SMD</t>
  </si>
  <si>
    <t>FHD4020S-2R2MT</t>
  </si>
  <si>
    <t>cjiang:FHD4020S-2R2MT</t>
  </si>
  <si>
    <t>L56,L57,L58</t>
  </si>
  <si>
    <t>IND, 4.7uH, +/-20%, 10.4A, 26.5mOhm, 8.8x8.2x4mm SMD</t>
  </si>
  <si>
    <t>FXL0840-4R7-M</t>
  </si>
  <si>
    <t>SZ CJIANG TECHNOLOGY CO.,LTD</t>
  </si>
  <si>
    <t>Cjiang:FXL0840-4R7-M</t>
  </si>
  <si>
    <t>L59</t>
  </si>
  <si>
    <t>IND, 0.47uH, +/-20%, 21A, 3.8mOhm, 7.15x6.6x5mm SMD</t>
  </si>
  <si>
    <t>MS0650-R47M-C</t>
  </si>
  <si>
    <t>Shenzhen Maixiang Technology Co., Ltd</t>
  </si>
  <si>
    <t>COILMX:MS0650-R47M-C</t>
  </si>
  <si>
    <t>L60,L61,L62</t>
  </si>
  <si>
    <t>IND, 2.2uH, +/-20%, 16A, 7mOhm, 10x11.5x4mm SMD</t>
  </si>
  <si>
    <t>YSPI1040-2R2M</t>
  </si>
  <si>
    <t>YJYCOIN ELECTRONICS CO.,LTD</t>
  </si>
  <si>
    <t>YJYCOIN:YSPI1040-2R2M</t>
  </si>
  <si>
    <t>L63,L64</t>
  </si>
  <si>
    <t>RES SMD 10K OHM 5% 1/20W 0201</t>
  </si>
  <si>
    <t>RC0201JR-0710KL</t>
  </si>
  <si>
    <t>Yageo:RC0201JR-0710KL</t>
  </si>
  <si>
    <t>R2,R4,R6,R14,R16,R17,R23,R25,R27,R29,R31,R33,R34,R35,R36,R41,R42,R82,R83,R84,R87,R88,R89,R90,R96,R97,R98,R99,R102,R103,R104,R105,R106,R107,R110,R111,R112,R113,R117,R118,R133,R134,R138,R139,R140,R141,R142,R143,R171,R172,R173,R174,R176,R177,R178,R179,R180,R181,R190,R192,R193,R194,R202,R203,R204,R210,R211,R217,R218,R224,R225,R230,R231,R254,R255,R267,R268,R269,R270,R271,R272,R273,R274,R275,R276,R277,R278,R281,R282,R283,R287,R289,R290,R298,R300,R301,R302,R307,R309,R339,R361,R363,R365,R367,R370,R372,R382,R383,R384,R385,R386,R387,R388,R389,R390,R391,R392,R393,R394,R395,R397,R399,R401,R402,R403,R404,R409,R411,R450,R451,R452,R454,R455,R457,R458,R488,R491,R492,R495,R521,R523,R528,R643,R644,R646,R648,R649,R657,R658,R660,R661,R662,R663,R673,R675,R690,R692,R693,R694,R695</t>
  </si>
  <si>
    <t>RES SMD 1K OHM 5% 1/20W 0201</t>
  </si>
  <si>
    <t>RC0201JR-071KL</t>
  </si>
  <si>
    <t>Yageo:RC0201JR-071KL</t>
  </si>
  <si>
    <t>R7,R8,R9,R10,R11,R12,R92,R93,R108,R109,R131,R132,R144,R145,R146,R147,R148,R149,R206,R207,R208,R209,R284,R285,R286,R288,R291,R292,R324,R325,R340,R373,R374,R410,R412,R459,R460,R461,R462,R463,R464,R465,R466,R480,R482,R502,R503</t>
  </si>
  <si>
    <t>RES SMD 240 OHM 1% 1/16W 0402</t>
  </si>
  <si>
    <t>RC0402FR-7W240RL</t>
  </si>
  <si>
    <t>Yageo:RC0402FR-7W240RL</t>
  </si>
  <si>
    <t>RES SMD 2.1K OHM 1% 1/16W 0402</t>
  </si>
  <si>
    <t>RC0402FR-072K1L</t>
  </si>
  <si>
    <t>Yageo:RC0402FR-072K1L</t>
  </si>
  <si>
    <t>R21,R546,R548,R600,R602,R653</t>
  </si>
  <si>
    <t>RES SMD 6.04K OHM 1% 1/20W 0201</t>
  </si>
  <si>
    <t>RC0201FR-076K04L</t>
  </si>
  <si>
    <t>Yageo:RC0201FR-076K04L</t>
  </si>
  <si>
    <t>R22,R654</t>
  </si>
  <si>
    <t>RES SMD 10K OHM 1% 1/16W 0402</t>
  </si>
  <si>
    <t>R30,R32,R39,R40,R54,R56,R57,R59,R61,R62,R64,R65,R67,R68,R70,R71,R74,R76,R78,R80,R127,R150,R151,R152,R153,R154,R155,R156,R157,R158,R159,R160,R163,R168,R169,R170,R188,R417,R418,R419,R420,R421,R422,R423,R430,R431,R433,R445,R447,R448,R449,R505,R508,R515,R516,R517,R522,R526,R527,R529,R531,R532,R550,R551,R552,R554,R557,R563,R568,R571,R572,R595,R596,R597,R603,R604,R605,R606,R614,R617,R618,R629</t>
  </si>
  <si>
    <t>RES SMD 510 OHM 5% 1/20W 0201</t>
  </si>
  <si>
    <t>RC0201JR-07510RL</t>
  </si>
  <si>
    <t>Yageo:RC0201JR-07510RL</t>
  </si>
  <si>
    <t>R37,R38,R129,R130,R195,R196,R279,R280,R337,R355,R356,R651,R652</t>
  </si>
  <si>
    <t>R43,R73,R75,R77,R79,R100,R101,R121,R122,R123,R124,R125,R162,R164,R165,R166,R167,R183,R184,R185,R186,R187,R197,R198,R199,R200,R212,R216,R238,R477,R487,R507,R553,R573,R574,R575,R582,R583,R584,R591,R592,R593,R594,R607,R621,R622,R631,R632,R639,R640,R641,R642,R655,R656,R664,R674,R676,R687,R688,R696,R697,R698</t>
  </si>
  <si>
    <t>RES SMD 0 OHM JUMPER 50mW 0201 5%</t>
  </si>
  <si>
    <t>R44,R45,R114,R115,R135,R136,R137,R175,R191,R332,R635,R638</t>
  </si>
  <si>
    <t>RES SMD 47K OHM 5% 1/20W 0201</t>
  </si>
  <si>
    <t>RC0201JR-0747KL</t>
  </si>
  <si>
    <t>Yageo:RC0201JR-0747KL</t>
  </si>
  <si>
    <t>R46,R336,R375,R407,R408</t>
  </si>
  <si>
    <t>RES SMD 200 OHM 1% 1/16W 0402</t>
  </si>
  <si>
    <t>RC0402FR-07200RL</t>
  </si>
  <si>
    <t>Yageo:RC0402FR-07200RL</t>
  </si>
  <si>
    <t>R63,R66,R69,R72,R94,R95,R201,R543,R544,R598</t>
  </si>
  <si>
    <t>RES SMD 100K OHM 1% 1/20W 0201</t>
  </si>
  <si>
    <t>R85,R400,R406,R413,R415</t>
  </si>
  <si>
    <t>RES SMD 680 OHM 1% 1/20W 0201</t>
  </si>
  <si>
    <t>RC0201FR-07680RL</t>
  </si>
  <si>
    <t>Yageo:RC0201FR-07680RL</t>
  </si>
  <si>
    <t>R91</t>
  </si>
  <si>
    <t>RES SMD 1K ohm 5% 1/16W 0402</t>
  </si>
  <si>
    <t>RC0402JR-071KL</t>
  </si>
  <si>
    <t>Yageo:RC0402JR-071KL</t>
  </si>
  <si>
    <t>R119,R120,R161,R182,R214,R623,R624</t>
  </si>
  <si>
    <t>RES SMD 1.6K OHM 1% 1/16W 0402</t>
  </si>
  <si>
    <t>RC0402FR-071K6L</t>
  </si>
  <si>
    <t>Yageo:RC0402FR-071K6L</t>
  </si>
  <si>
    <t>R213,R319,R506,R555,R630</t>
  </si>
  <si>
    <t>RES SMD 2K OHM 1% 1/16W 0402</t>
  </si>
  <si>
    <t>R215</t>
  </si>
  <si>
    <t>RES SMD 33 OHM 5% 1/20W 0201</t>
  </si>
  <si>
    <t>RC0201JR-0733RL</t>
  </si>
  <si>
    <t>Yageo:RC0201JR-0733RL</t>
  </si>
  <si>
    <t>R220,R221,R222,R223,R243,R244,R299,R304,R305,R313,R314,R321,R322,R326,R328,R329,R330,R331,R341,R342,R343,R344,R345,R346,R347,R348,R349,R350,R351,R352,R353,R354,R453,R456,R467,R468,R469,R669,R670,R671,R691</t>
  </si>
  <si>
    <t>RES SMD 20K OHM 5% 1/20W 0201</t>
  </si>
  <si>
    <t>RC0201JR-0720KL</t>
  </si>
  <si>
    <t>Yageo:RC0201JR-0720KL</t>
  </si>
  <si>
    <t>R258,R396</t>
  </si>
  <si>
    <t>RES SMD 39.2K OHM 1% 1/20W 0201</t>
  </si>
  <si>
    <t>R259</t>
  </si>
  <si>
    <t>RES SMD 2.2 OHM 1% 1/16W 0402</t>
  </si>
  <si>
    <t>RC0402FR-072R2L</t>
  </si>
  <si>
    <t>Yageo:RC0402FR-072R2L</t>
  </si>
  <si>
    <t>R297</t>
  </si>
  <si>
    <t>RES SMD 30.1K OHM 1% 1/16W 0402</t>
  </si>
  <si>
    <t>RC0402FR-7W30K1L</t>
  </si>
  <si>
    <t>Yageo:RC0402FR-7W30K1L</t>
  </si>
  <si>
    <t>R338,R494,R497,R501,R668</t>
  </si>
  <si>
    <t>RES SMD 5.1K OHM 5% 1/20W 0201</t>
  </si>
  <si>
    <t>RC0201JR-075K1L</t>
  </si>
  <si>
    <t>Yageo:RC0201JR-075K1L</t>
  </si>
  <si>
    <t>R405,R414</t>
  </si>
  <si>
    <t>RES SMD 100K OHM 1% 1/16W 0402</t>
  </si>
  <si>
    <t>R489,R498,R525,R536,R538</t>
  </si>
  <si>
    <t>RES 15K OHM 1% 1/16W 0402</t>
  </si>
  <si>
    <t>RC0402FR-1315KL</t>
  </si>
  <si>
    <t>Yageo:RC0402FR-1315KL</t>
  </si>
  <si>
    <t>R490,R556,R608,R609</t>
  </si>
  <si>
    <t>RES SMD 4.02K OHM 1% 1/16W 0402</t>
  </si>
  <si>
    <t>RC0402FR-074K02L</t>
  </si>
  <si>
    <t>Yageo:RC0402FR-074K02L</t>
  </si>
  <si>
    <t>R493,R496,R510</t>
  </si>
  <si>
    <t>RES SMD 140K OHM 1% 1/16W 0402</t>
  </si>
  <si>
    <t>RC0402FR-07140KL</t>
  </si>
  <si>
    <t>Yageo:RC0402FR-07140KL</t>
  </si>
  <si>
    <t>R499</t>
  </si>
  <si>
    <t>RES , 2512, 0.01ohms, 1%, 1W</t>
  </si>
  <si>
    <t>ERJ-M1WSF10MU</t>
  </si>
  <si>
    <t>Panasonic:ERJ-M1WSF10MU</t>
  </si>
  <si>
    <t>R500,R514</t>
  </si>
  <si>
    <t>RES SMD 10 OHM 1% 1/16W 0402</t>
  </si>
  <si>
    <t>RC0402FR-0710RP</t>
  </si>
  <si>
    <t>Yageo:RC0402FR-0710RP</t>
  </si>
  <si>
    <t>R504,R511,R512,R513</t>
  </si>
  <si>
    <t>RES SMD 6.8 OHM 1% 1/16W 0402</t>
  </si>
  <si>
    <t>RC0402FR-136R8L</t>
  </si>
  <si>
    <t>Yageo:RC0402FR-136R8L</t>
  </si>
  <si>
    <t>R509</t>
  </si>
  <si>
    <t>RES SMD 7.5K OHM 1% 1/16W 0402</t>
  </si>
  <si>
    <t>RC0402FR-077K5L</t>
  </si>
  <si>
    <t>Yageo:RC0402FR-077K5L</t>
  </si>
  <si>
    <t>R519</t>
  </si>
  <si>
    <t>RES SMD 42.2K OHM 1% 1/16W 0402</t>
  </si>
  <si>
    <t>RC0402FR-0742K2L</t>
  </si>
  <si>
    <t>Yageo:RC0402FR-0742K2L</t>
  </si>
  <si>
    <t>R520</t>
  </si>
  <si>
    <t>RES SMD 200K OHM 1% 1/16W 0402</t>
  </si>
  <si>
    <t>RC0402FR-07200KL</t>
  </si>
  <si>
    <t>Yageo:RC0402FR-07200KL</t>
  </si>
  <si>
    <t>RES SMD 174kOhm 1% 1/16W 0402</t>
  </si>
  <si>
    <t>RC0402FR-07174KL</t>
  </si>
  <si>
    <t>Yageo:RC0402FR-07174KL</t>
  </si>
  <si>
    <t>RES SMD 1Ohm 1% 1/16W 0402</t>
  </si>
  <si>
    <t>RC0402FR-071RL</t>
  </si>
  <si>
    <t>Yageo:RC0402FR-071RL</t>
  </si>
  <si>
    <t>R533</t>
  </si>
  <si>
    <t>RES SMD 2.7K OHM 5% 1/16W 0402</t>
  </si>
  <si>
    <t>RC0402JR-072K7L</t>
  </si>
  <si>
    <t>Yageo:RC0402JR-072K7L</t>
  </si>
  <si>
    <t>R534,R559,R560,R611,R619</t>
  </si>
  <si>
    <t>RES SMD 150K OHM 1% 1/16W 0402</t>
  </si>
  <si>
    <t>RC0402FR-07150KL</t>
  </si>
  <si>
    <t>Yageo:RC0402FR-07150KL</t>
  </si>
  <si>
    <t>R535</t>
  </si>
  <si>
    <t>RES SMD 316K OHM 1% 1/16W 0402</t>
  </si>
  <si>
    <t>RC0402FR-07316KL</t>
  </si>
  <si>
    <t>Yageo:RC0402FR-07316KL</t>
  </si>
  <si>
    <t>R537</t>
  </si>
  <si>
    <t>Yageo:RC0402FR-0724KL</t>
  </si>
  <si>
    <t>RES , 0402, 24kohms, 1%, 1/16W</t>
  </si>
  <si>
    <t>CR0402-FX-2402-G</t>
  </si>
  <si>
    <t>Bourns:CR0402-FX-2402-G</t>
  </si>
  <si>
    <t>R539</t>
  </si>
  <si>
    <t>RES , 0402, 20kohms, 1%, 1/16W</t>
  </si>
  <si>
    <t>CR0402-FX-2002-G</t>
  </si>
  <si>
    <t>Bourns:CR0402-FX-2002-G</t>
  </si>
  <si>
    <t>R540,R570,R580,R625,R627</t>
  </si>
  <si>
    <t>Yageo:RC0402FR-071K05L</t>
  </si>
  <si>
    <t>RES , 0402, 1.05kohms, 1%, 1/16W</t>
  </si>
  <si>
    <t>CR0402-FX-1051-G</t>
  </si>
  <si>
    <t>Bourns:CR0402-FX-1051-G</t>
  </si>
  <si>
    <t>R541</t>
  </si>
  <si>
    <t>Yageo:RC0402JR-07330RL</t>
  </si>
  <si>
    <t>RES , 0402, 330ohms, 5%, 1/16W</t>
  </si>
  <si>
    <t>CR0402-JW-331-G</t>
  </si>
  <si>
    <t>Bourns:CR0402-JW-331-G</t>
  </si>
  <si>
    <t>R542</t>
  </si>
  <si>
    <t>RES SMD 7.87K OHM 1% 1/16W 0402</t>
  </si>
  <si>
    <t>RC0402FR-137K87L</t>
  </si>
  <si>
    <t>Yageo:RC0402FR-137K87L</t>
  </si>
  <si>
    <t>R549</t>
  </si>
  <si>
    <t>RES , 0402, 8.2kohms, 62.5 mW, 5%</t>
  </si>
  <si>
    <t>RC0402JR-078K2L</t>
  </si>
  <si>
    <t>Yageo:RC0402JR-078K2L</t>
  </si>
  <si>
    <t>R561,R613</t>
  </si>
  <si>
    <t>RES SMD 5.1K OHM 1% 1/16W 0402</t>
  </si>
  <si>
    <t>RC0402FR-075K1L</t>
  </si>
  <si>
    <t>Yageo:RC0402FR-075K1L</t>
  </si>
  <si>
    <t>R564,R567,R581,R616,R637</t>
  </si>
  <si>
    <t>RES SMD 43.2K OHM 1% 1/16W 0402</t>
  </si>
  <si>
    <t>RC0402FR-0743K2L</t>
  </si>
  <si>
    <t>Yageo:RC0402FR-0743K2L</t>
  </si>
  <si>
    <t>R566,R599,R636</t>
  </si>
  <si>
    <t>Yageo:RC0402FR-0717K4L</t>
  </si>
  <si>
    <t>RES , 0402, 17.4kohms, 1%, 1/16W</t>
  </si>
  <si>
    <t>CR0402-FX-1742-G</t>
  </si>
  <si>
    <t>Bourns:CR0402-FX-1742-G</t>
  </si>
  <si>
    <t>Yageo:RC0402FR-07430RL</t>
  </si>
  <si>
    <t>RES , 0402, 430ohms, 1%, 1/16W</t>
  </si>
  <si>
    <t>CR0402-FX-4300-G</t>
  </si>
  <si>
    <t>Bourns:CR0402-FX-4300-G</t>
  </si>
  <si>
    <t>R576,R579</t>
  </si>
  <si>
    <t>Yageo:RC0402FR-0710K2L</t>
  </si>
  <si>
    <t>RES , 0402, 10.2kohms, 1%, 1/16W</t>
  </si>
  <si>
    <t>CR0402-FX-1022-G</t>
  </si>
  <si>
    <t>Bourns:CR0402-FX-1022-G</t>
  </si>
  <si>
    <t>R577</t>
  </si>
  <si>
    <t>Yageo:RC0402FR-073KL</t>
  </si>
  <si>
    <t>RES , 0402, 3kohms, 1%, 1/16W</t>
  </si>
  <si>
    <t>CR0402-FX-3001-G</t>
  </si>
  <si>
    <t>Bourns:CR0402-FX-3001-G</t>
  </si>
  <si>
    <t>R578</t>
  </si>
  <si>
    <t>RES SMD 178 OHM 1% 1/16W 0402</t>
  </si>
  <si>
    <t>RC0402FR-07178RL</t>
  </si>
  <si>
    <t>Yageo:RC0402FR-07178RL</t>
  </si>
  <si>
    <t>R585,R586,R587</t>
  </si>
  <si>
    <t>RES SMD 0 ohm JUMPER 50mW 0201 5%</t>
  </si>
  <si>
    <t>R588,R589,R590</t>
  </si>
  <si>
    <t>Yageo:RC0402FR-074K42L</t>
  </si>
  <si>
    <t>RES , 0402, 4.42kohms, 1%, 1/16W</t>
  </si>
  <si>
    <t>CR0402-FX-4421-G</t>
  </si>
  <si>
    <t>Bourns:CR0402-FX-4421-G</t>
  </si>
  <si>
    <t>R620</t>
  </si>
  <si>
    <t>Yageo:RC0402FR-076K04L</t>
  </si>
  <si>
    <t>RES , 0402, 6.04kohms, 1%, 1/16W</t>
  </si>
  <si>
    <t>CR0402-FX-6041-G</t>
  </si>
  <si>
    <t>Bourns:CR0402-FX-6041-G</t>
  </si>
  <si>
    <t>R626,R628</t>
  </si>
  <si>
    <t>RES SMD 464 OHM 1% 1/16W 0402</t>
  </si>
  <si>
    <t>RC0402FR-07464RL</t>
  </si>
  <si>
    <t>Yageo:RC0402FR-07464RL</t>
  </si>
  <si>
    <t>R633,R634</t>
  </si>
  <si>
    <t>Yageo:RC0402FR-072K2L</t>
  </si>
  <si>
    <t>RES , 0402, 2.2kohms, 1%, 1/16W</t>
  </si>
  <si>
    <t>CR0402-FX-2201-G</t>
  </si>
  <si>
    <t>Bourns:CR0402-FX-2201-G</t>
  </si>
  <si>
    <t>R679,R680,R681,R682</t>
  </si>
  <si>
    <t>Yageo:RC0402FR-073R3L</t>
  </si>
  <si>
    <t>RES , 0402, 3.3ohms, 5%, 1/16W</t>
  </si>
  <si>
    <t>CR0402-JW-3R3-G</t>
  </si>
  <si>
    <t>Bourns:CR0402-JW-3R3-G</t>
  </si>
  <si>
    <t>R683,R684,R685,R686</t>
  </si>
  <si>
    <t>RES CERAMIC 2.49 kOhm 1% 1/20W 0201/0603M</t>
  </si>
  <si>
    <t>AC0201FR-132K49L</t>
  </si>
  <si>
    <t>Yageo:AC0201FR-132K49L</t>
  </si>
  <si>
    <t>R689</t>
  </si>
  <si>
    <t>RES CERAMIC 1 kOhm 1% 1/20W 0201/0603M</t>
  </si>
  <si>
    <t>AC0201FR-071KL</t>
  </si>
  <si>
    <t>Yageo:AC0201FR-071KL</t>
  </si>
  <si>
    <t>R699,R700</t>
  </si>
  <si>
    <t>RES SMD 402ohm +/-1% 1/20W 0201</t>
  </si>
  <si>
    <t>AC0201FR-07402RL</t>
  </si>
  <si>
    <t>Yageo:AC0201FR-07402RL</t>
  </si>
  <si>
    <t>R702,R703,R704</t>
  </si>
  <si>
    <t>THERMISTOR,0603,470kohms, 3%,4500K</t>
  </si>
  <si>
    <t>NCP18WM474E03RB</t>
  </si>
  <si>
    <t>Murata:NCP18WM474E03RB</t>
  </si>
  <si>
    <t>RK1,RK2,RK3,RK4,RK5,RK6</t>
  </si>
  <si>
    <t>DIODE SCHOTTKY 30V 500MA SOD923</t>
  </si>
  <si>
    <t>NSR0530P2T5G</t>
  </si>
  <si>
    <t>On Semiconductor:NSR0530P2T5G</t>
  </si>
  <si>
    <t>VD1,VD2,VD15,VD16,VD17,VD18,VD25,VD26,VD27,VD38,VD39,VD40,VD41,VD54,VD55,VD56,VD57,VD67,VD68,VD99,VD100,VD108,VD109,VD112,VD114,VD115</t>
  </si>
  <si>
    <t>TVS DIODE 5V 10V 10UDFN</t>
  </si>
  <si>
    <t>ESD7004MUTAG</t>
  </si>
  <si>
    <t>On Semiconductor:ESD7004MUTAG</t>
  </si>
  <si>
    <t>VD3,VD4,VD9,VD10,VD21,VD22,VD30,VD31,VD34,VD36,VD106,VD107</t>
  </si>
  <si>
    <t>TVS for ESD Protection</t>
  </si>
  <si>
    <t>ESD05V92D-LA</t>
  </si>
  <si>
    <t>UN Semiconductor Co.,Ltd.</t>
  </si>
  <si>
    <t>UN Semiconductor:ESD05V92D-LA</t>
  </si>
  <si>
    <t>VD11,VD12,VD13,VD14,VD23,VD24,VD32,VD33,VD35,VD37,VD95</t>
  </si>
  <si>
    <t>TVS DIODE 5V 10V SOT-553</t>
  </si>
  <si>
    <t>NUP2114UPXV5T1G</t>
  </si>
  <si>
    <t>On Semiconductor:NUP2114UPXV5T1G</t>
  </si>
  <si>
    <t>VD19,VD20,VD63,VD64,VD117,VD118</t>
  </si>
  <si>
    <t>VD28,VD29,VD121,VD122</t>
  </si>
  <si>
    <t>TVS DIODE 3.3V 150W 25pC BI-Dir SOD-923</t>
  </si>
  <si>
    <t>ESD3.3V92D-C</t>
  </si>
  <si>
    <t>UN Semiconductor:ESD3.3V92D-C</t>
  </si>
  <si>
    <t>VD42,VD43,VD44,VD45,VD46,VD47,VD48,VD49,VD50,VD51,VD58,VD59,VD60,VD61,VD62,VD69,VD70,VD71,VD72,VD73,VD74,VD75,VD76,VD77,VD78,VD79,VD80,VD81,VD82,VD83,VD84,VD85,VD86,VD87,VD88,VD89,VD90,VD91,VD92,VD93,VD94,VD96,VD97,VD110,VD111,VD123,VD124,VD125,VD126,VD127,VD128,VD129</t>
  </si>
  <si>
    <t>LED 2V RED, 2.1V YELLOW 20mA  HYPER RED, YELLOW COLOR SMD</t>
  </si>
  <si>
    <t>APB3025ESGC-F01</t>
  </si>
  <si>
    <t>Kingbright:APB3025ESGC-F01</t>
  </si>
  <si>
    <t>VD66</t>
  </si>
  <si>
    <t>TVS DIODE 18VWM 29.2VC SMB</t>
  </si>
  <si>
    <t>SMBJ18A</t>
  </si>
  <si>
    <t>On Semiconductor:SMBJ18A</t>
  </si>
  <si>
    <t>VD98</t>
  </si>
  <si>
    <t>SCHOTTKY RECTIFIER 30V 2A</t>
  </si>
  <si>
    <t>MBR230LSFT1G</t>
  </si>
  <si>
    <t>On Semiconductor:MBR230LSFT1G</t>
  </si>
  <si>
    <t>VD101,VD102,VD103,VD104,VD105</t>
  </si>
  <si>
    <t>2N-Channel MOSFET 20V, 0.54A, SOT563</t>
  </si>
  <si>
    <t>NTZD3154NT5G</t>
  </si>
  <si>
    <t>On Semiconductor:NTZD3154NT5G</t>
  </si>
  <si>
    <t>VT1,VT2,VT3,VT5,VT6,VT7,VT8,VT9,VT10,VT11,VT13,VT14,VT15,VT16,VT18,VT19,VT20,VT21,VT22,VT23,VT24,VT25,VT26,VT27,VT28,VT33,VT34,VT37,VT41,VT54,VT55,VT56,VT57</t>
  </si>
  <si>
    <t>N-Channel  MOSFET WDFN8  30V 40A</t>
  </si>
  <si>
    <t>NVTFS4C13N</t>
  </si>
  <si>
    <t>On Semiconductor:NVTFS4C13N</t>
  </si>
  <si>
    <t>VT35,VT36,VT39,VT40,VT42</t>
  </si>
  <si>
    <t>MOSFET  Power, Single, N-Channel, SO-8 FL 30 V, 69 A</t>
  </si>
  <si>
    <t>NTMFS4C025NT1G</t>
  </si>
  <si>
    <t>On Semiconductor:NTMFS4C025NT1G</t>
  </si>
  <si>
    <t>VT38</t>
  </si>
  <si>
    <t>Dual N &amp; P Channel Digital FET 25/-25V 0.22/-0.41A</t>
  </si>
  <si>
    <t>FDG6322C</t>
  </si>
  <si>
    <t>On Semiconductor:FDG6322C</t>
  </si>
  <si>
    <t>VT43</t>
  </si>
  <si>
    <t>MOSFET N-Channel WDFN8 40V 85A 4 mOhms</t>
  </si>
  <si>
    <t>NVTFS5C454NL</t>
  </si>
  <si>
    <t>On Semiconductor:NVTFS5C454NL</t>
  </si>
  <si>
    <t>VT44,VT46,VT48,VT50,VT52</t>
  </si>
  <si>
    <t>N-Channel  MOSFET WDFN8  30V 170A</t>
  </si>
  <si>
    <t>NTTFS4C02NTAG</t>
  </si>
  <si>
    <t>On Semiconductor:NTTFS4C02NTAG</t>
  </si>
  <si>
    <t>VT45,VT47,VT49,VT51,VT53</t>
  </si>
  <si>
    <t>X1,X2,X3,X4,X5</t>
  </si>
  <si>
    <t>SMD with internal blind-hole thread with Pin</t>
  </si>
  <si>
    <t>LFPE2501</t>
  </si>
  <si>
    <t>Shenzhen In-sail Precision Parts Co., Ltd</t>
  </si>
  <si>
    <t>In-sail:LFPE2501</t>
  </si>
  <si>
    <t>CONN JACK STEREO 3.5MM R/A GREEN</t>
  </si>
  <si>
    <t>SJ1-3525NG-GR</t>
  </si>
  <si>
    <t>CUI Inc</t>
  </si>
  <si>
    <t>CUI Inc:SJ1-3525NG-GR</t>
  </si>
  <si>
    <t>X16</t>
  </si>
  <si>
    <t>CONN JACK STEREO 3.5MM R/A  PINK</t>
  </si>
  <si>
    <t>SJ1-3525NG-PI</t>
  </si>
  <si>
    <t>CUI Inc:SJ1-3525NG-PI</t>
  </si>
  <si>
    <t>CONN HEADER VERT 5POS</t>
  </si>
  <si>
    <t>3-644456-5</t>
  </si>
  <si>
    <t>TE Connectivity</t>
  </si>
  <si>
    <t>TE Connectivity:3-644456-5</t>
  </si>
  <si>
    <t>XP1,XP2</t>
  </si>
  <si>
    <t>CONN USB3.0 INTERNAL RCPT R/A</t>
  </si>
  <si>
    <t>C8387-19SESALHR</t>
  </si>
  <si>
    <t>Hsuan Mao:C8387-19SESALHR</t>
  </si>
  <si>
    <t>XP3</t>
  </si>
  <si>
    <t>Wire to board, connector for LVDS, pith 0.5mm, pin 30, smt</t>
  </si>
  <si>
    <t>PDG1001030Q0-1</t>
  </si>
  <si>
    <t>JPC:PDG1001030Q0-1</t>
  </si>
  <si>
    <t>XP4</t>
  </si>
  <si>
    <t>FEMALE HEADER DUAL ROW 18POS 1.27MM SMT</t>
  </si>
  <si>
    <t>C4828-18BDGHNTR</t>
  </si>
  <si>
    <t>Hsuan Mao:C4828-18BDGHNTR</t>
  </si>
  <si>
    <t>XP5</t>
  </si>
  <si>
    <t>XP6</t>
  </si>
  <si>
    <t>CONN A2001 Series, 2mm pitch, 4 pin, Straight</t>
  </si>
  <si>
    <t>A2001WV0-4PS</t>
  </si>
  <si>
    <t>JWT</t>
  </si>
  <si>
    <t>JWT:A2001WV0-4PS</t>
  </si>
  <si>
    <t>XP7</t>
  </si>
  <si>
    <t>CONN 5POS 2.54MM VERT Modify 5 NO PIN</t>
  </si>
  <si>
    <t>PH0125-105DSNFR000-05</t>
  </si>
  <si>
    <t>Dongguan Salexun Electronicss Co., Ltd</t>
  </si>
  <si>
    <t>Salexun:PH0125-105DSNFR000-05</t>
  </si>
  <si>
    <t>XP8</t>
  </si>
  <si>
    <t>CONN HEADER VERT 2POS 2.54MM</t>
  </si>
  <si>
    <t>LHA-02-TS</t>
  </si>
  <si>
    <t>Adam Tech</t>
  </si>
  <si>
    <t>Adam Tech:LHA-02-TS</t>
  </si>
  <si>
    <t>XP9</t>
  </si>
  <si>
    <t>Central Components Manufacturing</t>
  </si>
  <si>
    <t>XP10</t>
  </si>
  <si>
    <t>CONN HEADER 10POS 2.54MM VERT NC 10 PIN</t>
  </si>
  <si>
    <t>DS1021-2x5SF11_nc10pin</t>
  </si>
  <si>
    <t>CONNFLY Electronics Co</t>
  </si>
  <si>
    <t>CONNFLY:DS1021-2x5SF11_nc10pin</t>
  </si>
  <si>
    <t>XP11</t>
  </si>
  <si>
    <t>Shrouded header,  top entry type, 1mm pith</t>
  </si>
  <si>
    <t>BM02B-SRSS-TB</t>
  </si>
  <si>
    <t>JST</t>
  </si>
  <si>
    <t>JST:BM02B-SRSS-TB</t>
  </si>
  <si>
    <t>XP12</t>
  </si>
  <si>
    <t>CONN 2POS 2.54MM VERT</t>
  </si>
  <si>
    <t>PH0125-102DSNFR000-00</t>
  </si>
  <si>
    <t>Salexun:PH0125-102DSNFR000-00</t>
  </si>
  <si>
    <t>XP13</t>
  </si>
  <si>
    <t>CONN HEADER VERT 4POS GOLD</t>
  </si>
  <si>
    <t>47053-1000</t>
  </si>
  <si>
    <t>Molex</t>
  </si>
  <si>
    <t>Molex:47053-1000</t>
  </si>
  <si>
    <t>XP14,XP15,XP18</t>
  </si>
  <si>
    <t>CONN DC PWR JACK WITH SIGNAL CONTACT; GOLD T/H</t>
  </si>
  <si>
    <t>2DC1003-001111</t>
  </si>
  <si>
    <t>Singatron Enterprise Co.</t>
  </si>
  <si>
    <t>Singatron Enterprise Co.:2DC1003-001111</t>
  </si>
  <si>
    <t>XP16</t>
  </si>
  <si>
    <t>CONN HEADER 2POS 4.2MM VERT T/H</t>
  </si>
  <si>
    <t>39-28-1023</t>
  </si>
  <si>
    <t>Molex:39-28-1023</t>
  </si>
  <si>
    <t>XP17</t>
  </si>
  <si>
    <t>CONN HEADER 3POS 1MM VERT SMT</t>
  </si>
  <si>
    <t>CRS-103-SL100-99</t>
  </si>
  <si>
    <t>E-tec</t>
  </si>
  <si>
    <t>E-tec:CRS-103-SL100-99</t>
  </si>
  <si>
    <t>XP19</t>
  </si>
  <si>
    <t>CONN SKT DDR4 SODIMM 260POS 0.5MM 5.2H</t>
  </si>
  <si>
    <t>ADDR0207-P003A</t>
  </si>
  <si>
    <t>Lotes:ADDR0207-P003A</t>
  </si>
  <si>
    <t>XS1</t>
  </si>
  <si>
    <t>SODDR4 9.2H 260 PIN STD TYPE</t>
  </si>
  <si>
    <t>ADDR0110-P055A</t>
  </si>
  <si>
    <t>Lotes:ADDR0110-P055A</t>
  </si>
  <si>
    <t>XS2</t>
  </si>
  <si>
    <t>CONN 1 Port RJ-45 Jack LED With 100/1000 Base-T Magnetics  Module</t>
  </si>
  <si>
    <t>XWRJ-1108D10147</t>
  </si>
  <si>
    <t>Dongguan Xunwang Electronic Technology Co., Ltd.</t>
  </si>
  <si>
    <t>XW-ETLINK:XWRJ-1108D10147</t>
  </si>
  <si>
    <t>XS3,XS20</t>
  </si>
  <si>
    <t>CONN USB A TYPE 8POS R/A T/H</t>
  </si>
  <si>
    <t>XW-105-17</t>
  </si>
  <si>
    <t>Dongguan Xunwang Electronic Technology Co., Ltd.:XW-105-17</t>
  </si>
  <si>
    <t>XS6,XS7</t>
  </si>
  <si>
    <t>98P PCI EXPRESS 4.0 DIP CONNECTOR TYPE</t>
  </si>
  <si>
    <t>APCI0521-K003C</t>
  </si>
  <si>
    <t>Lotes:APCI0521-K003C</t>
  </si>
  <si>
    <t>XS8</t>
  </si>
  <si>
    <t>CONN M.2 4.2H MALE 67 PIN KEY E</t>
  </si>
  <si>
    <t>APCI0360</t>
  </si>
  <si>
    <t>Lotes:APCI0360</t>
  </si>
  <si>
    <t>XS9</t>
  </si>
  <si>
    <t>CONN M.2 8.5H MALE 67 PIN TOP MOUNT-DOUBLE SIDED KEY M</t>
  </si>
  <si>
    <t>APCI0447-P003A</t>
  </si>
  <si>
    <t>Lotes:APCI0447-P003A</t>
  </si>
  <si>
    <t>XS10</t>
  </si>
  <si>
    <t>SATA 7P B</t>
  </si>
  <si>
    <t>23017.004.1100</t>
  </si>
  <si>
    <t>LITE Electronics</t>
  </si>
  <si>
    <t>LITE Electronics:23017.004.1100</t>
  </si>
  <si>
    <t>XS11,XS12</t>
  </si>
  <si>
    <t>CONN SATA RCPT 15POS VERT T/H</t>
  </si>
  <si>
    <t>W310-1529-21X-Z</t>
  </si>
  <si>
    <t>SMP TECHNOLOGY</t>
  </si>
  <si>
    <t>SMP TECHNOLOGY:W310-1529-21X-Z</t>
  </si>
  <si>
    <t>XS13</t>
  </si>
  <si>
    <t>HDMI vertical side flange 19PIN</t>
  </si>
  <si>
    <t>XW-H-109-31</t>
  </si>
  <si>
    <t>XW-ETLINK:XW-H-109-31</t>
  </si>
  <si>
    <t>XS14</t>
  </si>
  <si>
    <t>Pin Header 2.54mm 2 Row H=2.5mm SMT Type</t>
  </si>
  <si>
    <t>PLD-10S</t>
  </si>
  <si>
    <t>CONNFLY:PLD-10S</t>
  </si>
  <si>
    <t>XS15</t>
  </si>
  <si>
    <t>Mini-DIN PS/2,  6 Position Circular Connector Receptacle, Female Sockets Solder, Purple</t>
  </si>
  <si>
    <t>KLS1-155-6-P-0</t>
  </si>
  <si>
    <t>KLS:KLS1-155-6-P-0</t>
  </si>
  <si>
    <t>XS16</t>
  </si>
  <si>
    <t>Mini-DIN PS/2,  6 Position Circular Connector Receptacle, Female Sockets Solder, Green</t>
  </si>
  <si>
    <t>KLS1-155-6-G-0</t>
  </si>
  <si>
    <t>KLS:KLS1-155-6-G-0</t>
  </si>
  <si>
    <t>XS17</t>
  </si>
  <si>
    <t>SH1.0mm WAFER 2X10P SMT TOP ENTRY TYPE</t>
  </si>
  <si>
    <t>W9110-20PCXWXDR(S41)</t>
  </si>
  <si>
    <t>Hsuan Mao:W9110-20PCXWXDR(S41)</t>
  </si>
  <si>
    <t>XS18,XS19</t>
  </si>
  <si>
    <t>(пусто)</t>
  </si>
  <si>
    <t>Part Number</t>
  </si>
  <si>
    <t>C13</t>
  </si>
  <si>
    <t>C24</t>
  </si>
  <si>
    <t>C51</t>
  </si>
  <si>
    <t>D3</t>
  </si>
  <si>
    <t>L2</t>
  </si>
  <si>
    <t>R10</t>
  </si>
  <si>
    <t>VD11</t>
  </si>
  <si>
    <t>IB_2CAN_E1N003INF1.xlsx</t>
  </si>
  <si>
    <t>C1,C3,C15,C21,C25,C29,C31,C32,C33,C39,C41,C42,C43,C46</t>
  </si>
  <si>
    <t>C2,C4,C6,C7,C8,C9,C10,C11,C14,C18,C19,C20,C22,C23,C26,C27,C34,C36,C37,C44</t>
  </si>
  <si>
    <t>C12,C30,C40</t>
  </si>
  <si>
    <t>C16,C17</t>
  </si>
  <si>
    <t>C28,C38</t>
  </si>
  <si>
    <t>C35,C45</t>
  </si>
  <si>
    <t>C47,C48,C49,C50</t>
  </si>
  <si>
    <t>STM32G473RCT6</t>
  </si>
  <si>
    <t>AT24CSW020-STUM-T</t>
  </si>
  <si>
    <t>Microchip</t>
  </si>
  <si>
    <t>AMS1117-3.3</t>
  </si>
  <si>
    <t>Advanced Monolithic Systems</t>
  </si>
  <si>
    <t>TPT71042-SOAR</t>
  </si>
  <si>
    <t>D5,D8</t>
  </si>
  <si>
    <t>SY6283ADRC</t>
  </si>
  <si>
    <t>D6,D9</t>
  </si>
  <si>
    <t>B0505S-1WR3</t>
  </si>
  <si>
    <t>D7,D10</t>
  </si>
  <si>
    <t>L1,L3,L6,L9</t>
  </si>
  <si>
    <t>90 Om 300mA,  2LN, Common mode choke coil</t>
  </si>
  <si>
    <t>SDCW1608S-2-900TF</t>
  </si>
  <si>
    <t>SDCW2520S-2-301TF</t>
  </si>
  <si>
    <t>L4,L7</t>
  </si>
  <si>
    <t>L5,L8</t>
  </si>
  <si>
    <t>P1,P2,P10,P11,P16,P17,P18,P19</t>
  </si>
  <si>
    <t>P3,P12,P13,P14,P15,P20,P21</t>
  </si>
  <si>
    <t>R5,R8,R9,R13,R14,R17</t>
  </si>
  <si>
    <t>RC0402FR-071K3L</t>
  </si>
  <si>
    <t>R7,R19</t>
  </si>
  <si>
    <t>RC0402JR-07100KL</t>
  </si>
  <si>
    <t>R11,R23,R26,R32</t>
  </si>
  <si>
    <t>RES SMD 1Mohm +/-5% 1/4W 1206</t>
  </si>
  <si>
    <t>AC1206JR-071ML</t>
  </si>
  <si>
    <t>R12,R15</t>
  </si>
  <si>
    <t>RC0402FR-0762RL</t>
  </si>
  <si>
    <t>R21,R22,R27,R28</t>
  </si>
  <si>
    <t>CR0402-FX-1002-G</t>
  </si>
  <si>
    <t>R24,R30,R33</t>
  </si>
  <si>
    <t>AC1210FR-07270RL</t>
  </si>
  <si>
    <t>R25,R31</t>
  </si>
  <si>
    <t>LED 2V 20mA  YELLOW COLOR SMD 1.0x0.5 mm</t>
  </si>
  <si>
    <t>VD1,VD3</t>
  </si>
  <si>
    <t>VD2,VD4</t>
  </si>
  <si>
    <t>PESD1CAN</t>
  </si>
  <si>
    <t>VD5,VD9</t>
  </si>
  <si>
    <t>VD8,VD10</t>
  </si>
  <si>
    <t>SMC</t>
  </si>
  <si>
    <t>VD12,VD13</t>
  </si>
  <si>
    <t>X1,X2,X4</t>
  </si>
  <si>
    <t>Thursday, March 21, 2024</t>
  </si>
  <si>
    <t>IB_2RS232_E1N002INF1_BOM.xlsx</t>
  </si>
  <si>
    <t>GRM188C81C106MA73</t>
  </si>
  <si>
    <t>CAP CER 1206, 1000pF, Д…10%, 2000V, X7R</t>
  </si>
  <si>
    <t>Fintek</t>
  </si>
  <si>
    <t>TPT3232E-TS3R</t>
  </si>
  <si>
    <t>L1, L2, L3, L7, L9, L11, L24, L25</t>
  </si>
  <si>
    <t>L5, L12, L13, L14, L15, L18, L19, L20, L21, L26, L27, L28, L29, L30, L31, L32</t>
  </si>
  <si>
    <t>RC0402FR-07470KL</t>
  </si>
  <si>
    <t>AC0402FR-0733RL</t>
  </si>
  <si>
    <t>AC0402FR-071KL</t>
  </si>
  <si>
    <t>RC0402FR-0712KL</t>
  </si>
  <si>
    <t>R5, R8, R9, R10, R18, R21, R24, R25, R26, R32</t>
  </si>
  <si>
    <t>R19, R20, R22, R23</t>
  </si>
  <si>
    <t>TVS Diode</t>
  </si>
  <si>
    <t>ESD12VB7-1006</t>
  </si>
  <si>
    <t>Thursday, May 16, 2024</t>
  </si>
  <si>
    <t>PCIE104-INF_E1N001INF1E_MAIN.xlsx</t>
  </si>
  <si>
    <t>BQ1,BQ3,BQ4,BQ5,BQ6</t>
  </si>
  <si>
    <t>BQ2,BQ9</t>
  </si>
  <si>
    <t>CRYSTAL 24.0000MHZ 18PF SMD</t>
  </si>
  <si>
    <t>ABM8-24.000MHZ-D1G-T</t>
  </si>
  <si>
    <t>C1,C2,C3,C4,C133,C377</t>
  </si>
  <si>
    <t>C5,C6,C40,C41,C42,C43,C77,C78,C79,C80,C107,C108,C109,C181</t>
  </si>
  <si>
    <t>C7,C8,C9,C10,C29,C36,C37,C82,C83,C84,C86,C87,C88,C89,C91,C92,C93,C94,C95,C96,C97,C98,C99,C131,C173,C174,C175,C176,C178,C179</t>
  </si>
  <si>
    <t>C11,C44,C45,C46,C47,C48,C49,C50,C51,C55,C67,C68,C69,C70,C71,C72,C73,C74,C81,C85,C100,C104,C105,C106,C110,C111,C112,C113,C114,C115,C116,C117,C118,C119,C120,C121,C172,C180,C192,C193,C194,C195,C209,C210,C212,C213,C214,C215,C268,C269,C270,C271,C273,C274,C288,C289,C290,C291,C292,C301,C302,C303,C304,C305,C341,C342,C343,C344,C347,C379,C381,C388,C389,C390,C391,C392,C393,C400,C401,C402,C403,C404,C405,C406,C409,C558,C733,C734,C735,C736,C737,C738,C739,C740,C741,C742,C743,C744,C745,C746,C747,C748</t>
  </si>
  <si>
    <t>C12,C13,C14,C15,C16,C17,C18,C19,C20,C21,C22,C23,C24,C25,C30,C31,C32,C33,C34,C35,C90,C168,C169,C182,C183,C184,C185,C186,C187,C188,C189,C190,C191,C196,C197,C198,C199,C202,C203,C204,C205,C206,C207,C208,C232,C256,C293,C294,C306,C307,C353,C354,C355,C356,C357,C358,C359,C722,C723,C724,C775,C776,C777,C778,C779,C780,C781,C782,C783,C784,C785,C786,C787,C788,C789,C790,C791,C792,C793,C794,C795,C796,C797,C798,C799,C800,C801,C802,C803,C804,C805,C806,C807,C808,C811,C812,C813,C814,C815,C816,C819,C820,C821,C822,C823,C824,C825,C826</t>
  </si>
  <si>
    <t>C26,C28,C142,C143,C144,C145,C146,C147,C148,C149,C150,C151,C152,C153,C154,C155,C156,C157,C158,C159,C160,C161,C162,C163,C164,C165,C166,C167,C350</t>
  </si>
  <si>
    <t>C27,C225,C226,C228,C229,C230,C351,C352,C758,C759,C760,C761,C762,C763,C764,C765,C766</t>
  </si>
  <si>
    <t>C38,C39</t>
  </si>
  <si>
    <t>C52,C135,C707,C708,C709</t>
  </si>
  <si>
    <t>C53,C54,C59,C231,C382</t>
  </si>
  <si>
    <t>C56,C57,C58,C360,C361,C362,C363,C364,C365,C366,C367,C368,C369,C370,C371,C372,C373,C374,C375,C376</t>
  </si>
  <si>
    <t>C60,C170,C171,C348,C349</t>
  </si>
  <si>
    <t>C62,C63,C64,C101,C102,C103,C177,C233,C380,C383,C384,C385,C386,C387,C701,C702,C703,C704,C705,C706</t>
  </si>
  <si>
    <t>C65,C66</t>
  </si>
  <si>
    <t>C75,C76,C407,C408,C644,C645</t>
  </si>
  <si>
    <t>CAP CER 0402 25V 12pF C0G/NP0 +/-2%</t>
  </si>
  <si>
    <t>0402N120G250CT</t>
  </si>
  <si>
    <t>C122</t>
  </si>
  <si>
    <t>C123,C124,C125</t>
  </si>
  <si>
    <t>C126,C136,C137,C266,C267,C284,C285,C322,C323,C324,C325</t>
  </si>
  <si>
    <t>C127,C128,C129</t>
  </si>
  <si>
    <t>C130</t>
  </si>
  <si>
    <t>CAP TANT POLY, 100uF, 6.3V, 35mOhm, +/-20%, 1206 SMD</t>
  </si>
  <si>
    <t>T520A107M006ATE035</t>
  </si>
  <si>
    <t>C132</t>
  </si>
  <si>
    <t>C138,C139,C140,C141,C321,C326,C327,C328,C329,C330,C331,C332,C333,C334,C335,C336,C337,C338,C339,C340,C394,C395</t>
  </si>
  <si>
    <t>C200,C201,C211,C216,C223,C224,C234,C235,C236,C237,C238,C239,C240,C241,C242,C243,C244,C245,C246,C247,C248</t>
  </si>
  <si>
    <t>C217,C218,C750,C751,C752,C753,C754,C755,C756,C757</t>
  </si>
  <si>
    <t>C219,C272,C277,C308,C309,C767,C768</t>
  </si>
  <si>
    <t>C220,C221,C773,C774</t>
  </si>
  <si>
    <t>C222,C396,C397,C398,C399</t>
  </si>
  <si>
    <t>C227</t>
  </si>
  <si>
    <t>C1005X6S1A225K050BC</t>
  </si>
  <si>
    <t>C249,C250,C251,C252,C253,C254,C255</t>
  </si>
  <si>
    <t>C257,C258,C259,C260,C261,C262,C263,C264,C265,C275,C276,C278,C279,C280,C281,C282,C283,C286,C287,C295,C296,C297,C298,C299,C300,C310,C311,C312,C313,C314,C315,C316,C317,C318,C319,C320</t>
  </si>
  <si>
    <t>CAP CER 30PF 50V C0G/NPO 0402</t>
  </si>
  <si>
    <t>CC0402FRNPO9BN300</t>
  </si>
  <si>
    <t>C345,C346</t>
  </si>
  <si>
    <t>C378</t>
  </si>
  <si>
    <t>C650,C651,C699,C700</t>
  </si>
  <si>
    <t>C710,C711,C712,C713,C714,C715,C717</t>
  </si>
  <si>
    <t>C720,C721,C725</t>
  </si>
  <si>
    <t>D1,D46</t>
  </si>
  <si>
    <t>PI3PCIE3442AZHEX</t>
  </si>
  <si>
    <t>D3,D4,D5,D15,D16</t>
  </si>
  <si>
    <t>D6,D7,D10</t>
  </si>
  <si>
    <t>D8,D48</t>
  </si>
  <si>
    <t>PI3DBS16222ZLEX</t>
  </si>
  <si>
    <t>D14,D17</t>
  </si>
  <si>
    <t>D18,D19</t>
  </si>
  <si>
    <t>D20,D24,D25</t>
  </si>
  <si>
    <t>uPD720201K8-711-BAC-A</t>
  </si>
  <si>
    <t>D22,D23,D47</t>
  </si>
  <si>
    <t>RTL8125BI-CG</t>
  </si>
  <si>
    <t>D26,D28,D29,D30</t>
  </si>
  <si>
    <t>D31,D38,D39,D52</t>
  </si>
  <si>
    <t>AT93C46DY6-YH-T</t>
  </si>
  <si>
    <t>D32,D33,D34,D35</t>
  </si>
  <si>
    <t>D36,D37</t>
  </si>
  <si>
    <t>D40,D41</t>
  </si>
  <si>
    <t>D43,D51</t>
  </si>
  <si>
    <t>D44,D53</t>
  </si>
  <si>
    <t>D45,D49,D50,D55</t>
  </si>
  <si>
    <t>IC TRANSLTR BIDIRECTIONAL</t>
  </si>
  <si>
    <t>NTSX2102GU8H</t>
  </si>
  <si>
    <t>D82,D83</t>
  </si>
  <si>
    <t>D88,D89,D90,D91</t>
  </si>
  <si>
    <t>L5,L6</t>
  </si>
  <si>
    <t>L7,L10,L87,L88</t>
  </si>
  <si>
    <t>L8</t>
  </si>
  <si>
    <t>L9,L19,L29,L32,L35,L38,L39,L90</t>
  </si>
  <si>
    <t>IND, 3.3uH, +/-30%, 3.4A, 24mOhm, 5x5x4.2mm SMD</t>
  </si>
  <si>
    <t>TYS50403R3N-10</t>
  </si>
  <si>
    <t>Laird Technologies</t>
  </si>
  <si>
    <t>L11,L14</t>
  </si>
  <si>
    <t>L12,L91,L92</t>
  </si>
  <si>
    <t>L13</t>
  </si>
  <si>
    <t>L15,L18,L30,L31,L33,L34,L36,L37</t>
  </si>
  <si>
    <t>L16,L17</t>
  </si>
  <si>
    <t>L21,L22,L23,L24,L25,L26,L27,L28,L79,L80,L81,L82,L83,L84,L85,L86</t>
  </si>
  <si>
    <t>P1,P2,P3,P4,P6,P7,P30,P31,P39,TP1,TP2,TP3,TP4,TP5,TP6,TP7,TP8,TP9,TP10,TP11,TP12,TP13,TP14,TP15,TP16,TP17</t>
  </si>
  <si>
    <t>P5,P8,P9,P10,P11,P12,P13,P14,P15,P16,P17,P18,P19,P20,P21,P22,P23,P24,P25,P26,P27,P28,P29,P32,P33,P34,P35,P36,P37,P38,P40,P41,P42,P43,P44,P45,P46,P47,P48,P49,P50,P51,P52,P53,P54,P55,P56,P57,P58,P59,P60,P61,P62,P63,P64,P65,P66,P67,P68,P69,P70,P71,P72,P73,P74,P75,P76,P77,P78,P79,P80,P81,P82,P83,P84,P85,P86,P87,P88,P89,P90,P91,P92,P93,P94,P95,P96,P97,P98,P99,P100,P101,P102,P103,P104,P105,P106,P107</t>
  </si>
  <si>
    <t>R1,R2,R3,R11,R17,R18,R75,R78,R79,R81,R82,R83,R85,R86,R88,R135,R136,R137,R138,R139,R140,R141,R142,R143,R144,R145,R146,R147,R148,R149,R158,R159,R160,R161,R162,R163,R184,R185,R186,R190,R191,R192,R194,R195,R201,R202,R203,R204,R205,R206,R207,R208,R209,R210,R211,R212,R213,R214,R216,R217</t>
  </si>
  <si>
    <t>R5</t>
  </si>
  <si>
    <t>R6,R58,R59</t>
  </si>
  <si>
    <t>R7,R352</t>
  </si>
  <si>
    <t>R8,R80,R335</t>
  </si>
  <si>
    <t>RC0201FR-0712K1L</t>
  </si>
  <si>
    <t>R9,R10</t>
  </si>
  <si>
    <t>R14,R15,R16,R30,R31,R32,R33,R34,R35,R36,R37,R38,R39,R40,R41,R42,R43,R44,R45,R46,R47,R48,R49,R50,R51,R52,R53,R54,R55,R56,R57,R61,R74,R87,R90,R123,R124,R126,R127,R129,R130,R154,R155,R156,R157,R165,R166,R168,R169,R170,R172,R174,R187,R188,R189,R193,R197,R198,R200,R230,R231,R236</t>
  </si>
  <si>
    <t>R20,R21,R22,R62,R76,R77,R84,R171,R221</t>
  </si>
  <si>
    <t>RC0402FR-07360RL</t>
  </si>
  <si>
    <t>R24,R27,R28,R71,R100,R133</t>
  </si>
  <si>
    <t>R25,R29,R176,R177,R178,R218,R219,R220</t>
  </si>
  <si>
    <t>RC0603FR-0775RL</t>
  </si>
  <si>
    <t>R26,R99,R101,R103,R107,R108,R109,R110,R111,R112,R113,R114,R115,R116,R117,R118</t>
  </si>
  <si>
    <t>R60,R63,R64,R65,R150,R151,R152,R153,R164,R179,R180,R235,R237,R239,R240</t>
  </si>
  <si>
    <t>R66,R67</t>
  </si>
  <si>
    <t>R69,R70,R128,R134,R199</t>
  </si>
  <si>
    <t>RC0201FR-0749R9L</t>
  </si>
  <si>
    <t>R72,R73</t>
  </si>
  <si>
    <t>R89</t>
  </si>
  <si>
    <t>R91,R222</t>
  </si>
  <si>
    <t>RC0201FR-0751KL</t>
  </si>
  <si>
    <t>R92,R93,R94</t>
  </si>
  <si>
    <t>RC0201FR-07180KL</t>
  </si>
  <si>
    <t>R95,R96,R97</t>
  </si>
  <si>
    <t>R98</t>
  </si>
  <si>
    <t>R102,R121,R122,R182</t>
  </si>
  <si>
    <t>RC0201FR-072K49L</t>
  </si>
  <si>
    <t>R104,R105,R119,R120</t>
  </si>
  <si>
    <t>R125</t>
  </si>
  <si>
    <t>RES SMD 59kohm +/-1% 1/20W 0201</t>
  </si>
  <si>
    <t>RC0201FR-0759KL</t>
  </si>
  <si>
    <t>R131,R132</t>
  </si>
  <si>
    <t>R173,R244,R245</t>
  </si>
  <si>
    <t>R175,R241,R242</t>
  </si>
  <si>
    <t>RES SMD 220ohm +/-1% 1/16W 0402</t>
  </si>
  <si>
    <t>RC0402FR-07220RL</t>
  </si>
  <si>
    <t>R181</t>
  </si>
  <si>
    <t>RES SMD 1.6kohm +/-1% 1/20W 0201</t>
  </si>
  <si>
    <t>RC0201FR-071K6L</t>
  </si>
  <si>
    <t>R196</t>
  </si>
  <si>
    <t>R223,R224,R225,R226,R227,R228,R229</t>
  </si>
  <si>
    <t>R232,R233,R234,R339,R340,R341,R342,R343,R344</t>
  </si>
  <si>
    <t>R337,R338,R345</t>
  </si>
  <si>
    <t>R346,R347</t>
  </si>
  <si>
    <t>R348,R349</t>
  </si>
  <si>
    <t>YC124-JR-0733RL</t>
  </si>
  <si>
    <t>RN1,RN2</t>
  </si>
  <si>
    <t>LP75001ANL</t>
  </si>
  <si>
    <t>Link-PP</t>
  </si>
  <si>
    <t>T1,T2</t>
  </si>
  <si>
    <t>VD1,VD2,VD6,VD11,VD13,VD36,VD37</t>
  </si>
  <si>
    <t>VD3</t>
  </si>
  <si>
    <t>TVS DIODE 3.3VWM 12VC 6XSON</t>
  </si>
  <si>
    <t>PESD3V3L5UF</t>
  </si>
  <si>
    <t>VD4,VD5,VD21</t>
  </si>
  <si>
    <t>VD8,VD14,VD15,VD16,VD17,VD18,VD19,VD20</t>
  </si>
  <si>
    <t>VD9,VD22</t>
  </si>
  <si>
    <t>VD10</t>
  </si>
  <si>
    <t>VD12</t>
  </si>
  <si>
    <t>VD28,VD29,VD30,VD31,VD32,VD33,VD34,VD35</t>
  </si>
  <si>
    <t>X2,X5,X10</t>
  </si>
  <si>
    <t>CONN 20POS 1MM PITCH SMT MALE R/A</t>
  </si>
  <si>
    <t>L-KLS1-XF13-1.00-20-RM</t>
  </si>
  <si>
    <t>X11,X12,X13,X14</t>
  </si>
  <si>
    <t>X15,X16</t>
  </si>
  <si>
    <t>Итого</t>
  </si>
  <si>
    <t>Модульный компьютер</t>
  </si>
  <si>
    <t>Панельный компьютер</t>
  </si>
  <si>
    <t>Manuf</t>
  </si>
  <si>
    <t>BelFuse</t>
  </si>
  <si>
    <t>cjiang</t>
  </si>
  <si>
    <t>Cjiang</t>
  </si>
  <si>
    <t>COILMX</t>
  </si>
  <si>
    <t>CONNFLY</t>
  </si>
  <si>
    <t>COSMO</t>
  </si>
  <si>
    <t>In-sail</t>
  </si>
  <si>
    <t>Laird</t>
  </si>
  <si>
    <t>PSA</t>
  </si>
  <si>
    <t>Salexun</t>
  </si>
  <si>
    <t>SCHURTER</t>
  </si>
  <si>
    <t>Spring Technology</t>
  </si>
  <si>
    <t xml:space="preserve"> MMZ1005S601CT000</t>
  </si>
  <si>
    <t>Tempo Semiconductor</t>
  </si>
  <si>
    <t>UN Semiconductor</t>
  </si>
  <si>
    <t>XW-ETLINK</t>
  </si>
  <si>
    <t>YJYCOIN</t>
  </si>
  <si>
    <t>RC0201FR-070RL</t>
  </si>
  <si>
    <t>RC0201FR-10240RL</t>
  </si>
  <si>
    <t>RC0201FR-10200RL</t>
  </si>
  <si>
    <t>RC0201FR-101KL</t>
  </si>
  <si>
    <t>RC0201FR-101K62L</t>
  </si>
  <si>
    <t>RC0201FR-102K2L</t>
  </si>
  <si>
    <t>RC0201FR-0749K9L</t>
  </si>
  <si>
    <t>RC0201FR-10180KL</t>
  </si>
  <si>
    <t>RC0201JR-0710ML</t>
  </si>
  <si>
    <t>RC0201FR-1033RL</t>
  </si>
  <si>
    <t>RC0201FR-1022RL</t>
  </si>
  <si>
    <t>RC0201FR-10470KL</t>
  </si>
  <si>
    <t>RC0201FR-1030KL</t>
  </si>
  <si>
    <t>RC0402FR-0716K9L</t>
  </si>
  <si>
    <t>RC0402FR-0732K4L</t>
  </si>
  <si>
    <t>RC0402FR-079K09L</t>
  </si>
  <si>
    <t>RC0402FR-0738K3L</t>
  </si>
  <si>
    <t>RC0402FR-075K9L</t>
  </si>
  <si>
    <t>RC0603FR-071K18L</t>
  </si>
  <si>
    <t>RC0402FR-073K83L</t>
  </si>
  <si>
    <t>RC0603FR-07750RL</t>
  </si>
  <si>
    <t>RC0201FR-07402RL</t>
  </si>
  <si>
    <t>RC0201FR-0753K6L</t>
  </si>
  <si>
    <t>RC0201FR-076K2L</t>
  </si>
  <si>
    <t>RC0201FR-101ML</t>
  </si>
  <si>
    <t>RC0201FR-1020KL</t>
  </si>
  <si>
    <t>RC0201FR-1022KL</t>
  </si>
  <si>
    <t>RC0201FR-102K49L</t>
  </si>
  <si>
    <t>RC0201FR-1031K6L</t>
  </si>
  <si>
    <t>RC0201FR-132K49L</t>
  </si>
  <si>
    <t>RC0402DR-07360KL</t>
  </si>
  <si>
    <t>RC0402DR-07360RL</t>
  </si>
  <si>
    <t>RC0402FR-070RL</t>
  </si>
  <si>
    <t>RC0402FR-07115KL</t>
  </si>
  <si>
    <t>RC0402FR-07120KL</t>
  </si>
  <si>
    <t>RC0402FR-071K78L</t>
  </si>
  <si>
    <t>RC0402FR-071K82L</t>
  </si>
  <si>
    <t>RC0402FR-0721K5L</t>
  </si>
  <si>
    <t>RC0402FR-0728K7L</t>
  </si>
  <si>
    <t>RC0402FR-07360KL</t>
  </si>
  <si>
    <t>RC0402FR-0739K2L</t>
  </si>
  <si>
    <t>RC0402FR-074K32L</t>
  </si>
  <si>
    <t>RC0402FR-07732RL</t>
  </si>
  <si>
    <t>RC0402FR-0786K6L</t>
  </si>
  <si>
    <t>RC0402FR-078K66L</t>
  </si>
  <si>
    <t>RC0402FR-7W75RL</t>
  </si>
  <si>
    <t>RC0603FR-073K83L</t>
  </si>
  <si>
    <t>RC0603FR-075K9L</t>
  </si>
  <si>
    <t>RC0603JR-3W0RL</t>
  </si>
  <si>
    <t>RC1206JR-071ML</t>
  </si>
  <si>
    <t>RC1206JR-7W3R9L</t>
  </si>
  <si>
    <t>RC1210FR-07270RL</t>
  </si>
  <si>
    <t>Замена</t>
  </si>
  <si>
    <t>Индустриальный компьютер</t>
  </si>
  <si>
    <t>?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</si>
</sst>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4"/>
      <color rgb="FF000000"/>
      <name val="Times New Roman"/>
      <family val="1"/>
      <charset val="204"/>
    </font>
    <font>
      <b/>
      <sz val="8"/>
      <color rgb="FF003399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1" fillId="3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0" fillId="0" borderId="0" xfId="0" applyFill="1"/>
    <xf numFmtId="0" fontId="0" fillId="0" borderId="0" xfId="0" applyBorder="1"/>
    <xf numFmtId="0" fontId="1" fillId="0" borderId="0" xfId="0" applyFont="1" applyFill="1" applyBorder="1"/>
    <xf numFmtId="0" fontId="0" fillId="0" borderId="5" xfId="0" applyBorder="1" applyAlignment="1">
      <alignment horizontal="left"/>
    </xf>
    <xf numFmtId="0" fontId="1" fillId="3" borderId="6" xfId="0" applyFont="1" applyFill="1" applyBorder="1"/>
    <xf numFmtId="0" fontId="1" fillId="0" borderId="6" xfId="0" applyFont="1" applyFill="1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9" xfId="0" applyBorder="1"/>
    <xf numFmtId="0" fontId="1" fillId="2" borderId="8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0" fillId="0" borderId="10" xfId="0" applyBorder="1"/>
    <xf numFmtId="0" fontId="1" fillId="4" borderId="13" xfId="0" applyFont="1" applyFill="1" applyBorder="1" applyAlignment="1">
      <alignment textRotation="150"/>
    </xf>
    <xf numFmtId="0" fontId="0" fillId="0" borderId="14" xfId="0" applyBorder="1"/>
    <xf numFmtId="0" fontId="0" fillId="2" borderId="5" xfId="0" applyFill="1" applyBorder="1" applyAlignment="1">
      <alignment horizontal="left"/>
    </xf>
    <xf numFmtId="0" fontId="0" fillId="5" borderId="0" xfId="0" applyFill="1" applyBorder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4:C35"/>
  <sheetViews>
    <sheetView tabSelected="1" topLeftCell="A16" zoomScale="130" zoomScaleNormal="130" workbookViewId="0">
      <selection activeCell="D23" sqref="D23"/>
    </sheetView>
  </sheetViews>
  <sheetFormatPr defaultRowHeight="15"/>
  <cols>
    <col min="1" max="1" width="31.28515625" customWidth="1"/>
  </cols>
  <sheetData>
    <row r="4" spans="1:3">
      <c r="A4" s="10"/>
      <c r="B4" s="10"/>
      <c r="C4" s="15"/>
    </row>
    <row r="5" spans="1:3">
      <c r="A5" s="10"/>
      <c r="B5" s="10"/>
      <c r="C5" s="15"/>
    </row>
    <row r="6" spans="1:3">
      <c r="A6" s="8"/>
      <c r="B6" s="17"/>
      <c r="C6" s="15"/>
    </row>
    <row r="7" spans="1:3">
      <c r="A7" s="17"/>
      <c r="B7" s="17"/>
      <c r="C7" s="15"/>
    </row>
    <row r="8" spans="1:3">
      <c r="A8" s="17"/>
      <c r="B8" s="17"/>
      <c r="C8" s="15"/>
    </row>
    <row r="9" spans="1:3">
      <c r="A9" s="17"/>
      <c r="B9" s="17"/>
      <c r="C9" s="15"/>
    </row>
    <row r="10" spans="1:3">
      <c r="A10" s="17"/>
      <c r="B10" s="17"/>
      <c r="C10" s="15"/>
    </row>
    <row r="11" spans="1:3">
      <c r="A11" s="17"/>
      <c r="B11" s="17"/>
      <c r="C11" s="15"/>
    </row>
    <row r="12" spans="1:3">
      <c r="A12" s="17"/>
      <c r="B12" s="17"/>
      <c r="C12" s="15"/>
    </row>
    <row r="13" spans="1:3">
      <c r="A13" s="17"/>
      <c r="B13" s="17"/>
      <c r="C13" s="15"/>
    </row>
    <row r="14" spans="1:3">
      <c r="A14" s="17"/>
      <c r="B14" s="17"/>
      <c r="C14" s="15"/>
    </row>
    <row r="15" spans="1:3">
      <c r="A15" s="17"/>
      <c r="B15" s="17"/>
      <c r="C15" s="15"/>
    </row>
    <row r="16" spans="1:3">
      <c r="A16" s="17"/>
      <c r="B16" s="17"/>
      <c r="C16" s="15"/>
    </row>
    <row r="17" spans="1:3">
      <c r="A17" s="10"/>
      <c r="B17" s="10"/>
      <c r="C17" s="15"/>
    </row>
    <row r="18" spans="1:3">
      <c r="A18" s="15"/>
      <c r="B18" s="15"/>
      <c r="C18" s="15"/>
    </row>
    <row r="19" spans="1:3" ht="15.75" thickBot="1"/>
    <row r="20" spans="1:3" ht="15.75" thickBot="1">
      <c r="A20" s="24" t="s">
        <v>3100</v>
      </c>
      <c r="B20" s="23"/>
    </row>
    <row r="21" spans="1:3" ht="15.75" thickBot="1">
      <c r="A21" s="5" t="s">
        <v>1452</v>
      </c>
      <c r="B21" s="5">
        <v>1</v>
      </c>
      <c r="C21" s="32">
        <v>2049</v>
      </c>
    </row>
    <row r="22" spans="1:3" ht="15.75" thickBot="1">
      <c r="A22" s="5" t="s">
        <v>141</v>
      </c>
      <c r="B22" s="5">
        <v>2</v>
      </c>
      <c r="C22" s="32">
        <v>202</v>
      </c>
    </row>
    <row r="23" spans="1:3" ht="15.75" thickBot="1">
      <c r="A23" s="5" t="s">
        <v>2055</v>
      </c>
      <c r="B23" s="5">
        <v>1</v>
      </c>
      <c r="C23" s="33" t="s">
        <v>3101</v>
      </c>
    </row>
    <row r="24" spans="1:3" ht="15.75" thickBot="1"/>
    <row r="25" spans="1:3" ht="15.75" thickBot="1">
      <c r="A25" s="24" t="s">
        <v>3027</v>
      </c>
      <c r="B25" s="23"/>
    </row>
    <row r="26" spans="1:3" ht="15.75" thickBot="1">
      <c r="A26" s="5" t="s">
        <v>544</v>
      </c>
      <c r="B26" s="5">
        <v>1</v>
      </c>
      <c r="C26" s="32">
        <v>1948</v>
      </c>
    </row>
    <row r="27" spans="1:3" ht="15.75" thickBot="1">
      <c r="A27" s="5" t="s">
        <v>226</v>
      </c>
      <c r="B27" s="5">
        <v>1</v>
      </c>
      <c r="C27" s="32">
        <v>1068</v>
      </c>
    </row>
    <row r="28" spans="1:3" ht="15.75" thickBot="1">
      <c r="A28" s="5" t="s">
        <v>1237</v>
      </c>
      <c r="B28" s="5">
        <v>1</v>
      </c>
      <c r="C28" s="32">
        <v>326</v>
      </c>
    </row>
    <row r="29" spans="1:3" ht="15.75" thickBot="1">
      <c r="A29" s="5" t="s">
        <v>1091</v>
      </c>
      <c r="B29" s="5">
        <v>1</v>
      </c>
      <c r="C29" s="32">
        <v>195</v>
      </c>
    </row>
    <row r="30" spans="1:3" ht="15.75" thickBot="1">
      <c r="A30" s="5" t="s">
        <v>1281</v>
      </c>
      <c r="B30" s="5">
        <v>1</v>
      </c>
      <c r="C30" s="31">
        <v>262</v>
      </c>
    </row>
    <row r="31" spans="1:3" ht="15.75" thickBot="1"/>
    <row r="32" spans="1:3" ht="15.75" thickBot="1">
      <c r="A32" s="24" t="s">
        <v>3028</v>
      </c>
      <c r="B32" s="23"/>
    </row>
    <row r="33" spans="1:3" ht="15.75" thickBot="1">
      <c r="A33" s="5" t="s">
        <v>14</v>
      </c>
      <c r="B33" s="5">
        <v>1</v>
      </c>
      <c r="C33" s="32">
        <v>132</v>
      </c>
    </row>
    <row r="34" spans="1:3" ht="15.75" thickBot="1">
      <c r="A34" s="5" t="s">
        <v>141</v>
      </c>
      <c r="B34" s="5">
        <v>1</v>
      </c>
      <c r="C34" s="31">
        <v>202</v>
      </c>
    </row>
    <row r="35" spans="1:3" ht="15.75" thickBot="1">
      <c r="A35" s="5" t="s">
        <v>2075</v>
      </c>
      <c r="B35" s="5">
        <v>1</v>
      </c>
      <c r="C35" s="33" t="s">
        <v>3101</v>
      </c>
    </row>
  </sheetData>
  <conditionalFormatting sqref="A16"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O636"/>
  <sheetViews>
    <sheetView zoomScale="130" zoomScaleNormal="130" workbookViewId="0">
      <pane xSplit="14" ySplit="2" topLeftCell="O3" activePane="bottomRight" state="frozen"/>
      <selection pane="topRight" activeCell="M1" sqref="M1"/>
      <selection pane="bottomLeft" activeCell="A2" sqref="A2"/>
      <selection pane="bottomRight" activeCell="E830" sqref="E830"/>
    </sheetView>
  </sheetViews>
  <sheetFormatPr defaultColWidth="8.85546875" defaultRowHeight="15"/>
  <cols>
    <col min="1" max="2" width="33.28515625" style="16" customWidth="1"/>
    <col min="3" max="3" width="48.42578125" style="16" customWidth="1"/>
    <col min="4" max="4" width="15.85546875" style="17" customWidth="1"/>
    <col min="5" max="5" width="4.140625" style="27" bestFit="1" customWidth="1"/>
    <col min="6" max="6" width="19.140625" style="27" customWidth="1"/>
    <col min="7" max="14" width="4.140625" style="27" bestFit="1" customWidth="1"/>
    <col min="15" max="16384" width="8.85546875" style="16"/>
  </cols>
  <sheetData>
    <row r="1" spans="1:15" ht="15.75" thickBot="1">
      <c r="C1"/>
      <c r="D1"/>
      <c r="E1"/>
      <c r="F1"/>
      <c r="G1"/>
      <c r="H1" s="5">
        <v>1</v>
      </c>
      <c r="I1" s="5">
        <v>1</v>
      </c>
      <c r="J1" s="5">
        <v>1</v>
      </c>
      <c r="K1" s="5">
        <v>1</v>
      </c>
      <c r="L1" s="5">
        <v>1</v>
      </c>
      <c r="M1"/>
      <c r="N1"/>
      <c r="O1"/>
    </row>
    <row r="2" spans="1:15" s="21" customFormat="1" ht="136.5">
      <c r="A2" s="21" t="s">
        <v>3029</v>
      </c>
      <c r="B2" s="21" t="s">
        <v>3099</v>
      </c>
      <c r="C2" s="19" t="s">
        <v>2798</v>
      </c>
      <c r="D2" s="20" t="s">
        <v>3026</v>
      </c>
      <c r="E2" s="28" t="s">
        <v>2075</v>
      </c>
      <c r="F2" s="28" t="s">
        <v>2055</v>
      </c>
      <c r="G2" s="28" t="s">
        <v>1452</v>
      </c>
      <c r="H2" s="28" t="s">
        <v>1281</v>
      </c>
      <c r="I2" s="28" t="s">
        <v>1237</v>
      </c>
      <c r="J2" s="28" t="s">
        <v>1091</v>
      </c>
      <c r="K2" s="28" t="s">
        <v>544</v>
      </c>
      <c r="L2" s="28" t="s">
        <v>226</v>
      </c>
      <c r="M2" s="28" t="s">
        <v>141</v>
      </c>
      <c r="N2" s="28" t="s">
        <v>14</v>
      </c>
    </row>
    <row r="3" spans="1:15">
      <c r="A3" s="16" t="s">
        <v>63</v>
      </c>
      <c r="C3" s="18" t="s">
        <v>2861</v>
      </c>
      <c r="D3" s="25">
        <f t="shared" ref="D3:D65" si="0">SUM(E3:N3)</f>
        <v>0</v>
      </c>
      <c r="E3" s="29">
        <f>'По платам'!C5*$E$1</f>
        <v>0</v>
      </c>
      <c r="F3" s="29">
        <f>'По платам'!D5*$F$1</f>
        <v>0</v>
      </c>
      <c r="G3" s="29">
        <f>'По платам'!E5*$G$1</f>
        <v>0</v>
      </c>
      <c r="H3" s="29">
        <f>'По платам'!F5*$H$1</f>
        <v>0</v>
      </c>
      <c r="I3" s="29">
        <f>'По платам'!G5*$I$1</f>
        <v>0</v>
      </c>
      <c r="J3" s="29">
        <f>'По платам'!H5*$J$1</f>
        <v>0</v>
      </c>
      <c r="K3" s="29">
        <f>'По платам'!I5*$K$1</f>
        <v>0</v>
      </c>
      <c r="L3" s="29">
        <f>'По платам'!J5*$L$1</f>
        <v>0</v>
      </c>
      <c r="M3" s="29">
        <f>'По платам'!K5*$M$1</f>
        <v>0</v>
      </c>
      <c r="N3" s="29">
        <f>'По платам'!L5*'Состав прибора'!$B$16</f>
        <v>0</v>
      </c>
    </row>
    <row r="4" spans="1:15">
      <c r="A4" s="16" t="s">
        <v>63</v>
      </c>
      <c r="C4" s="18" t="s">
        <v>2819</v>
      </c>
      <c r="D4" s="25">
        <f t="shared" si="0"/>
        <v>1</v>
      </c>
      <c r="E4" s="29">
        <f>'По платам'!C6*$E$1</f>
        <v>0</v>
      </c>
      <c r="F4" s="29">
        <f>'По платам'!D6*$F$1</f>
        <v>0</v>
      </c>
      <c r="G4" s="29">
        <f>'По платам'!E6*$G$1</f>
        <v>0</v>
      </c>
      <c r="H4" s="29">
        <f>'По платам'!F6*$H$1</f>
        <v>0</v>
      </c>
      <c r="I4" s="29">
        <f>'По платам'!G6*$I$1</f>
        <v>0</v>
      </c>
      <c r="J4" s="29">
        <f>'По платам'!H6*$J$1</f>
        <v>0</v>
      </c>
      <c r="K4" s="29">
        <f>'По платам'!I6*$K$1</f>
        <v>0</v>
      </c>
      <c r="L4" s="29">
        <f>'По платам'!J6*$L$1</f>
        <v>1</v>
      </c>
      <c r="M4" s="29">
        <f>'По платам'!K6*$M$1</f>
        <v>0</v>
      </c>
      <c r="N4" s="29">
        <f>'По платам'!L6*'Состав прибора'!$B$16</f>
        <v>0</v>
      </c>
    </row>
    <row r="5" spans="1:15">
      <c r="A5" s="16" t="s">
        <v>63</v>
      </c>
      <c r="C5" s="18" t="s">
        <v>175</v>
      </c>
      <c r="D5" s="25">
        <f t="shared" si="0"/>
        <v>12</v>
      </c>
      <c r="E5" s="29">
        <f>'По платам'!C7*$E$1</f>
        <v>0</v>
      </c>
      <c r="F5" s="29">
        <f>'По платам'!D7*$F$1</f>
        <v>0</v>
      </c>
      <c r="G5" s="29">
        <f>'По платам'!E7*$G$1</f>
        <v>0</v>
      </c>
      <c r="H5" s="29">
        <f>'По платам'!F7*$H$1</f>
        <v>0</v>
      </c>
      <c r="I5" s="29">
        <f>'По платам'!G7*$I$1</f>
        <v>8</v>
      </c>
      <c r="J5" s="29">
        <f>'По платам'!H7*$J$1</f>
        <v>0</v>
      </c>
      <c r="K5" s="29">
        <f>'По платам'!I7*$K$1</f>
        <v>0</v>
      </c>
      <c r="L5" s="29">
        <f>'По платам'!J7*$L$1</f>
        <v>4</v>
      </c>
      <c r="M5" s="29">
        <f>'По платам'!K7*$M$1</f>
        <v>0</v>
      </c>
      <c r="N5" s="29">
        <f>'По платам'!L7*'Состав прибора'!$B$16</f>
        <v>0</v>
      </c>
    </row>
    <row r="6" spans="1:15">
      <c r="A6" s="16" t="s">
        <v>63</v>
      </c>
      <c r="C6" s="18" t="s">
        <v>62</v>
      </c>
      <c r="D6" s="25">
        <f t="shared" si="0"/>
        <v>0</v>
      </c>
      <c r="E6" s="29">
        <f>'По платам'!C8*$E$1</f>
        <v>0</v>
      </c>
      <c r="F6" s="29">
        <f>'По платам'!D8*$F$1</f>
        <v>0</v>
      </c>
      <c r="G6" s="29">
        <f>'По платам'!E8*$G$1</f>
        <v>0</v>
      </c>
      <c r="H6" s="29">
        <f>'По платам'!F8*$H$1</f>
        <v>0</v>
      </c>
      <c r="I6" s="29">
        <f>'По платам'!G8*$I$1</f>
        <v>0</v>
      </c>
      <c r="J6" s="29">
        <f>'По платам'!H8*$J$1</f>
        <v>0</v>
      </c>
      <c r="K6" s="29">
        <f>'По платам'!I8*$K$1</f>
        <v>0</v>
      </c>
      <c r="L6" s="29">
        <f>'По платам'!J8*$L$1</f>
        <v>0</v>
      </c>
      <c r="M6" s="29">
        <f>'По платам'!K8*$M$1</f>
        <v>0</v>
      </c>
      <c r="N6" s="29">
        <f>'По платам'!L8*'Состав прибора'!$B$16</f>
        <v>0</v>
      </c>
    </row>
    <row r="7" spans="1:15">
      <c r="A7" s="16" t="s">
        <v>18</v>
      </c>
      <c r="C7" s="18" t="s">
        <v>2092</v>
      </c>
      <c r="D7" s="25">
        <f t="shared" si="0"/>
        <v>0</v>
      </c>
      <c r="E7" s="29">
        <f>'По платам'!C9*$E$1</f>
        <v>0</v>
      </c>
      <c r="F7" s="29">
        <f>'По платам'!D9*$F$1</f>
        <v>0</v>
      </c>
      <c r="G7" s="29">
        <f>'По платам'!E9*$G$1</f>
        <v>0</v>
      </c>
      <c r="H7" s="29">
        <f>'По платам'!F9*$H$1</f>
        <v>0</v>
      </c>
      <c r="I7" s="29">
        <f>'По платам'!G9*$I$1</f>
        <v>0</v>
      </c>
      <c r="J7" s="29">
        <f>'По платам'!H9*$J$1</f>
        <v>0</v>
      </c>
      <c r="K7" s="29">
        <f>'По платам'!I9*$K$1</f>
        <v>0</v>
      </c>
      <c r="L7" s="29">
        <f>'По платам'!J9*$L$1</f>
        <v>0</v>
      </c>
      <c r="M7" s="29">
        <f>'По платам'!K9*$M$1</f>
        <v>0</v>
      </c>
      <c r="N7" s="29">
        <f>'По платам'!L9*'Состав прибора'!$B$16</f>
        <v>0</v>
      </c>
    </row>
    <row r="8" spans="1:15">
      <c r="A8" s="16" t="s">
        <v>18</v>
      </c>
      <c r="C8" s="18" t="s">
        <v>2877</v>
      </c>
      <c r="D8" s="25">
        <f t="shared" si="0"/>
        <v>1</v>
      </c>
      <c r="E8" s="29">
        <f>'По платам'!C10*$E$1</f>
        <v>0</v>
      </c>
      <c r="F8" s="29">
        <f>'По платам'!D10*$F$1</f>
        <v>0</v>
      </c>
      <c r="G8" s="29">
        <f>'По платам'!E10*$G$1</f>
        <v>0</v>
      </c>
      <c r="H8" s="29">
        <f>'По платам'!F10*$H$1</f>
        <v>0</v>
      </c>
      <c r="I8" s="29">
        <f>'По платам'!G10*$I$1</f>
        <v>0</v>
      </c>
      <c r="J8" s="29">
        <f>'По платам'!H10*$J$1</f>
        <v>0</v>
      </c>
      <c r="K8" s="29">
        <f>'По платам'!I10*$K$1</f>
        <v>0</v>
      </c>
      <c r="L8" s="29">
        <f>'По платам'!J10*$L$1</f>
        <v>1</v>
      </c>
      <c r="M8" s="29">
        <f>'По платам'!K10*$M$1</f>
        <v>0</v>
      </c>
      <c r="N8" s="29">
        <f>'По платам'!L10*'Состав прибора'!$B$16</f>
        <v>0</v>
      </c>
    </row>
    <row r="9" spans="1:15">
      <c r="A9" s="16" t="s">
        <v>18</v>
      </c>
      <c r="C9" s="18" t="s">
        <v>229</v>
      </c>
      <c r="D9" s="25">
        <f t="shared" si="0"/>
        <v>8</v>
      </c>
      <c r="E9" s="29">
        <f>'По платам'!C11*$E$1</f>
        <v>0</v>
      </c>
      <c r="F9" s="29">
        <f>'По платам'!D11*$F$1</f>
        <v>0</v>
      </c>
      <c r="G9" s="29">
        <f>'По платам'!E11*$G$1</f>
        <v>0</v>
      </c>
      <c r="H9" s="29">
        <f>'По платам'!F11*$H$1</f>
        <v>0</v>
      </c>
      <c r="I9" s="29">
        <f>'По платам'!G11*$I$1</f>
        <v>0</v>
      </c>
      <c r="J9" s="29">
        <f>'По платам'!H11*$J$1</f>
        <v>0</v>
      </c>
      <c r="K9" s="29">
        <f>'По платам'!I11*$K$1</f>
        <v>3</v>
      </c>
      <c r="L9" s="29">
        <f>'По платам'!J11*$L$1</f>
        <v>5</v>
      </c>
      <c r="M9" s="29">
        <f>'По платам'!K11*$M$1</f>
        <v>0</v>
      </c>
      <c r="N9" s="29">
        <f>'По платам'!L11*'Состав прибора'!$B$16</f>
        <v>0</v>
      </c>
    </row>
    <row r="10" spans="1:15">
      <c r="A10" s="16" t="s">
        <v>18</v>
      </c>
      <c r="C10" s="18" t="s">
        <v>17</v>
      </c>
      <c r="D10" s="25">
        <f t="shared" si="0"/>
        <v>5</v>
      </c>
      <c r="E10" s="29">
        <f>'По платам'!C12*$E$1</f>
        <v>0</v>
      </c>
      <c r="F10" s="29">
        <f>'По платам'!D12*$F$1</f>
        <v>0</v>
      </c>
      <c r="G10" s="29">
        <f>'По платам'!E12*$G$1</f>
        <v>0</v>
      </c>
      <c r="H10" s="29">
        <f>'По платам'!F12*$H$1</f>
        <v>0</v>
      </c>
      <c r="I10" s="29">
        <f>'По платам'!G12*$I$1</f>
        <v>2</v>
      </c>
      <c r="J10" s="29">
        <f>'По платам'!H12*$J$1</f>
        <v>0</v>
      </c>
      <c r="K10" s="29">
        <f>'По платам'!I12*$K$1</f>
        <v>1</v>
      </c>
      <c r="L10" s="29">
        <f>'По платам'!J12*$L$1</f>
        <v>2</v>
      </c>
      <c r="M10" s="29">
        <f>'По платам'!K12*$M$1</f>
        <v>0</v>
      </c>
      <c r="N10" s="29">
        <f>'По платам'!L12*'Состав прибора'!$B$16</f>
        <v>0</v>
      </c>
    </row>
    <row r="11" spans="1:15">
      <c r="A11" s="16" t="s">
        <v>18</v>
      </c>
      <c r="C11" s="18" t="s">
        <v>782</v>
      </c>
      <c r="D11" s="25">
        <f t="shared" si="0"/>
        <v>1</v>
      </c>
      <c r="E11" s="29">
        <f>'По платам'!C13*$E$1</f>
        <v>0</v>
      </c>
      <c r="F11" s="29">
        <f>'По платам'!D13*$F$1</f>
        <v>0</v>
      </c>
      <c r="G11" s="29">
        <f>'По платам'!E13*$G$1</f>
        <v>0</v>
      </c>
      <c r="H11" s="29">
        <f>'По платам'!F13*$H$1</f>
        <v>0</v>
      </c>
      <c r="I11" s="29">
        <f>'По платам'!G13*$I$1</f>
        <v>0</v>
      </c>
      <c r="J11" s="29">
        <f>'По платам'!H13*$J$1</f>
        <v>0</v>
      </c>
      <c r="K11" s="29">
        <f>'По платам'!I13*$K$1</f>
        <v>1</v>
      </c>
      <c r="L11" s="29">
        <f>'По платам'!J13*$L$1</f>
        <v>0</v>
      </c>
      <c r="M11" s="29">
        <f>'По платам'!K13*$M$1</f>
        <v>0</v>
      </c>
      <c r="N11" s="29">
        <f>'По платам'!L13*'Состав прибора'!$B$16</f>
        <v>0</v>
      </c>
    </row>
    <row r="12" spans="1:15">
      <c r="A12" s="16" t="s">
        <v>18</v>
      </c>
      <c r="C12" s="18" t="s">
        <v>778</v>
      </c>
      <c r="D12" s="25">
        <f t="shared" si="0"/>
        <v>1</v>
      </c>
      <c r="E12" s="29">
        <f>'По платам'!C14*$E$1</f>
        <v>0</v>
      </c>
      <c r="F12" s="29">
        <f>'По платам'!D14*$F$1</f>
        <v>0</v>
      </c>
      <c r="G12" s="29">
        <f>'По платам'!E14*$G$1</f>
        <v>0</v>
      </c>
      <c r="H12" s="29">
        <f>'По платам'!F14*$H$1</f>
        <v>0</v>
      </c>
      <c r="I12" s="29">
        <f>'По платам'!G14*$I$1</f>
        <v>0</v>
      </c>
      <c r="J12" s="29">
        <f>'По платам'!H14*$J$1</f>
        <v>0</v>
      </c>
      <c r="K12" s="29">
        <f>'По платам'!I14*$K$1</f>
        <v>1</v>
      </c>
      <c r="L12" s="29">
        <f>'По платам'!J14*$L$1</f>
        <v>0</v>
      </c>
      <c r="M12" s="29">
        <f>'По платам'!K14*$M$1</f>
        <v>0</v>
      </c>
      <c r="N12" s="29">
        <f>'По платам'!L14*'Состав прибора'!$B$16</f>
        <v>0</v>
      </c>
    </row>
    <row r="13" spans="1:15">
      <c r="A13" s="16" t="s">
        <v>2700</v>
      </c>
      <c r="C13" s="18" t="s">
        <v>2699</v>
      </c>
      <c r="D13" s="25">
        <f t="shared" si="0"/>
        <v>0</v>
      </c>
      <c r="E13" s="29">
        <f>'По платам'!C15*$E$1</f>
        <v>0</v>
      </c>
      <c r="F13" s="29">
        <f>'По платам'!D15*$F$1</f>
        <v>0</v>
      </c>
      <c r="G13" s="29">
        <f>'По платам'!E15*$G$1</f>
        <v>0</v>
      </c>
      <c r="H13" s="29">
        <f>'По платам'!F15*$H$1</f>
        <v>0</v>
      </c>
      <c r="I13" s="29">
        <f>'По платам'!G15*$I$1</f>
        <v>0</v>
      </c>
      <c r="J13" s="29">
        <f>'По платам'!H15*$J$1</f>
        <v>0</v>
      </c>
      <c r="K13" s="29">
        <f>'По платам'!I15*$K$1</f>
        <v>0</v>
      </c>
      <c r="L13" s="29">
        <f>'По платам'!J15*$L$1</f>
        <v>0</v>
      </c>
      <c r="M13" s="29">
        <f>'По платам'!K15*$M$1</f>
        <v>0</v>
      </c>
      <c r="N13" s="29">
        <f>'По платам'!L15*'Состав прибора'!$B$16</f>
        <v>0</v>
      </c>
    </row>
    <row r="14" spans="1:15">
      <c r="A14" s="16" t="s">
        <v>2818</v>
      </c>
      <c r="C14" s="18" t="s">
        <v>2817</v>
      </c>
      <c r="D14" s="25">
        <f t="shared" si="0"/>
        <v>0</v>
      </c>
      <c r="E14" s="29">
        <f>'По платам'!C16*$E$1</f>
        <v>0</v>
      </c>
      <c r="F14" s="29">
        <f>'По платам'!D16*$F$1</f>
        <v>0</v>
      </c>
      <c r="G14" s="29">
        <f>'По платам'!E16*$G$1</f>
        <v>0</v>
      </c>
      <c r="H14" s="29">
        <f>'По платам'!F16*$H$1</f>
        <v>0</v>
      </c>
      <c r="I14" s="29">
        <f>'По платам'!G16*$I$1</f>
        <v>0</v>
      </c>
      <c r="J14" s="29">
        <f>'По платам'!H16*$J$1</f>
        <v>0</v>
      </c>
      <c r="K14" s="29">
        <f>'По платам'!I16*$K$1</f>
        <v>0</v>
      </c>
      <c r="L14" s="29">
        <f>'По платам'!J16*$L$1</f>
        <v>0</v>
      </c>
      <c r="M14" s="29">
        <f>'По платам'!K16*$M$1</f>
        <v>0</v>
      </c>
      <c r="N14" s="29">
        <f>'По платам'!L16*'Состав прибора'!$B$16</f>
        <v>0</v>
      </c>
    </row>
    <row r="15" spans="1:15">
      <c r="A15" s="16" t="s">
        <v>126</v>
      </c>
      <c r="C15" s="18" t="s">
        <v>125</v>
      </c>
      <c r="D15" s="25">
        <f t="shared" si="0"/>
        <v>5</v>
      </c>
      <c r="E15" s="29">
        <f>'По платам'!C17*$E$1</f>
        <v>0</v>
      </c>
      <c r="F15" s="29">
        <f>'По платам'!D17*$F$1</f>
        <v>0</v>
      </c>
      <c r="G15" s="29">
        <f>'По платам'!E17*$G$1</f>
        <v>0</v>
      </c>
      <c r="H15" s="29">
        <f>'По платам'!F17*$H$1</f>
        <v>0</v>
      </c>
      <c r="I15" s="29">
        <f>'По платам'!G17*$I$1</f>
        <v>0</v>
      </c>
      <c r="J15" s="29">
        <f>'По платам'!H17*$J$1</f>
        <v>3</v>
      </c>
      <c r="K15" s="29">
        <f>'По платам'!I17*$K$1</f>
        <v>2</v>
      </c>
      <c r="L15" s="29">
        <f>'По платам'!J17*$L$1</f>
        <v>0</v>
      </c>
      <c r="M15" s="29">
        <f>'По платам'!K17*$M$1</f>
        <v>0</v>
      </c>
      <c r="N15" s="29">
        <f>'По платам'!L17*'Состав прибора'!$B$16</f>
        <v>0</v>
      </c>
    </row>
    <row r="16" spans="1:15">
      <c r="A16" s="16" t="s">
        <v>126</v>
      </c>
      <c r="C16" s="18" t="s">
        <v>504</v>
      </c>
      <c r="D16" s="25">
        <f t="shared" si="0"/>
        <v>14</v>
      </c>
      <c r="E16" s="29">
        <f>'По платам'!C18*$E$1</f>
        <v>0</v>
      </c>
      <c r="F16" s="29">
        <f>'По платам'!D18*$F$1</f>
        <v>0</v>
      </c>
      <c r="G16" s="29">
        <f>'По платам'!E18*$G$1</f>
        <v>0</v>
      </c>
      <c r="H16" s="29">
        <f>'По платам'!F18*$H$1</f>
        <v>0</v>
      </c>
      <c r="I16" s="29">
        <f>'По платам'!G18*$I$1</f>
        <v>0</v>
      </c>
      <c r="J16" s="29">
        <f>'По платам'!H18*$J$1</f>
        <v>6</v>
      </c>
      <c r="K16" s="29">
        <f>'По платам'!I18*$K$1</f>
        <v>0</v>
      </c>
      <c r="L16" s="29">
        <f>'По платам'!J18*$L$1</f>
        <v>8</v>
      </c>
      <c r="M16" s="29">
        <f>'По платам'!K18*$M$1</f>
        <v>0</v>
      </c>
      <c r="N16" s="29">
        <f>'По платам'!L18*'Состав прибора'!$B$16</f>
        <v>0</v>
      </c>
    </row>
    <row r="17" spans="1:14">
      <c r="A17" s="16" t="s">
        <v>126</v>
      </c>
      <c r="C17" s="18" t="s">
        <v>1019</v>
      </c>
      <c r="D17" s="25">
        <f t="shared" si="0"/>
        <v>2</v>
      </c>
      <c r="E17" s="29">
        <f>'По платам'!C19*$E$1</f>
        <v>0</v>
      </c>
      <c r="F17" s="29">
        <f>'По платам'!D19*$F$1</f>
        <v>0</v>
      </c>
      <c r="G17" s="29">
        <f>'По платам'!E19*$G$1</f>
        <v>0</v>
      </c>
      <c r="H17" s="29">
        <f>'По платам'!F19*$H$1</f>
        <v>0</v>
      </c>
      <c r="I17" s="29">
        <f>'По платам'!G19*$I$1</f>
        <v>0</v>
      </c>
      <c r="J17" s="29">
        <f>'По платам'!H19*$J$1</f>
        <v>0</v>
      </c>
      <c r="K17" s="29">
        <f>'По платам'!I19*$K$1</f>
        <v>2</v>
      </c>
      <c r="L17" s="29">
        <f>'По платам'!J19*$L$1</f>
        <v>0</v>
      </c>
      <c r="M17" s="29">
        <f>'По платам'!K19*$M$1</f>
        <v>0</v>
      </c>
      <c r="N17" s="29">
        <f>'По платам'!L19*'Состав прибора'!$B$16</f>
        <v>0</v>
      </c>
    </row>
    <row r="18" spans="1:14">
      <c r="A18" s="16" t="s">
        <v>761</v>
      </c>
      <c r="C18" s="18" t="s">
        <v>769</v>
      </c>
      <c r="D18" s="25">
        <f t="shared" si="0"/>
        <v>1</v>
      </c>
      <c r="E18" s="29">
        <f>'По платам'!C20*$E$1</f>
        <v>0</v>
      </c>
      <c r="F18" s="29">
        <f>'По платам'!D20*$F$1</f>
        <v>0</v>
      </c>
      <c r="G18" s="29">
        <f>'По платам'!E20*$G$1</f>
        <v>0</v>
      </c>
      <c r="H18" s="29">
        <f>'По платам'!F20*$H$1</f>
        <v>0</v>
      </c>
      <c r="I18" s="29">
        <f>'По платам'!G20*$I$1</f>
        <v>0</v>
      </c>
      <c r="J18" s="29">
        <f>'По платам'!H20*$J$1</f>
        <v>0</v>
      </c>
      <c r="K18" s="29">
        <f>'По платам'!I20*$K$1</f>
        <v>1</v>
      </c>
      <c r="L18" s="29">
        <f>'По платам'!J20*$L$1</f>
        <v>0</v>
      </c>
      <c r="M18" s="29">
        <f>'По платам'!K20*$M$1</f>
        <v>0</v>
      </c>
      <c r="N18" s="29">
        <f>'По платам'!L20*'Состав прибора'!$B$16</f>
        <v>0</v>
      </c>
    </row>
    <row r="19" spans="1:14">
      <c r="A19" s="16" t="s">
        <v>761</v>
      </c>
      <c r="C19" s="18" t="s">
        <v>1622</v>
      </c>
      <c r="D19" s="25">
        <f t="shared" si="0"/>
        <v>0</v>
      </c>
      <c r="E19" s="29">
        <f>'По платам'!C21*$E$1</f>
        <v>0</v>
      </c>
      <c r="F19" s="29">
        <f>'По платам'!D21*$F$1</f>
        <v>0</v>
      </c>
      <c r="G19" s="29">
        <f>'По платам'!E21*$G$1</f>
        <v>0</v>
      </c>
      <c r="H19" s="29">
        <f>'По платам'!F21*$H$1</f>
        <v>0</v>
      </c>
      <c r="I19" s="29">
        <f>'По платам'!G21*$I$1</f>
        <v>0</v>
      </c>
      <c r="J19" s="29">
        <f>'По платам'!H21*$J$1</f>
        <v>0</v>
      </c>
      <c r="K19" s="29">
        <f>'По платам'!I21*$K$1</f>
        <v>0</v>
      </c>
      <c r="L19" s="29">
        <f>'По платам'!J21*$L$1</f>
        <v>0</v>
      </c>
      <c r="M19" s="29">
        <f>'По платам'!K21*$M$1</f>
        <v>0</v>
      </c>
      <c r="N19" s="29">
        <f>'По платам'!L21*'Состав прибора'!$B$16</f>
        <v>0</v>
      </c>
    </row>
    <row r="20" spans="1:14">
      <c r="A20" s="16" t="s">
        <v>761</v>
      </c>
      <c r="C20" s="18" t="s">
        <v>760</v>
      </c>
      <c r="D20" s="25">
        <f t="shared" si="0"/>
        <v>1</v>
      </c>
      <c r="E20" s="29">
        <f>'По платам'!C22*$E$1</f>
        <v>0</v>
      </c>
      <c r="F20" s="29">
        <f>'По платам'!D22*$F$1</f>
        <v>0</v>
      </c>
      <c r="G20" s="29">
        <f>'По платам'!E22*$G$1</f>
        <v>0</v>
      </c>
      <c r="H20" s="29">
        <f>'По платам'!F22*$H$1</f>
        <v>0</v>
      </c>
      <c r="I20" s="29">
        <f>'По платам'!G22*$I$1</f>
        <v>0</v>
      </c>
      <c r="J20" s="29">
        <f>'По платам'!H22*$J$1</f>
        <v>0</v>
      </c>
      <c r="K20" s="29">
        <f>'По платам'!I22*$K$1</f>
        <v>1</v>
      </c>
      <c r="L20" s="29">
        <f>'По платам'!J22*$L$1</f>
        <v>0</v>
      </c>
      <c r="M20" s="29">
        <f>'По платам'!K22*$M$1</f>
        <v>0</v>
      </c>
      <c r="N20" s="29">
        <f>'По платам'!L22*'Состав прибора'!$B$16</f>
        <v>0</v>
      </c>
    </row>
    <row r="21" spans="1:14">
      <c r="A21" s="16" t="s">
        <v>761</v>
      </c>
      <c r="C21" s="18" t="s">
        <v>765</v>
      </c>
      <c r="D21" s="25">
        <f t="shared" si="0"/>
        <v>2</v>
      </c>
      <c r="E21" s="29">
        <f>'По платам'!C23*$E$1</f>
        <v>0</v>
      </c>
      <c r="F21" s="29">
        <f>'По платам'!D23*$F$1</f>
        <v>0</v>
      </c>
      <c r="G21" s="29">
        <f>'По платам'!E23*$G$1</f>
        <v>0</v>
      </c>
      <c r="H21" s="29">
        <f>'По платам'!F23*$H$1</f>
        <v>0</v>
      </c>
      <c r="I21" s="29">
        <f>'По платам'!G23*$I$1</f>
        <v>0</v>
      </c>
      <c r="J21" s="29">
        <f>'По платам'!H23*$J$1</f>
        <v>0</v>
      </c>
      <c r="K21" s="29">
        <f>'По платам'!I23*$K$1</f>
        <v>2</v>
      </c>
      <c r="L21" s="29">
        <f>'По платам'!J23*$L$1</f>
        <v>0</v>
      </c>
      <c r="M21" s="29">
        <f>'По платам'!K23*$M$1</f>
        <v>0</v>
      </c>
      <c r="N21" s="29">
        <f>'По платам'!L23*'Состав прибора'!$B$16</f>
        <v>0</v>
      </c>
    </row>
    <row r="22" spans="1:14">
      <c r="A22" s="16" t="s">
        <v>761</v>
      </c>
      <c r="C22" s="18" t="s">
        <v>1637</v>
      </c>
      <c r="D22" s="25">
        <f t="shared" si="0"/>
        <v>0</v>
      </c>
      <c r="E22" s="29">
        <f>'По платам'!C24*$E$1</f>
        <v>0</v>
      </c>
      <c r="F22" s="29">
        <f>'По платам'!D24*$F$1</f>
        <v>0</v>
      </c>
      <c r="G22" s="29">
        <f>'По платам'!E24*$G$1</f>
        <v>0</v>
      </c>
      <c r="H22" s="29">
        <f>'По платам'!F24*$H$1</f>
        <v>0</v>
      </c>
      <c r="I22" s="29">
        <f>'По платам'!G24*$I$1</f>
        <v>0</v>
      </c>
      <c r="J22" s="29">
        <f>'По платам'!H24*$J$1</f>
        <v>0</v>
      </c>
      <c r="K22" s="29">
        <f>'По платам'!I24*$K$1</f>
        <v>0</v>
      </c>
      <c r="L22" s="29">
        <f>'По платам'!J24*$L$1</f>
        <v>0</v>
      </c>
      <c r="M22" s="29">
        <f>'По платам'!K24*$M$1</f>
        <v>0</v>
      </c>
      <c r="N22" s="29">
        <f>'По платам'!L24*'Состав прибора'!$B$16</f>
        <v>0</v>
      </c>
    </row>
    <row r="23" spans="1:14">
      <c r="A23" s="16" t="s">
        <v>320</v>
      </c>
      <c r="C23" s="18" t="s">
        <v>319</v>
      </c>
      <c r="D23" s="25">
        <f t="shared" si="0"/>
        <v>2</v>
      </c>
      <c r="E23" s="29">
        <f>'По платам'!C25*$E$1</f>
        <v>0</v>
      </c>
      <c r="F23" s="29">
        <f>'По платам'!D25*$F$1</f>
        <v>0</v>
      </c>
      <c r="G23" s="29">
        <f>'По платам'!E25*$G$1</f>
        <v>0</v>
      </c>
      <c r="H23" s="29">
        <f>'По платам'!F25*$H$1</f>
        <v>0</v>
      </c>
      <c r="I23" s="29">
        <f>'По платам'!G25*$I$1</f>
        <v>0</v>
      </c>
      <c r="J23" s="29">
        <f>'По платам'!H25*$J$1</f>
        <v>0</v>
      </c>
      <c r="K23" s="29">
        <f>'По платам'!I25*$K$1</f>
        <v>1</v>
      </c>
      <c r="L23" s="29">
        <f>'По платам'!J25*$L$1</f>
        <v>1</v>
      </c>
      <c r="M23" s="29">
        <f>'По платам'!K25*$M$1</f>
        <v>0</v>
      </c>
      <c r="N23" s="29">
        <f>'По платам'!L25*'Состав прибора'!$B$16</f>
        <v>0</v>
      </c>
    </row>
    <row r="24" spans="1:14">
      <c r="A24" s="16" t="s">
        <v>717</v>
      </c>
      <c r="C24" s="18" t="s">
        <v>725</v>
      </c>
      <c r="D24" s="25">
        <f t="shared" si="0"/>
        <v>1</v>
      </c>
      <c r="E24" s="29">
        <f>'По платам'!C26*$E$1</f>
        <v>0</v>
      </c>
      <c r="F24" s="29">
        <f>'По платам'!D26*$F$1</f>
        <v>0</v>
      </c>
      <c r="G24" s="29">
        <f>'По платам'!E26*$G$1</f>
        <v>0</v>
      </c>
      <c r="H24" s="29">
        <f>'По платам'!F26*$H$1</f>
        <v>0</v>
      </c>
      <c r="I24" s="29">
        <f>'По платам'!G26*$I$1</f>
        <v>0</v>
      </c>
      <c r="J24" s="29">
        <f>'По платам'!H26*$J$1</f>
        <v>0</v>
      </c>
      <c r="K24" s="29">
        <f>'По платам'!I26*$K$1</f>
        <v>1</v>
      </c>
      <c r="L24" s="29">
        <f>'По платам'!J26*$L$1</f>
        <v>0</v>
      </c>
      <c r="M24" s="29">
        <f>'По платам'!K26*$M$1</f>
        <v>0</v>
      </c>
      <c r="N24" s="29">
        <f>'По платам'!L26*'Состав прибора'!$B$16</f>
        <v>0</v>
      </c>
    </row>
    <row r="25" spans="1:14">
      <c r="A25" s="16" t="s">
        <v>717</v>
      </c>
      <c r="C25" s="18" t="s">
        <v>716</v>
      </c>
      <c r="D25" s="25">
        <f t="shared" si="0"/>
        <v>3</v>
      </c>
      <c r="E25" s="29">
        <f>'По платам'!C27*$E$1</f>
        <v>0</v>
      </c>
      <c r="F25" s="29">
        <f>'По платам'!D27*$F$1</f>
        <v>0</v>
      </c>
      <c r="G25" s="29">
        <f>'По платам'!E27*$G$1</f>
        <v>0</v>
      </c>
      <c r="H25" s="29">
        <f>'По платам'!F27*$H$1</f>
        <v>0</v>
      </c>
      <c r="I25" s="29">
        <f>'По платам'!G27*$I$1</f>
        <v>2</v>
      </c>
      <c r="J25" s="29">
        <f>'По платам'!H27*$J$1</f>
        <v>0</v>
      </c>
      <c r="K25" s="29">
        <f>'По платам'!I27*$K$1</f>
        <v>1</v>
      </c>
      <c r="L25" s="29">
        <f>'По платам'!J27*$L$1</f>
        <v>0</v>
      </c>
      <c r="M25" s="29">
        <f>'По платам'!K27*$M$1</f>
        <v>0</v>
      </c>
      <c r="N25" s="29">
        <f>'По платам'!L27*'Состав прибора'!$B$16</f>
        <v>0</v>
      </c>
    </row>
    <row r="26" spans="1:14">
      <c r="A26" s="16" t="s">
        <v>2188</v>
      </c>
      <c r="C26" s="18" t="s">
        <v>2187</v>
      </c>
      <c r="D26" s="25">
        <f t="shared" si="0"/>
        <v>0</v>
      </c>
      <c r="E26" s="29">
        <f>'По платам'!C28*$E$1</f>
        <v>0</v>
      </c>
      <c r="F26" s="29">
        <f>'По платам'!D28*$F$1</f>
        <v>0</v>
      </c>
      <c r="G26" s="29">
        <f>'По платам'!E28*$G$1</f>
        <v>0</v>
      </c>
      <c r="H26" s="29">
        <f>'По платам'!F28*$H$1</f>
        <v>0</v>
      </c>
      <c r="I26" s="29">
        <f>'По платам'!G28*$I$1</f>
        <v>0</v>
      </c>
      <c r="J26" s="29">
        <f>'По платам'!H28*$J$1</f>
        <v>0</v>
      </c>
      <c r="K26" s="29">
        <f>'По платам'!I28*$K$1</f>
        <v>0</v>
      </c>
      <c r="L26" s="29">
        <f>'По платам'!J28*$L$1</f>
        <v>0</v>
      </c>
      <c r="M26" s="29">
        <f>'По платам'!K28*$M$1</f>
        <v>0</v>
      </c>
      <c r="N26" s="29">
        <f>'По платам'!L28*'Состав прибора'!$B$16</f>
        <v>0</v>
      </c>
    </row>
    <row r="27" spans="1:14">
      <c r="A27" s="16" t="s">
        <v>1366</v>
      </c>
      <c r="C27" s="18" t="s">
        <v>2305</v>
      </c>
      <c r="D27" s="25">
        <f t="shared" si="0"/>
        <v>0</v>
      </c>
      <c r="E27" s="29">
        <f>'По платам'!C29*$E$1</f>
        <v>0</v>
      </c>
      <c r="F27" s="29">
        <f>'По платам'!D29*$F$1</f>
        <v>0</v>
      </c>
      <c r="G27" s="29">
        <f>'По платам'!E29*$G$1</f>
        <v>0</v>
      </c>
      <c r="H27" s="29">
        <f>'По платам'!F29*$H$1</f>
        <v>0</v>
      </c>
      <c r="I27" s="29">
        <f>'По платам'!G29*$I$1</f>
        <v>0</v>
      </c>
      <c r="J27" s="29">
        <f>'По платам'!H29*$J$1</f>
        <v>0</v>
      </c>
      <c r="K27" s="29">
        <f>'По платам'!I29*$K$1</f>
        <v>0</v>
      </c>
      <c r="L27" s="29">
        <f>'По платам'!J29*$L$1</f>
        <v>0</v>
      </c>
      <c r="M27" s="29">
        <f>'По платам'!K29*$M$1</f>
        <v>0</v>
      </c>
      <c r="N27" s="29">
        <f>'По платам'!L29*'Состав прибора'!$B$16</f>
        <v>0</v>
      </c>
    </row>
    <row r="28" spans="1:14">
      <c r="A28" s="16" t="s">
        <v>3030</v>
      </c>
      <c r="C28" s="18" t="s">
        <v>1365</v>
      </c>
      <c r="D28" s="25">
        <f t="shared" si="0"/>
        <v>1</v>
      </c>
      <c r="E28" s="29">
        <f>'По платам'!C30*$E$1</f>
        <v>0</v>
      </c>
      <c r="F28" s="29">
        <f>'По платам'!D30*$F$1</f>
        <v>0</v>
      </c>
      <c r="G28" s="29">
        <f>'По платам'!E30*$G$1</f>
        <v>0</v>
      </c>
      <c r="H28" s="29">
        <f>'По платам'!F30*$H$1</f>
        <v>1</v>
      </c>
      <c r="I28" s="29">
        <f>'По платам'!G30*$I$1</f>
        <v>0</v>
      </c>
      <c r="J28" s="29">
        <f>'По платам'!H30*$J$1</f>
        <v>0</v>
      </c>
      <c r="K28" s="29">
        <f>'По платам'!I30*$K$1</f>
        <v>0</v>
      </c>
      <c r="L28" s="29">
        <f>'По платам'!J30*$L$1</f>
        <v>0</v>
      </c>
      <c r="M28" s="29">
        <f>'По платам'!K30*$M$1</f>
        <v>0</v>
      </c>
      <c r="N28" s="29">
        <f>'По платам'!L30*'Состав прибора'!$B$16</f>
        <v>0</v>
      </c>
    </row>
    <row r="29" spans="1:14">
      <c r="A29" s="16" t="s">
        <v>3030</v>
      </c>
      <c r="C29" s="18" t="s">
        <v>2309</v>
      </c>
      <c r="D29" s="25">
        <f t="shared" si="0"/>
        <v>0</v>
      </c>
      <c r="E29" s="29">
        <f>'По платам'!C31*$E$1</f>
        <v>0</v>
      </c>
      <c r="F29" s="29">
        <f>'По платам'!D31*$F$1</f>
        <v>0</v>
      </c>
      <c r="G29" s="29">
        <f>'По платам'!E31*$G$1</f>
        <v>0</v>
      </c>
      <c r="H29" s="29">
        <f>'По платам'!F31*$H$1</f>
        <v>0</v>
      </c>
      <c r="I29" s="29">
        <f>'По платам'!G31*$I$1</f>
        <v>0</v>
      </c>
      <c r="J29" s="29">
        <f>'По платам'!H31*$J$1</f>
        <v>0</v>
      </c>
      <c r="K29" s="29">
        <f>'По платам'!I31*$K$1</f>
        <v>0</v>
      </c>
      <c r="L29" s="29">
        <f>'По платам'!J31*$L$1</f>
        <v>0</v>
      </c>
      <c r="M29" s="29">
        <f>'По платам'!K31*$M$1</f>
        <v>0</v>
      </c>
      <c r="N29" s="29">
        <f>'По платам'!L31*'Состав прибора'!$B$16</f>
        <v>0</v>
      </c>
    </row>
    <row r="30" spans="1:14">
      <c r="A30" s="16" t="s">
        <v>3030</v>
      </c>
      <c r="C30" s="18" t="s">
        <v>2301</v>
      </c>
      <c r="D30" s="25">
        <f t="shared" si="0"/>
        <v>0</v>
      </c>
      <c r="E30" s="29">
        <f>'По платам'!C32*$E$1</f>
        <v>0</v>
      </c>
      <c r="F30" s="29">
        <f>'По платам'!D32*$F$1</f>
        <v>0</v>
      </c>
      <c r="G30" s="29">
        <f>'По платам'!E32*$G$1</f>
        <v>0</v>
      </c>
      <c r="H30" s="29">
        <f>'По платам'!F32*$H$1</f>
        <v>0</v>
      </c>
      <c r="I30" s="29">
        <f>'По платам'!G32*$I$1</f>
        <v>0</v>
      </c>
      <c r="J30" s="29">
        <f>'По платам'!H32*$J$1</f>
        <v>0</v>
      </c>
      <c r="K30" s="29">
        <f>'По платам'!I32*$K$1</f>
        <v>0</v>
      </c>
      <c r="L30" s="29">
        <f>'По платам'!J32*$L$1</f>
        <v>0</v>
      </c>
      <c r="M30" s="29">
        <f>'По платам'!K32*$M$1</f>
        <v>0</v>
      </c>
      <c r="N30" s="29">
        <f>'По платам'!L32*'Состав прибора'!$B$16</f>
        <v>0</v>
      </c>
    </row>
    <row r="31" spans="1:14">
      <c r="A31" s="16" t="s">
        <v>103</v>
      </c>
      <c r="C31" s="18" t="s">
        <v>2843</v>
      </c>
      <c r="D31" s="25">
        <f t="shared" si="0"/>
        <v>0</v>
      </c>
      <c r="E31" s="29">
        <f>'По платам'!C33*$E$1</f>
        <v>0</v>
      </c>
      <c r="F31" s="29">
        <f>'По платам'!D33*$F$1</f>
        <v>0</v>
      </c>
      <c r="G31" s="29">
        <f>'По платам'!E33*$G$1</f>
        <v>0</v>
      </c>
      <c r="H31" s="29">
        <f>'По платам'!F33*$H$1</f>
        <v>0</v>
      </c>
      <c r="I31" s="29">
        <f>'По платам'!G33*$I$1</f>
        <v>0</v>
      </c>
      <c r="J31" s="29">
        <f>'По платам'!H33*$J$1</f>
        <v>0</v>
      </c>
      <c r="K31" s="29">
        <f>'По платам'!I33*$K$1</f>
        <v>0</v>
      </c>
      <c r="L31" s="29">
        <f>'По платам'!J33*$L$1</f>
        <v>0</v>
      </c>
      <c r="M31" s="29">
        <f>'По платам'!K33*$M$1</f>
        <v>0</v>
      </c>
      <c r="N31" s="29">
        <f>'По платам'!L33*'Состав прибора'!$B$16</f>
        <v>0</v>
      </c>
    </row>
    <row r="32" spans="1:14">
      <c r="A32" s="16" t="s">
        <v>103</v>
      </c>
      <c r="C32" s="18" t="s">
        <v>2545</v>
      </c>
      <c r="D32" s="25">
        <f t="shared" si="0"/>
        <v>0</v>
      </c>
      <c r="E32" s="29">
        <f>'По платам'!C34*$E$1</f>
        <v>0</v>
      </c>
      <c r="F32" s="29">
        <f>'По платам'!D34*$F$1</f>
        <v>0</v>
      </c>
      <c r="G32" s="29">
        <f>'По платам'!E34*$G$1</f>
        <v>0</v>
      </c>
      <c r="H32" s="29">
        <f>'По платам'!F34*$H$1</f>
        <v>0</v>
      </c>
      <c r="I32" s="29">
        <f>'По платам'!G34*$I$1</f>
        <v>0</v>
      </c>
      <c r="J32" s="29">
        <f>'По платам'!H34*$J$1</f>
        <v>0</v>
      </c>
      <c r="K32" s="29">
        <f>'По платам'!I34*$K$1</f>
        <v>0</v>
      </c>
      <c r="L32" s="29">
        <f>'По платам'!J34*$L$1</f>
        <v>0</v>
      </c>
      <c r="M32" s="29">
        <f>'По платам'!K34*$M$1</f>
        <v>0</v>
      </c>
      <c r="N32" s="29">
        <f>'По платам'!L34*'Состав прибора'!$B$16</f>
        <v>0</v>
      </c>
    </row>
    <row r="33" spans="1:14">
      <c r="A33" s="16" t="s">
        <v>103</v>
      </c>
      <c r="C33" s="18" t="s">
        <v>2510</v>
      </c>
      <c r="D33" s="25">
        <f t="shared" si="0"/>
        <v>0</v>
      </c>
      <c r="E33" s="29">
        <f>'По платам'!C35*$E$1</f>
        <v>0</v>
      </c>
      <c r="F33" s="29">
        <f>'По платам'!D35*$F$1</f>
        <v>0</v>
      </c>
      <c r="G33" s="29">
        <f>'По платам'!E35*$G$1</f>
        <v>0</v>
      </c>
      <c r="H33" s="29">
        <f>'По платам'!F35*$H$1</f>
        <v>0</v>
      </c>
      <c r="I33" s="29">
        <f>'По платам'!G35*$I$1</f>
        <v>0</v>
      </c>
      <c r="J33" s="29">
        <f>'По платам'!H35*$J$1</f>
        <v>0</v>
      </c>
      <c r="K33" s="29">
        <f>'По платам'!I35*$K$1</f>
        <v>0</v>
      </c>
      <c r="L33" s="29">
        <f>'По платам'!J35*$L$1</f>
        <v>0</v>
      </c>
      <c r="M33" s="29">
        <f>'По платам'!K35*$M$1</f>
        <v>0</v>
      </c>
      <c r="N33" s="29">
        <f>'По платам'!L35*'Состав прибора'!$B$16</f>
        <v>0</v>
      </c>
    </row>
    <row r="34" spans="1:14">
      <c r="A34" s="16" t="s">
        <v>103</v>
      </c>
      <c r="C34" s="18" t="s">
        <v>2536</v>
      </c>
      <c r="D34" s="25">
        <f t="shared" si="0"/>
        <v>0</v>
      </c>
      <c r="E34" s="29">
        <f>'По платам'!C36*$E$1</f>
        <v>0</v>
      </c>
      <c r="F34" s="29">
        <f>'По платам'!D36*$F$1</f>
        <v>0</v>
      </c>
      <c r="G34" s="29">
        <f>'По платам'!E36*$G$1</f>
        <v>0</v>
      </c>
      <c r="H34" s="29">
        <f>'По платам'!F36*$H$1</f>
        <v>0</v>
      </c>
      <c r="I34" s="29">
        <f>'По платам'!G36*$I$1</f>
        <v>0</v>
      </c>
      <c r="J34" s="29">
        <f>'По платам'!H36*$J$1</f>
        <v>0</v>
      </c>
      <c r="K34" s="29">
        <f>'По платам'!I36*$K$1</f>
        <v>0</v>
      </c>
      <c r="L34" s="29">
        <f>'По платам'!J36*$L$1</f>
        <v>0</v>
      </c>
      <c r="M34" s="29">
        <f>'По платам'!K36*$M$1</f>
        <v>0</v>
      </c>
      <c r="N34" s="29">
        <f>'По платам'!L36*'Состав прибора'!$B$16</f>
        <v>0</v>
      </c>
    </row>
    <row r="35" spans="1:14">
      <c r="A35" s="16" t="s">
        <v>103</v>
      </c>
      <c r="C35" s="18" t="s">
        <v>2505</v>
      </c>
      <c r="D35" s="25">
        <f t="shared" si="0"/>
        <v>0</v>
      </c>
      <c r="E35" s="29">
        <f>'По платам'!C37*$E$1</f>
        <v>0</v>
      </c>
      <c r="F35" s="29">
        <f>'По платам'!D37*$F$1</f>
        <v>0</v>
      </c>
      <c r="G35" s="29">
        <f>'По платам'!E37*$G$1</f>
        <v>0</v>
      </c>
      <c r="H35" s="29">
        <f>'По платам'!F37*$H$1</f>
        <v>0</v>
      </c>
      <c r="I35" s="29">
        <f>'По платам'!G37*$I$1</f>
        <v>0</v>
      </c>
      <c r="J35" s="29">
        <f>'По платам'!H37*$J$1</f>
        <v>0</v>
      </c>
      <c r="K35" s="29">
        <f>'По платам'!I37*$K$1</f>
        <v>0</v>
      </c>
      <c r="L35" s="29">
        <f>'По платам'!J37*$L$1</f>
        <v>0</v>
      </c>
      <c r="M35" s="29">
        <f>'По платам'!K37*$M$1</f>
        <v>0</v>
      </c>
      <c r="N35" s="29">
        <f>'По платам'!L37*'Состав прибора'!$B$16</f>
        <v>0</v>
      </c>
    </row>
    <row r="36" spans="1:14">
      <c r="A36" s="16" t="s">
        <v>103</v>
      </c>
      <c r="C36" s="18" t="s">
        <v>2575</v>
      </c>
      <c r="D36" s="25">
        <f t="shared" si="0"/>
        <v>0</v>
      </c>
      <c r="E36" s="29">
        <f>'По платам'!C38*$E$1</f>
        <v>0</v>
      </c>
      <c r="F36" s="29">
        <f>'По платам'!D38*$F$1</f>
        <v>0</v>
      </c>
      <c r="G36" s="29">
        <f>'По платам'!E38*$G$1</f>
        <v>0</v>
      </c>
      <c r="H36" s="29">
        <f>'По платам'!F38*$H$1</f>
        <v>0</v>
      </c>
      <c r="I36" s="29">
        <f>'По платам'!G38*$I$1</f>
        <v>0</v>
      </c>
      <c r="J36" s="29">
        <f>'По платам'!H38*$J$1</f>
        <v>0</v>
      </c>
      <c r="K36" s="29">
        <f>'По платам'!I38*$K$1</f>
        <v>0</v>
      </c>
      <c r="L36" s="29">
        <f>'По платам'!J38*$L$1</f>
        <v>0</v>
      </c>
      <c r="M36" s="29">
        <f>'По платам'!K38*$M$1</f>
        <v>0</v>
      </c>
      <c r="N36" s="29">
        <f>'По платам'!L38*'Состав прибора'!$B$16</f>
        <v>0</v>
      </c>
    </row>
    <row r="37" spans="1:14">
      <c r="A37" s="16" t="s">
        <v>103</v>
      </c>
      <c r="C37" s="18" t="s">
        <v>2501</v>
      </c>
      <c r="D37" s="25">
        <f t="shared" si="0"/>
        <v>0</v>
      </c>
      <c r="E37" s="29">
        <f>'По платам'!C39*$E$1</f>
        <v>0</v>
      </c>
      <c r="F37" s="29">
        <f>'По платам'!D39*$F$1</f>
        <v>0</v>
      </c>
      <c r="G37" s="29">
        <f>'По платам'!E39*$G$1</f>
        <v>0</v>
      </c>
      <c r="H37" s="29">
        <f>'По платам'!F39*$H$1</f>
        <v>0</v>
      </c>
      <c r="I37" s="29">
        <f>'По платам'!G39*$I$1</f>
        <v>0</v>
      </c>
      <c r="J37" s="29">
        <f>'По платам'!H39*$J$1</f>
        <v>0</v>
      </c>
      <c r="K37" s="29">
        <f>'По платам'!I39*$K$1</f>
        <v>0</v>
      </c>
      <c r="L37" s="29">
        <f>'По платам'!J39*$L$1</f>
        <v>0</v>
      </c>
      <c r="M37" s="29">
        <f>'По платам'!K39*$M$1</f>
        <v>0</v>
      </c>
      <c r="N37" s="29">
        <f>'По платам'!L39*'Состав прибора'!$B$16</f>
        <v>0</v>
      </c>
    </row>
    <row r="38" spans="1:14">
      <c r="A38" s="16" t="s">
        <v>103</v>
      </c>
      <c r="C38" s="18" t="s">
        <v>2550</v>
      </c>
      <c r="D38" s="25">
        <f t="shared" si="0"/>
        <v>0</v>
      </c>
      <c r="E38" s="29">
        <f>'По платам'!C40*$E$1</f>
        <v>0</v>
      </c>
      <c r="F38" s="29">
        <f>'По платам'!D40*$F$1</f>
        <v>0</v>
      </c>
      <c r="G38" s="29">
        <f>'По платам'!E40*$G$1</f>
        <v>0</v>
      </c>
      <c r="H38" s="29">
        <f>'По платам'!F40*$H$1</f>
        <v>0</v>
      </c>
      <c r="I38" s="29">
        <f>'По платам'!G40*$I$1</f>
        <v>0</v>
      </c>
      <c r="J38" s="29">
        <f>'По платам'!H40*$J$1</f>
        <v>0</v>
      </c>
      <c r="K38" s="29">
        <f>'По платам'!I40*$K$1</f>
        <v>0</v>
      </c>
      <c r="L38" s="29">
        <f>'По платам'!J40*$L$1</f>
        <v>0</v>
      </c>
      <c r="M38" s="29">
        <f>'По платам'!K40*$M$1</f>
        <v>0</v>
      </c>
      <c r="N38" s="29">
        <f>'По платам'!L40*'Состав прибора'!$B$16</f>
        <v>0</v>
      </c>
    </row>
    <row r="39" spans="1:14">
      <c r="A39" s="16" t="s">
        <v>103</v>
      </c>
      <c r="C39" s="18" t="s">
        <v>2540</v>
      </c>
      <c r="D39" s="25">
        <f t="shared" si="0"/>
        <v>0</v>
      </c>
      <c r="E39" s="29">
        <f>'По платам'!C41*$E$1</f>
        <v>0</v>
      </c>
      <c r="F39" s="29">
        <f>'По платам'!D41*$F$1</f>
        <v>0</v>
      </c>
      <c r="G39" s="29">
        <f>'По платам'!E41*$G$1</f>
        <v>0</v>
      </c>
      <c r="H39" s="29">
        <f>'По платам'!F41*$H$1</f>
        <v>0</v>
      </c>
      <c r="I39" s="29">
        <f>'По платам'!G41*$I$1</f>
        <v>0</v>
      </c>
      <c r="J39" s="29">
        <f>'По платам'!H41*$J$1</f>
        <v>0</v>
      </c>
      <c r="K39" s="29">
        <f>'По платам'!I41*$K$1</f>
        <v>0</v>
      </c>
      <c r="L39" s="29">
        <f>'По платам'!J41*$L$1</f>
        <v>0</v>
      </c>
      <c r="M39" s="29">
        <f>'По платам'!K41*$M$1</f>
        <v>0</v>
      </c>
      <c r="N39" s="29">
        <f>'По платам'!L41*'Состав прибора'!$B$16</f>
        <v>0</v>
      </c>
    </row>
    <row r="40" spans="1:14">
      <c r="A40" s="16" t="s">
        <v>103</v>
      </c>
      <c r="C40" s="18" t="s">
        <v>2561</v>
      </c>
      <c r="D40" s="25">
        <f t="shared" si="0"/>
        <v>0</v>
      </c>
      <c r="E40" s="29">
        <f>'По платам'!C42*$E$1</f>
        <v>0</v>
      </c>
      <c r="F40" s="29">
        <f>'По платам'!D42*$F$1</f>
        <v>0</v>
      </c>
      <c r="G40" s="29">
        <f>'По платам'!E42*$G$1</f>
        <v>0</v>
      </c>
      <c r="H40" s="29">
        <f>'По платам'!F42*$H$1</f>
        <v>0</v>
      </c>
      <c r="I40" s="29">
        <f>'По платам'!G42*$I$1</f>
        <v>0</v>
      </c>
      <c r="J40" s="29">
        <f>'По платам'!H42*$J$1</f>
        <v>0</v>
      </c>
      <c r="K40" s="29">
        <f>'По платам'!I42*$K$1</f>
        <v>0</v>
      </c>
      <c r="L40" s="29">
        <f>'По платам'!J42*$L$1</f>
        <v>0</v>
      </c>
      <c r="M40" s="29">
        <f>'По платам'!K42*$M$1</f>
        <v>0</v>
      </c>
      <c r="N40" s="29">
        <f>'По платам'!L42*'Состав прибора'!$B$16</f>
        <v>0</v>
      </c>
    </row>
    <row r="41" spans="1:14">
      <c r="A41" s="16" t="s">
        <v>103</v>
      </c>
      <c r="C41" s="18" t="s">
        <v>1827</v>
      </c>
      <c r="D41" s="25">
        <f t="shared" si="0"/>
        <v>0</v>
      </c>
      <c r="E41" s="29">
        <f>'По платам'!C43*$E$1</f>
        <v>0</v>
      </c>
      <c r="F41" s="29">
        <f>'По платам'!D43*$F$1</f>
        <v>0</v>
      </c>
      <c r="G41" s="29">
        <f>'По платам'!E43*$G$1</f>
        <v>0</v>
      </c>
      <c r="H41" s="29">
        <f>'По платам'!F43*$H$1</f>
        <v>0</v>
      </c>
      <c r="I41" s="29">
        <f>'По платам'!G43*$I$1</f>
        <v>0</v>
      </c>
      <c r="J41" s="29">
        <f>'По платам'!H43*$J$1</f>
        <v>0</v>
      </c>
      <c r="K41" s="29">
        <f>'По платам'!I43*$K$1</f>
        <v>0</v>
      </c>
      <c r="L41" s="29">
        <f>'По платам'!J43*$L$1</f>
        <v>0</v>
      </c>
      <c r="M41" s="29">
        <f>'По платам'!K43*$M$1</f>
        <v>0</v>
      </c>
      <c r="N41" s="29">
        <f>'По платам'!L43*'Состав прибора'!$B$16</f>
        <v>0</v>
      </c>
    </row>
    <row r="42" spans="1:14">
      <c r="A42" s="16" t="s">
        <v>103</v>
      </c>
      <c r="C42" s="18" t="s">
        <v>2566</v>
      </c>
      <c r="D42" s="25">
        <f t="shared" si="0"/>
        <v>0</v>
      </c>
      <c r="E42" s="29">
        <f>'По платам'!C44*$E$1</f>
        <v>0</v>
      </c>
      <c r="F42" s="29">
        <f>'По платам'!D44*$F$1</f>
        <v>0</v>
      </c>
      <c r="G42" s="29">
        <f>'По платам'!E44*$G$1</f>
        <v>0</v>
      </c>
      <c r="H42" s="29">
        <f>'По платам'!F44*$H$1</f>
        <v>0</v>
      </c>
      <c r="I42" s="29">
        <f>'По платам'!G44*$I$1</f>
        <v>0</v>
      </c>
      <c r="J42" s="29">
        <f>'По платам'!H44*$J$1</f>
        <v>0</v>
      </c>
      <c r="K42" s="29">
        <f>'По платам'!I44*$K$1</f>
        <v>0</v>
      </c>
      <c r="L42" s="29">
        <f>'По платам'!J44*$L$1</f>
        <v>0</v>
      </c>
      <c r="M42" s="29">
        <f>'По платам'!K44*$M$1</f>
        <v>0</v>
      </c>
      <c r="N42" s="29">
        <f>'По платам'!L44*'Состав прибора'!$B$16</f>
        <v>0</v>
      </c>
    </row>
    <row r="43" spans="1:14">
      <c r="A43" s="16" t="s">
        <v>103</v>
      </c>
      <c r="C43" s="18" t="s">
        <v>1831</v>
      </c>
      <c r="D43" s="25">
        <f t="shared" si="0"/>
        <v>0</v>
      </c>
      <c r="E43" s="29">
        <f>'По платам'!C45*$E$1</f>
        <v>0</v>
      </c>
      <c r="F43" s="29">
        <f>'По платам'!D45*$F$1</f>
        <v>0</v>
      </c>
      <c r="G43" s="29">
        <f>'По платам'!E45*$G$1</f>
        <v>0</v>
      </c>
      <c r="H43" s="29">
        <f>'По платам'!F45*$H$1</f>
        <v>0</v>
      </c>
      <c r="I43" s="29">
        <f>'По платам'!G45*$I$1</f>
        <v>0</v>
      </c>
      <c r="J43" s="29">
        <f>'По платам'!H45*$J$1</f>
        <v>0</v>
      </c>
      <c r="K43" s="29">
        <f>'По платам'!I45*$K$1</f>
        <v>0</v>
      </c>
      <c r="L43" s="29">
        <f>'По платам'!J45*$L$1</f>
        <v>0</v>
      </c>
      <c r="M43" s="29">
        <f>'По платам'!K45*$M$1</f>
        <v>0</v>
      </c>
      <c r="N43" s="29">
        <f>'По платам'!L45*'Состав прибора'!$B$16</f>
        <v>0</v>
      </c>
    </row>
    <row r="44" spans="1:14">
      <c r="A44" s="16" t="s">
        <v>103</v>
      </c>
      <c r="C44" s="18" t="s">
        <v>2515</v>
      </c>
      <c r="D44" s="25">
        <f t="shared" si="0"/>
        <v>0</v>
      </c>
      <c r="E44" s="29">
        <f>'По платам'!C46*$E$1</f>
        <v>0</v>
      </c>
      <c r="F44" s="29">
        <f>'По платам'!D46*$F$1</f>
        <v>0</v>
      </c>
      <c r="G44" s="29">
        <f>'По платам'!E46*$G$1</f>
        <v>0</v>
      </c>
      <c r="H44" s="29">
        <f>'По платам'!F46*$H$1</f>
        <v>0</v>
      </c>
      <c r="I44" s="29">
        <f>'По платам'!G46*$I$1</f>
        <v>0</v>
      </c>
      <c r="J44" s="29">
        <f>'По платам'!H46*$J$1</f>
        <v>0</v>
      </c>
      <c r="K44" s="29">
        <f>'По платам'!I46*$K$1</f>
        <v>0</v>
      </c>
      <c r="L44" s="29">
        <f>'По платам'!J46*$L$1</f>
        <v>0</v>
      </c>
      <c r="M44" s="29">
        <f>'По платам'!K46*$M$1</f>
        <v>0</v>
      </c>
      <c r="N44" s="29">
        <f>'По платам'!L46*'Состав прибора'!$B$16</f>
        <v>0</v>
      </c>
    </row>
    <row r="45" spans="1:14">
      <c r="A45" s="16" t="s">
        <v>103</v>
      </c>
      <c r="C45" s="18" t="s">
        <v>2580</v>
      </c>
      <c r="D45" s="25">
        <f t="shared" si="0"/>
        <v>0</v>
      </c>
      <c r="E45" s="29">
        <f>'По платам'!C47*$E$1</f>
        <v>0</v>
      </c>
      <c r="F45" s="29">
        <f>'По платам'!D47*$F$1</f>
        <v>0</v>
      </c>
      <c r="G45" s="29">
        <f>'По платам'!E47*$G$1</f>
        <v>0</v>
      </c>
      <c r="H45" s="29">
        <f>'По платам'!F47*$H$1</f>
        <v>0</v>
      </c>
      <c r="I45" s="29">
        <f>'По платам'!G47*$I$1</f>
        <v>0</v>
      </c>
      <c r="J45" s="29">
        <f>'По платам'!H47*$J$1</f>
        <v>0</v>
      </c>
      <c r="K45" s="29">
        <f>'По платам'!I47*$K$1</f>
        <v>0</v>
      </c>
      <c r="L45" s="29">
        <f>'По платам'!J47*$L$1</f>
        <v>0</v>
      </c>
      <c r="M45" s="29">
        <f>'По платам'!K47*$M$1</f>
        <v>0</v>
      </c>
      <c r="N45" s="29">
        <f>'По платам'!L47*'Состав прибора'!$B$16</f>
        <v>0</v>
      </c>
    </row>
    <row r="46" spans="1:14">
      <c r="A46" s="16" t="s">
        <v>103</v>
      </c>
      <c r="C46" s="18" t="s">
        <v>1370</v>
      </c>
      <c r="D46" s="25">
        <f t="shared" si="0"/>
        <v>2</v>
      </c>
      <c r="E46" s="29">
        <f>'По платам'!C48*$E$1</f>
        <v>0</v>
      </c>
      <c r="F46" s="29">
        <f>'По платам'!D48*$F$1</f>
        <v>0</v>
      </c>
      <c r="G46" s="29">
        <f>'По платам'!E48*$G$1</f>
        <v>0</v>
      </c>
      <c r="H46" s="29">
        <f>'По платам'!F48*$H$1</f>
        <v>2</v>
      </c>
      <c r="I46" s="29">
        <f>'По платам'!G48*$I$1</f>
        <v>0</v>
      </c>
      <c r="J46" s="29">
        <f>'По платам'!H48*$J$1</f>
        <v>0</v>
      </c>
      <c r="K46" s="29">
        <f>'По платам'!I48*$K$1</f>
        <v>0</v>
      </c>
      <c r="L46" s="29">
        <f>'По платам'!J48*$L$1</f>
        <v>0</v>
      </c>
      <c r="M46" s="29">
        <f>'По платам'!K48*$M$1</f>
        <v>0</v>
      </c>
      <c r="N46" s="29">
        <f>'По платам'!L48*'Состав прибора'!$B$16</f>
        <v>0</v>
      </c>
    </row>
    <row r="47" spans="1:14">
      <c r="A47" s="16" t="s">
        <v>2193</v>
      </c>
      <c r="C47" s="18" t="s">
        <v>2192</v>
      </c>
      <c r="D47" s="25">
        <f t="shared" si="0"/>
        <v>0</v>
      </c>
      <c r="E47" s="29">
        <f>'По платам'!C49*$E$1</f>
        <v>0</v>
      </c>
      <c r="F47" s="29">
        <f>'По платам'!D49*$F$1</f>
        <v>0</v>
      </c>
      <c r="G47" s="29">
        <f>'По платам'!E49*$G$1</f>
        <v>0</v>
      </c>
      <c r="H47" s="29">
        <f>'По платам'!F49*$H$1</f>
        <v>0</v>
      </c>
      <c r="I47" s="29">
        <f>'По платам'!G49*$I$1</f>
        <v>0</v>
      </c>
      <c r="J47" s="29">
        <f>'По платам'!H49*$J$1</f>
        <v>0</v>
      </c>
      <c r="K47" s="29">
        <f>'По платам'!I49*$K$1</f>
        <v>0</v>
      </c>
      <c r="L47" s="29">
        <f>'По платам'!J49*$L$1</f>
        <v>0</v>
      </c>
      <c r="M47" s="29">
        <f>'По платам'!K49*$M$1</f>
        <v>0</v>
      </c>
      <c r="N47" s="29">
        <f>'По платам'!L49*'Состав прибора'!$B$16</f>
        <v>0</v>
      </c>
    </row>
    <row r="48" spans="1:14">
      <c r="A48" s="16" t="s">
        <v>2047</v>
      </c>
      <c r="C48" s="18" t="s">
        <v>2046</v>
      </c>
      <c r="D48" s="25">
        <f t="shared" si="0"/>
        <v>0</v>
      </c>
      <c r="E48" s="29">
        <f>'По платам'!C50*$E$1</f>
        <v>0</v>
      </c>
      <c r="F48" s="29">
        <f>'По платам'!D50*$F$1</f>
        <v>0</v>
      </c>
      <c r="G48" s="29">
        <f>'По платам'!E50*$G$1</f>
        <v>0</v>
      </c>
      <c r="H48" s="29">
        <f>'По платам'!F50*$H$1</f>
        <v>0</v>
      </c>
      <c r="I48" s="29">
        <f>'По платам'!G50*$I$1</f>
        <v>0</v>
      </c>
      <c r="J48" s="29">
        <f>'По платам'!H50*$J$1</f>
        <v>0</v>
      </c>
      <c r="K48" s="29">
        <f>'По платам'!I50*$K$1</f>
        <v>0</v>
      </c>
      <c r="L48" s="29">
        <f>'По платам'!J50*$L$1</f>
        <v>0</v>
      </c>
      <c r="M48" s="29">
        <f>'По платам'!K50*$M$1</f>
        <v>0</v>
      </c>
      <c r="N48" s="29">
        <f>'По платам'!L50*'Состав прибора'!$B$16</f>
        <v>0</v>
      </c>
    </row>
    <row r="49" spans="1:14">
      <c r="A49" s="16" t="s">
        <v>292</v>
      </c>
      <c r="C49" s="18" t="s">
        <v>291</v>
      </c>
      <c r="D49" s="25">
        <f t="shared" si="0"/>
        <v>57</v>
      </c>
      <c r="E49" s="29">
        <f>'По платам'!C51*$E$1</f>
        <v>0</v>
      </c>
      <c r="F49" s="29">
        <f>'По платам'!D51*$F$1</f>
        <v>0</v>
      </c>
      <c r="G49" s="29">
        <f>'По платам'!E51*$G$1</f>
        <v>0</v>
      </c>
      <c r="H49" s="29">
        <f>'По платам'!F51*$H$1</f>
        <v>0</v>
      </c>
      <c r="I49" s="29">
        <f>'По платам'!G51*$I$1</f>
        <v>0</v>
      </c>
      <c r="J49" s="29">
        <f>'По платам'!H51*$J$1</f>
        <v>0</v>
      </c>
      <c r="K49" s="29">
        <f>'По платам'!I51*$K$1</f>
        <v>35</v>
      </c>
      <c r="L49" s="29">
        <f>'По платам'!J51*$L$1</f>
        <v>22</v>
      </c>
      <c r="M49" s="29">
        <f>'По платам'!K51*$M$1</f>
        <v>0</v>
      </c>
      <c r="N49" s="29">
        <f>'По платам'!L51*'Состав прибора'!$B$16</f>
        <v>0</v>
      </c>
    </row>
    <row r="50" spans="1:14">
      <c r="A50" s="16" t="s">
        <v>3031</v>
      </c>
      <c r="C50" s="18" t="s">
        <v>2351</v>
      </c>
      <c r="D50" s="25">
        <f t="shared" si="0"/>
        <v>0</v>
      </c>
      <c r="E50" s="29">
        <f>'По платам'!C52*$E$1</f>
        <v>0</v>
      </c>
      <c r="F50" s="29">
        <f>'По платам'!D52*$F$1</f>
        <v>0</v>
      </c>
      <c r="G50" s="29">
        <f>'По платам'!E52*$G$1</f>
        <v>0</v>
      </c>
      <c r="H50" s="29">
        <f>'По платам'!F52*$H$1</f>
        <v>0</v>
      </c>
      <c r="I50" s="29">
        <f>'По платам'!G52*$I$1</f>
        <v>0</v>
      </c>
      <c r="J50" s="29">
        <f>'По платам'!H52*$J$1</f>
        <v>0</v>
      </c>
      <c r="K50" s="29">
        <f>'По платам'!I52*$K$1</f>
        <v>0</v>
      </c>
      <c r="L50" s="29">
        <f>'По платам'!J52*$L$1</f>
        <v>0</v>
      </c>
      <c r="M50" s="29">
        <f>'По платам'!K52*$M$1</f>
        <v>0</v>
      </c>
      <c r="N50" s="29">
        <f>'По платам'!L52*'Состав прибора'!$B$16</f>
        <v>0</v>
      </c>
    </row>
    <row r="51" spans="1:14">
      <c r="A51" s="16" t="s">
        <v>3031</v>
      </c>
      <c r="C51" s="18" t="s">
        <v>2346</v>
      </c>
      <c r="D51" s="25">
        <f t="shared" si="0"/>
        <v>0</v>
      </c>
      <c r="E51" s="29">
        <f>'По платам'!C53*$E$1</f>
        <v>0</v>
      </c>
      <c r="F51" s="29">
        <f>'По платам'!D53*$F$1</f>
        <v>0</v>
      </c>
      <c r="G51" s="29">
        <f>'По платам'!E53*$G$1</f>
        <v>0</v>
      </c>
      <c r="H51" s="29">
        <f>'По платам'!F53*$H$1</f>
        <v>0</v>
      </c>
      <c r="I51" s="29">
        <f>'По платам'!G53*$I$1</f>
        <v>0</v>
      </c>
      <c r="J51" s="29">
        <f>'По платам'!H53*$J$1</f>
        <v>0</v>
      </c>
      <c r="K51" s="29">
        <f>'По платам'!I53*$K$1</f>
        <v>0</v>
      </c>
      <c r="L51" s="29">
        <f>'По платам'!J53*$L$1</f>
        <v>0</v>
      </c>
      <c r="M51" s="29">
        <f>'По платам'!K53*$M$1</f>
        <v>0</v>
      </c>
      <c r="N51" s="29">
        <f>'По платам'!L53*'Состав прибора'!$B$16</f>
        <v>0</v>
      </c>
    </row>
    <row r="52" spans="1:14">
      <c r="A52" s="16" t="s">
        <v>3032</v>
      </c>
      <c r="C52" s="18" t="s">
        <v>2355</v>
      </c>
      <c r="D52" s="25">
        <f t="shared" si="0"/>
        <v>0</v>
      </c>
      <c r="E52" s="29">
        <f>'По платам'!C54*$E$1</f>
        <v>0</v>
      </c>
      <c r="F52" s="29">
        <f>'По платам'!D54*$F$1</f>
        <v>0</v>
      </c>
      <c r="G52" s="29">
        <f>'По платам'!E54*$G$1</f>
        <v>0</v>
      </c>
      <c r="H52" s="29">
        <f>'По платам'!F54*$H$1</f>
        <v>0</v>
      </c>
      <c r="I52" s="29">
        <f>'По платам'!G54*$I$1</f>
        <v>0</v>
      </c>
      <c r="J52" s="29">
        <f>'По платам'!H54*$J$1</f>
        <v>0</v>
      </c>
      <c r="K52" s="29">
        <f>'По платам'!I54*$K$1</f>
        <v>0</v>
      </c>
      <c r="L52" s="29">
        <f>'По платам'!J54*$L$1</f>
        <v>0</v>
      </c>
      <c r="M52" s="29">
        <f>'По платам'!K54*$M$1</f>
        <v>0</v>
      </c>
      <c r="N52" s="29">
        <f>'По платам'!L54*'Состав прибора'!$B$16</f>
        <v>0</v>
      </c>
    </row>
    <row r="53" spans="1:14">
      <c r="A53" s="16" t="s">
        <v>1680</v>
      </c>
      <c r="C53" s="18" t="s">
        <v>1699</v>
      </c>
      <c r="D53" s="25">
        <f t="shared" si="0"/>
        <v>0</v>
      </c>
      <c r="E53" s="29">
        <f>'По платам'!C55*$E$1</f>
        <v>0</v>
      </c>
      <c r="F53" s="29">
        <f>'По платам'!D55*$F$1</f>
        <v>0</v>
      </c>
      <c r="G53" s="29">
        <f>'По платам'!E55*$G$1</f>
        <v>0</v>
      </c>
      <c r="H53" s="29">
        <f>'По платам'!F55*$H$1</f>
        <v>0</v>
      </c>
      <c r="I53" s="29">
        <f>'По платам'!G55*$I$1</f>
        <v>0</v>
      </c>
      <c r="J53" s="29">
        <f>'По платам'!H55*$J$1</f>
        <v>0</v>
      </c>
      <c r="K53" s="29">
        <f>'По платам'!I55*$K$1</f>
        <v>0</v>
      </c>
      <c r="L53" s="29">
        <f>'По платам'!J55*$L$1</f>
        <v>0</v>
      </c>
      <c r="M53" s="29">
        <f>'По платам'!K55*$M$1</f>
        <v>0</v>
      </c>
      <c r="N53" s="29">
        <f>'По платам'!L55*'Состав прибора'!$B$16</f>
        <v>0</v>
      </c>
    </row>
    <row r="54" spans="1:14">
      <c r="A54" s="16" t="s">
        <v>1680</v>
      </c>
      <c r="C54" s="18" t="s">
        <v>1688</v>
      </c>
      <c r="D54" s="25">
        <f t="shared" si="0"/>
        <v>0</v>
      </c>
      <c r="E54" s="29">
        <f>'По платам'!C56*$E$1</f>
        <v>0</v>
      </c>
      <c r="F54" s="29">
        <f>'По платам'!D56*$F$1</f>
        <v>0</v>
      </c>
      <c r="G54" s="29">
        <f>'По платам'!E56*$G$1</f>
        <v>0</v>
      </c>
      <c r="H54" s="29">
        <f>'По платам'!F56*$H$1</f>
        <v>0</v>
      </c>
      <c r="I54" s="29">
        <f>'По платам'!G56*$I$1</f>
        <v>0</v>
      </c>
      <c r="J54" s="29">
        <f>'По платам'!H56*$J$1</f>
        <v>0</v>
      </c>
      <c r="K54" s="29">
        <f>'По платам'!I56*$K$1</f>
        <v>0</v>
      </c>
      <c r="L54" s="29">
        <f>'По платам'!J56*$L$1</f>
        <v>0</v>
      </c>
      <c r="M54" s="29">
        <f>'По платам'!K56*$M$1</f>
        <v>0</v>
      </c>
      <c r="N54" s="29">
        <f>'По платам'!L56*'Состав прибора'!$B$16</f>
        <v>0</v>
      </c>
    </row>
    <row r="55" spans="1:14">
      <c r="A55" s="16" t="s">
        <v>1680</v>
      </c>
      <c r="C55" s="18" t="s">
        <v>1679</v>
      </c>
      <c r="D55" s="25">
        <f t="shared" si="0"/>
        <v>0</v>
      </c>
      <c r="E55" s="29">
        <f>'По платам'!C57*$E$1</f>
        <v>0</v>
      </c>
      <c r="F55" s="29">
        <f>'По платам'!D57*$F$1</f>
        <v>0</v>
      </c>
      <c r="G55" s="29">
        <f>'По платам'!E57*$G$1</f>
        <v>0</v>
      </c>
      <c r="H55" s="29">
        <f>'По платам'!F57*$H$1</f>
        <v>0</v>
      </c>
      <c r="I55" s="29">
        <f>'По платам'!G57*$I$1</f>
        <v>0</v>
      </c>
      <c r="J55" s="29">
        <f>'По платам'!H57*$J$1</f>
        <v>0</v>
      </c>
      <c r="K55" s="29">
        <f>'По платам'!I57*$K$1</f>
        <v>0</v>
      </c>
      <c r="L55" s="29">
        <f>'По платам'!J57*$L$1</f>
        <v>0</v>
      </c>
      <c r="M55" s="29">
        <f>'По платам'!K57*$M$1</f>
        <v>0</v>
      </c>
      <c r="N55" s="29">
        <f>'По платам'!L57*'Состав прибора'!$B$16</f>
        <v>0</v>
      </c>
    </row>
    <row r="56" spans="1:14">
      <c r="A56" s="16" t="s">
        <v>1680</v>
      </c>
      <c r="C56" s="18" t="s">
        <v>1684</v>
      </c>
      <c r="D56" s="25">
        <f t="shared" si="0"/>
        <v>0</v>
      </c>
      <c r="E56" s="29">
        <f>'По платам'!C58*$E$1</f>
        <v>0</v>
      </c>
      <c r="F56" s="29">
        <f>'По платам'!D58*$F$1</f>
        <v>0</v>
      </c>
      <c r="G56" s="29">
        <f>'По платам'!E58*$G$1</f>
        <v>0</v>
      </c>
      <c r="H56" s="29">
        <f>'По платам'!F58*$H$1</f>
        <v>0</v>
      </c>
      <c r="I56" s="29">
        <f>'По платам'!G58*$I$1</f>
        <v>0</v>
      </c>
      <c r="J56" s="29">
        <f>'По платам'!H58*$J$1</f>
        <v>0</v>
      </c>
      <c r="K56" s="29">
        <f>'По платам'!I58*$K$1</f>
        <v>0</v>
      </c>
      <c r="L56" s="29">
        <f>'По платам'!J58*$L$1</f>
        <v>0</v>
      </c>
      <c r="M56" s="29">
        <f>'По платам'!K58*$M$1</f>
        <v>0</v>
      </c>
      <c r="N56" s="29">
        <f>'По платам'!L58*'Состав прибора'!$B$16</f>
        <v>0</v>
      </c>
    </row>
    <row r="57" spans="1:14">
      <c r="A57" s="16" t="s">
        <v>3033</v>
      </c>
      <c r="C57" s="18" t="s">
        <v>2360</v>
      </c>
      <c r="D57" s="25">
        <f t="shared" si="0"/>
        <v>0</v>
      </c>
      <c r="E57" s="29">
        <f>'По платам'!C59*$E$1</f>
        <v>0</v>
      </c>
      <c r="F57" s="29">
        <f>'По платам'!D59*$F$1</f>
        <v>0</v>
      </c>
      <c r="G57" s="29">
        <f>'По платам'!E59*$G$1</f>
        <v>0</v>
      </c>
      <c r="H57" s="29">
        <f>'По платам'!F59*$H$1</f>
        <v>0</v>
      </c>
      <c r="I57" s="29">
        <f>'По платам'!G59*$I$1</f>
        <v>0</v>
      </c>
      <c r="J57" s="29">
        <f>'По платам'!H59*$J$1</f>
        <v>0</v>
      </c>
      <c r="K57" s="29">
        <f>'По платам'!I59*$K$1</f>
        <v>0</v>
      </c>
      <c r="L57" s="29">
        <f>'По платам'!J59*$L$1</f>
        <v>0</v>
      </c>
      <c r="M57" s="29">
        <f>'По платам'!K59*$M$1</f>
        <v>0</v>
      </c>
      <c r="N57" s="29">
        <f>'По платам'!L59*'Состав прибора'!$B$16</f>
        <v>0</v>
      </c>
    </row>
    <row r="58" spans="1:14">
      <c r="A58" s="16" t="s">
        <v>3034</v>
      </c>
      <c r="C58" s="18" t="s">
        <v>2706</v>
      </c>
      <c r="D58" s="25">
        <f t="shared" si="0"/>
        <v>0</v>
      </c>
      <c r="E58" s="29">
        <f>'По платам'!C60*$E$1</f>
        <v>0</v>
      </c>
      <c r="F58" s="29">
        <f>'По платам'!D60*$F$1</f>
        <v>0</v>
      </c>
      <c r="G58" s="29">
        <f>'По платам'!E60*$G$1</f>
        <v>0</v>
      </c>
      <c r="H58" s="29">
        <f>'По платам'!F60*$H$1</f>
        <v>0</v>
      </c>
      <c r="I58" s="29">
        <f>'По платам'!G60*$I$1</f>
        <v>0</v>
      </c>
      <c r="J58" s="29">
        <f>'По платам'!H60*$J$1</f>
        <v>0</v>
      </c>
      <c r="K58" s="29">
        <f>'По платам'!I60*$K$1</f>
        <v>0</v>
      </c>
      <c r="L58" s="29">
        <f>'По платам'!J60*$L$1</f>
        <v>0</v>
      </c>
      <c r="M58" s="29">
        <f>'По платам'!K60*$M$1</f>
        <v>0</v>
      </c>
      <c r="N58" s="29">
        <f>'По платам'!L60*'Состав прибора'!$B$16</f>
        <v>0</v>
      </c>
    </row>
    <row r="59" spans="1:14">
      <c r="A59" s="16" t="s">
        <v>3034</v>
      </c>
      <c r="C59" s="18" t="s">
        <v>2782</v>
      </c>
      <c r="D59" s="25">
        <f t="shared" si="0"/>
        <v>0</v>
      </c>
      <c r="E59" s="29">
        <f>'По платам'!C61*$E$1</f>
        <v>0</v>
      </c>
      <c r="F59" s="29">
        <f>'По платам'!D61*$F$1</f>
        <v>0</v>
      </c>
      <c r="G59" s="29">
        <f>'По платам'!E61*$G$1</f>
        <v>0</v>
      </c>
      <c r="H59" s="29">
        <f>'По платам'!F61*$H$1</f>
        <v>0</v>
      </c>
      <c r="I59" s="29">
        <f>'По платам'!G61*$I$1</f>
        <v>0</v>
      </c>
      <c r="J59" s="29">
        <f>'По платам'!H61*$J$1</f>
        <v>0</v>
      </c>
      <c r="K59" s="29">
        <f>'По платам'!I61*$K$1</f>
        <v>0</v>
      </c>
      <c r="L59" s="29">
        <f>'По платам'!J61*$L$1</f>
        <v>0</v>
      </c>
      <c r="M59" s="29">
        <f>'По платам'!K61*$M$1</f>
        <v>0</v>
      </c>
      <c r="N59" s="29">
        <f>'По платам'!L61*'Состав прибора'!$B$16</f>
        <v>0</v>
      </c>
    </row>
    <row r="60" spans="1:14">
      <c r="A60" s="16" t="s">
        <v>3035</v>
      </c>
      <c r="C60" s="18" t="s">
        <v>1126</v>
      </c>
      <c r="D60" s="25">
        <f t="shared" si="0"/>
        <v>4</v>
      </c>
      <c r="E60" s="29">
        <f>'По платам'!C62*$E$1</f>
        <v>0</v>
      </c>
      <c r="F60" s="29">
        <f>'По платам'!D62*$F$1</f>
        <v>0</v>
      </c>
      <c r="G60" s="29">
        <f>'По платам'!E62*$G$1</f>
        <v>0</v>
      </c>
      <c r="H60" s="29">
        <f>'По платам'!F62*$H$1</f>
        <v>0</v>
      </c>
      <c r="I60" s="29">
        <f>'По платам'!G62*$I$1</f>
        <v>0</v>
      </c>
      <c r="J60" s="29">
        <f>'По платам'!H62*$J$1</f>
        <v>4</v>
      </c>
      <c r="K60" s="29">
        <f>'По платам'!I62*$K$1</f>
        <v>0</v>
      </c>
      <c r="L60" s="29">
        <f>'По платам'!J62*$L$1</f>
        <v>0</v>
      </c>
      <c r="M60" s="29">
        <f>'По платам'!K62*$M$1</f>
        <v>0</v>
      </c>
      <c r="N60" s="29">
        <f>'По платам'!L62*'Состав прибора'!$B$16</f>
        <v>0</v>
      </c>
    </row>
    <row r="61" spans="1:14">
      <c r="A61" s="16" t="s">
        <v>2664</v>
      </c>
      <c r="C61" s="18" t="s">
        <v>2663</v>
      </c>
      <c r="D61" s="25">
        <f t="shared" si="0"/>
        <v>0</v>
      </c>
      <c r="E61" s="29">
        <f>'По платам'!C63*$E$1</f>
        <v>0</v>
      </c>
      <c r="F61" s="29">
        <f>'По платам'!D63*$F$1</f>
        <v>0</v>
      </c>
      <c r="G61" s="29">
        <f>'По платам'!E63*$G$1</f>
        <v>0</v>
      </c>
      <c r="H61" s="29">
        <f>'По платам'!F63*$H$1</f>
        <v>0</v>
      </c>
      <c r="I61" s="29">
        <f>'По платам'!G63*$I$1</f>
        <v>0</v>
      </c>
      <c r="J61" s="29">
        <f>'По платам'!H63*$J$1</f>
        <v>0</v>
      </c>
      <c r="K61" s="29">
        <f>'По платам'!I63*$K$1</f>
        <v>0</v>
      </c>
      <c r="L61" s="29">
        <f>'По платам'!J63*$L$1</f>
        <v>0</v>
      </c>
      <c r="M61" s="29">
        <f>'По платам'!K63*$M$1</f>
        <v>0</v>
      </c>
      <c r="N61" s="29">
        <f>'По платам'!L63*'Состав прибора'!$B$16</f>
        <v>0</v>
      </c>
    </row>
    <row r="62" spans="1:14">
      <c r="A62" s="16" t="s">
        <v>2664</v>
      </c>
      <c r="C62" s="18" t="s">
        <v>2668</v>
      </c>
      <c r="D62" s="25">
        <f t="shared" si="0"/>
        <v>0</v>
      </c>
      <c r="E62" s="29">
        <f>'По платам'!C64*$E$1</f>
        <v>0</v>
      </c>
      <c r="F62" s="29">
        <f>'По платам'!D64*$F$1</f>
        <v>0</v>
      </c>
      <c r="G62" s="29">
        <f>'По платам'!E64*$G$1</f>
        <v>0</v>
      </c>
      <c r="H62" s="29">
        <f>'По платам'!F64*$H$1</f>
        <v>0</v>
      </c>
      <c r="I62" s="29">
        <f>'По платам'!G64*$I$1</f>
        <v>0</v>
      </c>
      <c r="J62" s="29">
        <f>'По платам'!H64*$J$1</f>
        <v>0</v>
      </c>
      <c r="K62" s="29">
        <f>'По платам'!I64*$K$1</f>
        <v>0</v>
      </c>
      <c r="L62" s="29">
        <f>'По платам'!J64*$L$1</f>
        <v>0</v>
      </c>
      <c r="M62" s="29">
        <f>'По платам'!K64*$M$1</f>
        <v>0</v>
      </c>
      <c r="N62" s="29">
        <f>'По платам'!L64*'Состав прибора'!$B$16</f>
        <v>0</v>
      </c>
    </row>
    <row r="63" spans="1:14">
      <c r="A63" s="16" t="s">
        <v>2072</v>
      </c>
      <c r="C63" s="18" t="s">
        <v>2071</v>
      </c>
      <c r="D63" s="25">
        <f t="shared" si="0"/>
        <v>0</v>
      </c>
      <c r="E63" s="29">
        <f>'По платам'!C65*$E$1</f>
        <v>0</v>
      </c>
      <c r="F63" s="29">
        <f>'По платам'!D65*$F$1</f>
        <v>0</v>
      </c>
      <c r="G63" s="29">
        <f>'По платам'!E65*$G$1</f>
        <v>0</v>
      </c>
      <c r="H63" s="29">
        <f>'По платам'!F65*$H$1</f>
        <v>0</v>
      </c>
      <c r="I63" s="29">
        <f>'По платам'!G65*$I$1</f>
        <v>0</v>
      </c>
      <c r="J63" s="29">
        <f>'По платам'!H65*$J$1</f>
        <v>0</v>
      </c>
      <c r="K63" s="29">
        <f>'По платам'!I65*$K$1</f>
        <v>0</v>
      </c>
      <c r="L63" s="29">
        <f>'По платам'!J65*$L$1</f>
        <v>0</v>
      </c>
      <c r="M63" s="29">
        <f>'По платам'!K65*$M$1</f>
        <v>0</v>
      </c>
      <c r="N63" s="29">
        <f>'По платам'!L65*'Состав прибора'!$B$16</f>
        <v>0</v>
      </c>
    </row>
    <row r="64" spans="1:14">
      <c r="A64" s="16" t="s">
        <v>1334</v>
      </c>
      <c r="C64" s="18" t="s">
        <v>1337</v>
      </c>
      <c r="D64" s="25">
        <f t="shared" si="0"/>
        <v>1</v>
      </c>
      <c r="E64" s="29">
        <f>'По платам'!C66*$E$1</f>
        <v>0</v>
      </c>
      <c r="F64" s="29">
        <f>'По платам'!D66*$F$1</f>
        <v>0</v>
      </c>
      <c r="G64" s="29">
        <f>'По платам'!E66*$G$1</f>
        <v>0</v>
      </c>
      <c r="H64" s="29">
        <f>'По платам'!F66*$H$1</f>
        <v>1</v>
      </c>
      <c r="I64" s="29">
        <f>'По платам'!G66*$I$1</f>
        <v>0</v>
      </c>
      <c r="J64" s="29">
        <f>'По платам'!H66*$J$1</f>
        <v>0</v>
      </c>
      <c r="K64" s="29">
        <f>'По платам'!I66*$K$1</f>
        <v>0</v>
      </c>
      <c r="L64" s="29">
        <f>'По платам'!J66*$L$1</f>
        <v>0</v>
      </c>
      <c r="M64" s="29">
        <f>'По платам'!K66*$M$1</f>
        <v>0</v>
      </c>
      <c r="N64" s="29">
        <f>'По платам'!L66*'Состав прибора'!$B$16</f>
        <v>0</v>
      </c>
    </row>
    <row r="65" spans="1:14">
      <c r="A65" s="16" t="s">
        <v>1334</v>
      </c>
      <c r="C65" s="18" t="s">
        <v>1333</v>
      </c>
      <c r="D65" s="25">
        <f t="shared" si="0"/>
        <v>1</v>
      </c>
      <c r="E65" s="29">
        <f>'По платам'!C67*$E$1</f>
        <v>0</v>
      </c>
      <c r="F65" s="29">
        <f>'По платам'!D67*$F$1</f>
        <v>0</v>
      </c>
      <c r="G65" s="29">
        <f>'По платам'!E67*$G$1</f>
        <v>0</v>
      </c>
      <c r="H65" s="29">
        <f>'По платам'!F67*$H$1</f>
        <v>1</v>
      </c>
      <c r="I65" s="29">
        <f>'По платам'!G67*$I$1</f>
        <v>0</v>
      </c>
      <c r="J65" s="29">
        <f>'По платам'!H67*$J$1</f>
        <v>0</v>
      </c>
      <c r="K65" s="29">
        <f>'По платам'!I67*$K$1</f>
        <v>0</v>
      </c>
      <c r="L65" s="29">
        <f>'По платам'!J67*$L$1</f>
        <v>0</v>
      </c>
      <c r="M65" s="29">
        <f>'По платам'!K67*$M$1</f>
        <v>0</v>
      </c>
      <c r="N65" s="29">
        <f>'По платам'!L67*'Состав прибора'!$B$16</f>
        <v>0</v>
      </c>
    </row>
    <row r="66" spans="1:14">
      <c r="A66" s="16" t="s">
        <v>324</v>
      </c>
      <c r="C66" s="18" t="s">
        <v>2244</v>
      </c>
      <c r="D66" s="25">
        <f t="shared" ref="D66:D129" si="1">SUM(E66:N66)</f>
        <v>0</v>
      </c>
      <c r="E66" s="29">
        <f>'По платам'!C68*$E$1</f>
        <v>0</v>
      </c>
      <c r="F66" s="29">
        <f>'По платам'!D68*$F$1</f>
        <v>0</v>
      </c>
      <c r="G66" s="29">
        <f>'По платам'!E68*$G$1</f>
        <v>0</v>
      </c>
      <c r="H66" s="29">
        <f>'По платам'!F68*$H$1</f>
        <v>0</v>
      </c>
      <c r="I66" s="29">
        <f>'По платам'!G68*$I$1</f>
        <v>0</v>
      </c>
      <c r="J66" s="29">
        <f>'По платам'!H68*$J$1</f>
        <v>0</v>
      </c>
      <c r="K66" s="29">
        <f>'По платам'!I68*$K$1</f>
        <v>0</v>
      </c>
      <c r="L66" s="29">
        <f>'По платам'!J68*$L$1</f>
        <v>0</v>
      </c>
      <c r="M66" s="29">
        <f>'По платам'!K68*$M$1</f>
        <v>0</v>
      </c>
      <c r="N66" s="29">
        <f>'По платам'!L68*'Состав прибора'!$B$16</f>
        <v>0</v>
      </c>
    </row>
    <row r="67" spans="1:14">
      <c r="A67" s="16" t="s">
        <v>324</v>
      </c>
      <c r="C67" s="18" t="s">
        <v>751</v>
      </c>
      <c r="D67" s="25">
        <f t="shared" si="1"/>
        <v>1</v>
      </c>
      <c r="E67" s="29">
        <f>'По платам'!C69*$E$1</f>
        <v>0</v>
      </c>
      <c r="F67" s="29">
        <f>'По платам'!D69*$F$1</f>
        <v>0</v>
      </c>
      <c r="G67" s="29">
        <f>'По платам'!E69*$G$1</f>
        <v>0</v>
      </c>
      <c r="H67" s="29">
        <f>'По платам'!F69*$H$1</f>
        <v>0</v>
      </c>
      <c r="I67" s="29">
        <f>'По платам'!G69*$I$1</f>
        <v>0</v>
      </c>
      <c r="J67" s="29">
        <f>'По платам'!H69*$J$1</f>
        <v>0</v>
      </c>
      <c r="K67" s="29">
        <f>'По платам'!I69*$K$1</f>
        <v>1</v>
      </c>
      <c r="L67" s="29">
        <f>'По платам'!J69*$L$1</f>
        <v>0</v>
      </c>
      <c r="M67" s="29">
        <f>'По платам'!K69*$M$1</f>
        <v>0</v>
      </c>
      <c r="N67" s="29">
        <f>'По платам'!L69*'Состав прибора'!$B$16</f>
        <v>0</v>
      </c>
    </row>
    <row r="68" spans="1:14">
      <c r="A68" s="16" t="s">
        <v>324</v>
      </c>
      <c r="C68" s="18" t="s">
        <v>355</v>
      </c>
      <c r="D68" s="25">
        <f t="shared" si="1"/>
        <v>9</v>
      </c>
      <c r="E68" s="29">
        <f>'По платам'!C70*$E$1</f>
        <v>0</v>
      </c>
      <c r="F68" s="29">
        <f>'По платам'!D70*$F$1</f>
        <v>0</v>
      </c>
      <c r="G68" s="29">
        <f>'По платам'!E70*$G$1</f>
        <v>0</v>
      </c>
      <c r="H68" s="29">
        <f>'По платам'!F70*$H$1</f>
        <v>0</v>
      </c>
      <c r="I68" s="29">
        <f>'По платам'!G70*$I$1</f>
        <v>2</v>
      </c>
      <c r="J68" s="29">
        <f>'По платам'!H70*$J$1</f>
        <v>0</v>
      </c>
      <c r="K68" s="29">
        <f>'По платам'!I70*$K$1</f>
        <v>4</v>
      </c>
      <c r="L68" s="29">
        <f>'По платам'!J70*$L$1</f>
        <v>3</v>
      </c>
      <c r="M68" s="29">
        <f>'По платам'!K70*$M$1</f>
        <v>0</v>
      </c>
      <c r="N68" s="29">
        <f>'По платам'!L70*'Состав прибора'!$B$16</f>
        <v>0</v>
      </c>
    </row>
    <row r="69" spans="1:14">
      <c r="A69" s="16" t="s">
        <v>324</v>
      </c>
      <c r="C69" s="18" t="s">
        <v>2205</v>
      </c>
      <c r="D69" s="25">
        <f t="shared" si="1"/>
        <v>0</v>
      </c>
      <c r="E69" s="29">
        <f>'По платам'!C71*$E$1</f>
        <v>0</v>
      </c>
      <c r="F69" s="29">
        <f>'По платам'!D71*$F$1</f>
        <v>0</v>
      </c>
      <c r="G69" s="29">
        <f>'По платам'!E71*$G$1</f>
        <v>0</v>
      </c>
      <c r="H69" s="29">
        <f>'По платам'!F71*$H$1</f>
        <v>0</v>
      </c>
      <c r="I69" s="29">
        <f>'По платам'!G71*$I$1</f>
        <v>0</v>
      </c>
      <c r="J69" s="29">
        <f>'По платам'!H71*$J$1</f>
        <v>0</v>
      </c>
      <c r="K69" s="29">
        <f>'По платам'!I71*$K$1</f>
        <v>0</v>
      </c>
      <c r="L69" s="29">
        <f>'По платам'!J71*$L$1</f>
        <v>0</v>
      </c>
      <c r="M69" s="29">
        <f>'По платам'!K71*$M$1</f>
        <v>0</v>
      </c>
      <c r="N69" s="29">
        <f>'По платам'!L71*'Состав прибора'!$B$16</f>
        <v>0</v>
      </c>
    </row>
    <row r="70" spans="1:14">
      <c r="A70" s="16" t="s">
        <v>324</v>
      </c>
      <c r="C70" s="18" t="s">
        <v>345</v>
      </c>
      <c r="D70" s="25">
        <f t="shared" si="1"/>
        <v>5</v>
      </c>
      <c r="E70" s="29">
        <f>'По платам'!C72*$E$1</f>
        <v>0</v>
      </c>
      <c r="F70" s="29">
        <f>'По платам'!D72*$F$1</f>
        <v>0</v>
      </c>
      <c r="G70" s="29">
        <f>'По платам'!E72*$G$1</f>
        <v>0</v>
      </c>
      <c r="H70" s="29">
        <f>'По платам'!F72*$H$1</f>
        <v>0</v>
      </c>
      <c r="I70" s="29">
        <f>'По платам'!G72*$I$1</f>
        <v>0</v>
      </c>
      <c r="J70" s="29">
        <f>'По платам'!H72*$J$1</f>
        <v>0</v>
      </c>
      <c r="K70" s="29">
        <f>'По платам'!I72*$K$1</f>
        <v>3</v>
      </c>
      <c r="L70" s="29">
        <f>'По платам'!J72*$L$1</f>
        <v>2</v>
      </c>
      <c r="M70" s="29">
        <f>'По платам'!K72*$M$1</f>
        <v>0</v>
      </c>
      <c r="N70" s="29">
        <f>'По платам'!L72*'Состав прибора'!$B$16</f>
        <v>0</v>
      </c>
    </row>
    <row r="71" spans="1:14">
      <c r="A71" s="16" t="s">
        <v>324</v>
      </c>
      <c r="C71" s="18" t="s">
        <v>1628</v>
      </c>
      <c r="D71" s="25">
        <f t="shared" si="1"/>
        <v>0</v>
      </c>
      <c r="E71" s="29">
        <f>'По платам'!C73*$E$1</f>
        <v>0</v>
      </c>
      <c r="F71" s="29">
        <f>'По платам'!D73*$F$1</f>
        <v>0</v>
      </c>
      <c r="G71" s="29">
        <f>'По платам'!E73*$G$1</f>
        <v>0</v>
      </c>
      <c r="H71" s="29">
        <f>'По платам'!F73*$H$1</f>
        <v>0</v>
      </c>
      <c r="I71" s="29">
        <f>'По платам'!G73*$I$1</f>
        <v>0</v>
      </c>
      <c r="J71" s="29">
        <f>'По платам'!H73*$J$1</f>
        <v>0</v>
      </c>
      <c r="K71" s="29">
        <f>'По платам'!I73*$K$1</f>
        <v>0</v>
      </c>
      <c r="L71" s="29">
        <f>'По платам'!J73*$L$1</f>
        <v>0</v>
      </c>
      <c r="M71" s="29">
        <f>'По платам'!K73*$M$1</f>
        <v>0</v>
      </c>
      <c r="N71" s="29">
        <f>'По платам'!L73*'Состав прибора'!$B$16</f>
        <v>0</v>
      </c>
    </row>
    <row r="72" spans="1:14">
      <c r="A72" s="16" t="s">
        <v>324</v>
      </c>
      <c r="C72" s="18" t="s">
        <v>330</v>
      </c>
      <c r="D72" s="25">
        <f t="shared" si="1"/>
        <v>5</v>
      </c>
      <c r="E72" s="29">
        <f>'По платам'!C74*$E$1</f>
        <v>0</v>
      </c>
      <c r="F72" s="29">
        <f>'По платам'!D74*$F$1</f>
        <v>0</v>
      </c>
      <c r="G72" s="29">
        <f>'По платам'!E74*$G$1</f>
        <v>0</v>
      </c>
      <c r="H72" s="29">
        <f>'По платам'!F74*$H$1</f>
        <v>0</v>
      </c>
      <c r="I72" s="29">
        <f>'По платам'!G74*$I$1</f>
        <v>2</v>
      </c>
      <c r="J72" s="29">
        <f>'По платам'!H74*$J$1</f>
        <v>0</v>
      </c>
      <c r="K72" s="29">
        <f>'По платам'!I74*$K$1</f>
        <v>1</v>
      </c>
      <c r="L72" s="29">
        <f>'По платам'!J74*$L$1</f>
        <v>2</v>
      </c>
      <c r="M72" s="29">
        <f>'По платам'!K74*$M$1</f>
        <v>0</v>
      </c>
      <c r="N72" s="29">
        <f>'По платам'!L74*'Состав прибора'!$B$16</f>
        <v>0</v>
      </c>
    </row>
    <row r="73" spans="1:14">
      <c r="A73" s="16" t="s">
        <v>324</v>
      </c>
      <c r="C73" s="18" t="s">
        <v>731</v>
      </c>
      <c r="D73" s="25">
        <f t="shared" si="1"/>
        <v>4</v>
      </c>
      <c r="E73" s="29">
        <f>'По платам'!C75*$E$1</f>
        <v>0</v>
      </c>
      <c r="F73" s="29">
        <f>'По платам'!D75*$F$1</f>
        <v>0</v>
      </c>
      <c r="G73" s="29">
        <f>'По платам'!E75*$G$1</f>
        <v>0</v>
      </c>
      <c r="H73" s="29">
        <f>'По платам'!F75*$H$1</f>
        <v>0</v>
      </c>
      <c r="I73" s="29">
        <f>'По платам'!G75*$I$1</f>
        <v>0</v>
      </c>
      <c r="J73" s="29">
        <f>'По платам'!H75*$J$1</f>
        <v>0</v>
      </c>
      <c r="K73" s="29">
        <f>'По платам'!I75*$K$1</f>
        <v>4</v>
      </c>
      <c r="L73" s="29">
        <f>'По платам'!J75*$L$1</f>
        <v>0</v>
      </c>
      <c r="M73" s="29">
        <f>'По платам'!K75*$M$1</f>
        <v>0</v>
      </c>
      <c r="N73" s="29">
        <f>'По платам'!L75*'Состав прибора'!$B$16</f>
        <v>0</v>
      </c>
    </row>
    <row r="74" spans="1:14">
      <c r="A74" s="16" t="s">
        <v>324</v>
      </c>
      <c r="C74" s="18" t="s">
        <v>2273</v>
      </c>
      <c r="D74" s="25">
        <f t="shared" si="1"/>
        <v>0</v>
      </c>
      <c r="E74" s="29">
        <f>'По платам'!C76*$E$1</f>
        <v>0</v>
      </c>
      <c r="F74" s="29">
        <f>'По платам'!D76*$F$1</f>
        <v>0</v>
      </c>
      <c r="G74" s="29">
        <f>'По платам'!E76*$G$1</f>
        <v>0</v>
      </c>
      <c r="H74" s="29">
        <f>'По платам'!F76*$H$1</f>
        <v>0</v>
      </c>
      <c r="I74" s="29">
        <f>'По платам'!G76*$I$1</f>
        <v>0</v>
      </c>
      <c r="J74" s="29">
        <f>'По платам'!H76*$J$1</f>
        <v>0</v>
      </c>
      <c r="K74" s="29">
        <f>'По платам'!I76*$K$1</f>
        <v>0</v>
      </c>
      <c r="L74" s="29">
        <f>'По платам'!J76*$L$1</f>
        <v>0</v>
      </c>
      <c r="M74" s="29">
        <f>'По платам'!K76*$M$1</f>
        <v>0</v>
      </c>
      <c r="N74" s="29">
        <f>'По платам'!L76*'Состав прибора'!$B$16</f>
        <v>0</v>
      </c>
    </row>
    <row r="75" spans="1:14">
      <c r="A75" s="16" t="s">
        <v>324</v>
      </c>
      <c r="C75" s="18" t="s">
        <v>1361</v>
      </c>
      <c r="D75" s="25">
        <f t="shared" si="1"/>
        <v>1</v>
      </c>
      <c r="E75" s="29">
        <f>'По платам'!C77*$E$1</f>
        <v>0</v>
      </c>
      <c r="F75" s="29">
        <f>'По платам'!D77*$F$1</f>
        <v>0</v>
      </c>
      <c r="G75" s="29">
        <f>'По платам'!E77*$G$1</f>
        <v>0</v>
      </c>
      <c r="H75" s="29">
        <f>'По платам'!F77*$H$1</f>
        <v>1</v>
      </c>
      <c r="I75" s="29">
        <f>'По платам'!G77*$I$1</f>
        <v>0</v>
      </c>
      <c r="J75" s="29">
        <f>'По платам'!H77*$J$1</f>
        <v>0</v>
      </c>
      <c r="K75" s="29">
        <f>'По платам'!I77*$K$1</f>
        <v>0</v>
      </c>
      <c r="L75" s="29">
        <f>'По платам'!J77*$L$1</f>
        <v>0</v>
      </c>
      <c r="M75" s="29">
        <f>'По платам'!K77*$M$1</f>
        <v>0</v>
      </c>
      <c r="N75" s="29">
        <f>'По платам'!L77*'Состав прибора'!$B$16</f>
        <v>0</v>
      </c>
    </row>
    <row r="76" spans="1:14">
      <c r="A76" s="16" t="s">
        <v>324</v>
      </c>
      <c r="C76" s="18" t="s">
        <v>507</v>
      </c>
      <c r="D76" s="25">
        <f t="shared" si="1"/>
        <v>20</v>
      </c>
      <c r="E76" s="29">
        <f>'По платам'!C78*$E$1</f>
        <v>0</v>
      </c>
      <c r="F76" s="29">
        <f>'По платам'!D78*$F$1</f>
        <v>0</v>
      </c>
      <c r="G76" s="29">
        <f>'По платам'!E78*$G$1</f>
        <v>0</v>
      </c>
      <c r="H76" s="29">
        <f>'По платам'!F78*$H$1</f>
        <v>5</v>
      </c>
      <c r="I76" s="29">
        <f>'По платам'!G78*$I$1</f>
        <v>2</v>
      </c>
      <c r="J76" s="29">
        <f>'По платам'!H78*$J$1</f>
        <v>0</v>
      </c>
      <c r="K76" s="29">
        <f>'По платам'!I78*$K$1</f>
        <v>11</v>
      </c>
      <c r="L76" s="29">
        <f>'По платам'!J78*$L$1</f>
        <v>2</v>
      </c>
      <c r="M76" s="29">
        <f>'По платам'!K78*$M$1</f>
        <v>0</v>
      </c>
      <c r="N76" s="29">
        <f>'По платам'!L78*'Состав прибора'!$B$16</f>
        <v>0</v>
      </c>
    </row>
    <row r="77" spans="1:14">
      <c r="A77" s="16" t="s">
        <v>324</v>
      </c>
      <c r="C77" s="18" t="s">
        <v>510</v>
      </c>
      <c r="D77" s="25">
        <f t="shared" si="1"/>
        <v>24</v>
      </c>
      <c r="E77" s="29">
        <f>'По платам'!C79*$E$1</f>
        <v>0</v>
      </c>
      <c r="F77" s="29">
        <f>'По платам'!D79*$F$1</f>
        <v>0</v>
      </c>
      <c r="G77" s="29">
        <f>'По платам'!E79*$G$1</f>
        <v>0</v>
      </c>
      <c r="H77" s="29">
        <f>'По платам'!F79*$H$1</f>
        <v>0</v>
      </c>
      <c r="I77" s="29">
        <f>'По платам'!G79*$I$1</f>
        <v>16</v>
      </c>
      <c r="J77" s="29">
        <f>'По платам'!H79*$J$1</f>
        <v>0</v>
      </c>
      <c r="K77" s="29">
        <f>'По платам'!I79*$K$1</f>
        <v>0</v>
      </c>
      <c r="L77" s="29">
        <f>'По платам'!J79*$L$1</f>
        <v>8</v>
      </c>
      <c r="M77" s="29">
        <f>'По платам'!K79*$M$1</f>
        <v>0</v>
      </c>
      <c r="N77" s="29">
        <f>'По платам'!L79*'Состав прибора'!$B$16</f>
        <v>0</v>
      </c>
    </row>
    <row r="78" spans="1:14">
      <c r="A78" s="16" t="s">
        <v>324</v>
      </c>
      <c r="C78" s="18" t="s">
        <v>1183</v>
      </c>
      <c r="D78" s="25">
        <f t="shared" si="1"/>
        <v>5</v>
      </c>
      <c r="E78" s="29">
        <f>'По платам'!C80*$E$1</f>
        <v>0</v>
      </c>
      <c r="F78" s="29">
        <f>'По платам'!D80*$F$1</f>
        <v>0</v>
      </c>
      <c r="G78" s="29">
        <f>'По платам'!E80*$G$1</f>
        <v>0</v>
      </c>
      <c r="H78" s="29">
        <f>'По платам'!F80*$H$1</f>
        <v>0</v>
      </c>
      <c r="I78" s="29">
        <f>'По платам'!G80*$I$1</f>
        <v>0</v>
      </c>
      <c r="J78" s="29">
        <f>'По платам'!H80*$J$1</f>
        <v>5</v>
      </c>
      <c r="K78" s="29">
        <f>'По платам'!I80*$K$1</f>
        <v>0</v>
      </c>
      <c r="L78" s="29">
        <f>'По платам'!J80*$L$1</f>
        <v>0</v>
      </c>
      <c r="M78" s="29">
        <f>'По платам'!K80*$M$1</f>
        <v>0</v>
      </c>
      <c r="N78" s="29">
        <f>'По платам'!L80*'Состав прибора'!$B$16</f>
        <v>0</v>
      </c>
    </row>
    <row r="79" spans="1:14">
      <c r="A79" s="16" t="s">
        <v>324</v>
      </c>
      <c r="C79" s="18" t="s">
        <v>1932</v>
      </c>
      <c r="D79" s="25">
        <f t="shared" si="1"/>
        <v>0</v>
      </c>
      <c r="E79" s="29">
        <f>'По платам'!C81*$E$1</f>
        <v>0</v>
      </c>
      <c r="F79" s="29">
        <f>'По платам'!D81*$F$1</f>
        <v>0</v>
      </c>
      <c r="G79" s="29">
        <f>'По платам'!E81*$G$1</f>
        <v>0</v>
      </c>
      <c r="H79" s="29">
        <f>'По платам'!F81*$H$1</f>
        <v>0</v>
      </c>
      <c r="I79" s="29">
        <f>'По платам'!G81*$I$1</f>
        <v>0</v>
      </c>
      <c r="J79" s="29">
        <f>'По платам'!H81*$J$1</f>
        <v>0</v>
      </c>
      <c r="K79" s="29">
        <f>'По платам'!I81*$K$1</f>
        <v>0</v>
      </c>
      <c r="L79" s="29">
        <f>'По платам'!J81*$L$1</f>
        <v>0</v>
      </c>
      <c r="M79" s="29">
        <f>'По платам'!K81*$M$1</f>
        <v>0</v>
      </c>
      <c r="N79" s="29">
        <f>'По платам'!L81*'Состав прибора'!$B$16</f>
        <v>0</v>
      </c>
    </row>
    <row r="80" spans="1:14">
      <c r="A80" s="16" t="s">
        <v>324</v>
      </c>
      <c r="C80" s="18" t="s">
        <v>1966</v>
      </c>
      <c r="D80" s="25">
        <f t="shared" si="1"/>
        <v>0</v>
      </c>
      <c r="E80" s="29">
        <f>'По платам'!C82*$E$1</f>
        <v>0</v>
      </c>
      <c r="F80" s="29">
        <f>'По платам'!D82*$F$1</f>
        <v>0</v>
      </c>
      <c r="G80" s="29">
        <f>'По платам'!E82*$G$1</f>
        <v>0</v>
      </c>
      <c r="H80" s="29">
        <f>'По платам'!F82*$H$1</f>
        <v>0</v>
      </c>
      <c r="I80" s="29">
        <f>'По платам'!G82*$I$1</f>
        <v>0</v>
      </c>
      <c r="J80" s="29">
        <f>'По платам'!H82*$J$1</f>
        <v>0</v>
      </c>
      <c r="K80" s="29">
        <f>'По платам'!I82*$K$1</f>
        <v>0</v>
      </c>
      <c r="L80" s="29">
        <f>'По платам'!J82*$L$1</f>
        <v>0</v>
      </c>
      <c r="M80" s="29">
        <f>'По платам'!K82*$M$1</f>
        <v>0</v>
      </c>
      <c r="N80" s="29">
        <f>'По платам'!L82*'Состав прибора'!$B$16</f>
        <v>0</v>
      </c>
    </row>
    <row r="81" spans="1:14">
      <c r="A81" s="16" t="s">
        <v>324</v>
      </c>
      <c r="C81" s="18" t="s">
        <v>1612</v>
      </c>
      <c r="D81" s="25">
        <f t="shared" si="1"/>
        <v>0</v>
      </c>
      <c r="E81" s="29">
        <f>'По платам'!C83*$E$1</f>
        <v>0</v>
      </c>
      <c r="F81" s="29">
        <f>'По платам'!D83*$F$1</f>
        <v>0</v>
      </c>
      <c r="G81" s="29">
        <f>'По платам'!E83*$G$1</f>
        <v>0</v>
      </c>
      <c r="H81" s="29">
        <f>'По платам'!F83*$H$1</f>
        <v>0</v>
      </c>
      <c r="I81" s="29">
        <f>'По платам'!G83*$I$1</f>
        <v>0</v>
      </c>
      <c r="J81" s="29">
        <f>'По платам'!H83*$J$1</f>
        <v>0</v>
      </c>
      <c r="K81" s="29">
        <f>'По платам'!I83*$K$1</f>
        <v>0</v>
      </c>
      <c r="L81" s="29">
        <f>'По платам'!J83*$L$1</f>
        <v>0</v>
      </c>
      <c r="M81" s="29">
        <f>'По платам'!K83*$M$1</f>
        <v>0</v>
      </c>
      <c r="N81" s="29">
        <f>'По платам'!L83*'Состав прибора'!$B$16</f>
        <v>0</v>
      </c>
    </row>
    <row r="82" spans="1:14">
      <c r="A82" s="16" t="s">
        <v>324</v>
      </c>
      <c r="C82" s="18" t="s">
        <v>2925</v>
      </c>
      <c r="D82" s="25">
        <f t="shared" si="1"/>
        <v>2</v>
      </c>
      <c r="E82" s="29">
        <f>'По платам'!C84*$E$1</f>
        <v>0</v>
      </c>
      <c r="F82" s="29">
        <f>'По платам'!D84*$F$1</f>
        <v>0</v>
      </c>
      <c r="G82" s="29">
        <f>'По платам'!E84*$G$1</f>
        <v>0</v>
      </c>
      <c r="H82" s="29">
        <f>'По платам'!F84*$H$1</f>
        <v>0</v>
      </c>
      <c r="I82" s="29">
        <f>'По платам'!G84*$I$1</f>
        <v>0</v>
      </c>
      <c r="J82" s="29">
        <f>'По платам'!H84*$J$1</f>
        <v>0</v>
      </c>
      <c r="K82" s="29">
        <f>'По платам'!I84*$K$1</f>
        <v>0</v>
      </c>
      <c r="L82" s="29">
        <f>'По платам'!J84*$L$1</f>
        <v>2</v>
      </c>
      <c r="M82" s="29">
        <f>'По платам'!K84*$M$1</f>
        <v>0</v>
      </c>
      <c r="N82" s="29">
        <f>'По платам'!L84*'Состав прибора'!$B$16</f>
        <v>0</v>
      </c>
    </row>
    <row r="83" spans="1:14">
      <c r="A83" s="16" t="s">
        <v>324</v>
      </c>
      <c r="C83" s="18" t="s">
        <v>2213</v>
      </c>
      <c r="D83" s="25">
        <f t="shared" si="1"/>
        <v>0</v>
      </c>
      <c r="E83" s="29">
        <f>'По платам'!C85*$E$1</f>
        <v>0</v>
      </c>
      <c r="F83" s="29">
        <f>'По платам'!D85*$F$1</f>
        <v>0</v>
      </c>
      <c r="G83" s="29">
        <f>'По платам'!E85*$G$1</f>
        <v>0</v>
      </c>
      <c r="H83" s="29">
        <f>'По платам'!F85*$H$1</f>
        <v>0</v>
      </c>
      <c r="I83" s="29">
        <f>'По платам'!G85*$I$1</f>
        <v>0</v>
      </c>
      <c r="J83" s="29">
        <f>'По платам'!H85*$J$1</f>
        <v>0</v>
      </c>
      <c r="K83" s="29">
        <f>'По платам'!I85*$K$1</f>
        <v>0</v>
      </c>
      <c r="L83" s="29">
        <f>'По платам'!J85*$L$1</f>
        <v>0</v>
      </c>
      <c r="M83" s="29">
        <f>'По платам'!K85*$M$1</f>
        <v>0</v>
      </c>
      <c r="N83" s="29">
        <f>'По платам'!L85*'Состав прибора'!$B$16</f>
        <v>0</v>
      </c>
    </row>
    <row r="84" spans="1:14">
      <c r="A84" s="16" t="s">
        <v>324</v>
      </c>
      <c r="C84" s="18" t="s">
        <v>2921</v>
      </c>
      <c r="D84" s="25">
        <f t="shared" si="1"/>
        <v>5</v>
      </c>
      <c r="E84" s="29">
        <f>'По платам'!C86*$E$1</f>
        <v>0</v>
      </c>
      <c r="F84" s="29">
        <f>'По платам'!D86*$F$1</f>
        <v>0</v>
      </c>
      <c r="G84" s="29">
        <f>'По платам'!E86*$G$1</f>
        <v>0</v>
      </c>
      <c r="H84" s="29">
        <f>'По платам'!F86*$H$1</f>
        <v>0</v>
      </c>
      <c r="I84" s="29">
        <f>'По платам'!G86*$I$1</f>
        <v>0</v>
      </c>
      <c r="J84" s="29">
        <f>'По платам'!H86*$J$1</f>
        <v>0</v>
      </c>
      <c r="K84" s="29">
        <f>'По платам'!I86*$K$1</f>
        <v>0</v>
      </c>
      <c r="L84" s="29">
        <f>'По платам'!J86*$L$1</f>
        <v>5</v>
      </c>
      <c r="M84" s="29">
        <f>'По платам'!K86*$M$1</f>
        <v>0</v>
      </c>
      <c r="N84" s="29">
        <f>'По платам'!L86*'Состав прибора'!$B$16</f>
        <v>0</v>
      </c>
    </row>
    <row r="85" spans="1:14">
      <c r="A85" s="16" t="s">
        <v>324</v>
      </c>
      <c r="C85" s="18" t="s">
        <v>741</v>
      </c>
      <c r="D85" s="25">
        <f t="shared" si="1"/>
        <v>1</v>
      </c>
      <c r="E85" s="29">
        <f>'По платам'!C87*$E$1</f>
        <v>0</v>
      </c>
      <c r="F85" s="29">
        <f>'По платам'!D87*$F$1</f>
        <v>0</v>
      </c>
      <c r="G85" s="29">
        <f>'По платам'!E87*$G$1</f>
        <v>0</v>
      </c>
      <c r="H85" s="29">
        <f>'По платам'!F87*$H$1</f>
        <v>0</v>
      </c>
      <c r="I85" s="29">
        <f>'По платам'!G87*$I$1</f>
        <v>0</v>
      </c>
      <c r="J85" s="29">
        <f>'По платам'!H87*$J$1</f>
        <v>0</v>
      </c>
      <c r="K85" s="29">
        <f>'По платам'!I87*$K$1</f>
        <v>1</v>
      </c>
      <c r="L85" s="29">
        <f>'По платам'!J87*$L$1</f>
        <v>0</v>
      </c>
      <c r="M85" s="29">
        <f>'По платам'!K87*$M$1</f>
        <v>0</v>
      </c>
      <c r="N85" s="29">
        <f>'По платам'!L87*'Состав прибора'!$B$16</f>
        <v>0</v>
      </c>
    </row>
    <row r="86" spans="1:14">
      <c r="A86" s="16" t="s">
        <v>324</v>
      </c>
      <c r="C86" s="18" t="s">
        <v>1598</v>
      </c>
      <c r="D86" s="25">
        <f t="shared" si="1"/>
        <v>0</v>
      </c>
      <c r="E86" s="29">
        <f>'По платам'!C88*$E$1</f>
        <v>0</v>
      </c>
      <c r="F86" s="29">
        <f>'По платам'!D88*$F$1</f>
        <v>0</v>
      </c>
      <c r="G86" s="29">
        <f>'По платам'!E88*$G$1</f>
        <v>0</v>
      </c>
      <c r="H86" s="29">
        <f>'По платам'!F88*$H$1</f>
        <v>0</v>
      </c>
      <c r="I86" s="29">
        <f>'По платам'!G88*$I$1</f>
        <v>0</v>
      </c>
      <c r="J86" s="29">
        <f>'По платам'!H88*$J$1</f>
        <v>0</v>
      </c>
      <c r="K86" s="29">
        <f>'По платам'!I88*$K$1</f>
        <v>0</v>
      </c>
      <c r="L86" s="29">
        <f>'По платам'!J88*$L$1</f>
        <v>0</v>
      </c>
      <c r="M86" s="29">
        <f>'По платам'!K88*$M$1</f>
        <v>0</v>
      </c>
      <c r="N86" s="29">
        <f>'По платам'!L88*'Состав прибора'!$B$16</f>
        <v>0</v>
      </c>
    </row>
    <row r="87" spans="1:14">
      <c r="A87" s="16" t="s">
        <v>324</v>
      </c>
      <c r="C87" s="18" t="s">
        <v>1031</v>
      </c>
      <c r="D87" s="25">
        <f t="shared" si="1"/>
        <v>4</v>
      </c>
      <c r="E87" s="29">
        <f>'По платам'!C89*$E$1</f>
        <v>0</v>
      </c>
      <c r="F87" s="29">
        <f>'По платам'!D89*$F$1</f>
        <v>0</v>
      </c>
      <c r="G87" s="29">
        <f>'По платам'!E89*$G$1</f>
        <v>0</v>
      </c>
      <c r="H87" s="29">
        <f>'По платам'!F89*$H$1</f>
        <v>2</v>
      </c>
      <c r="I87" s="29">
        <f>'По платам'!G89*$I$1</f>
        <v>0</v>
      </c>
      <c r="J87" s="29">
        <f>'По платам'!H89*$J$1</f>
        <v>0</v>
      </c>
      <c r="K87" s="29">
        <f>'По платам'!I89*$K$1</f>
        <v>2</v>
      </c>
      <c r="L87" s="29">
        <f>'По платам'!J89*$L$1</f>
        <v>0</v>
      </c>
      <c r="M87" s="29">
        <f>'По платам'!K89*$M$1</f>
        <v>0</v>
      </c>
      <c r="N87" s="29">
        <f>'По платам'!L89*'Состав прибора'!$B$16</f>
        <v>0</v>
      </c>
    </row>
    <row r="88" spans="1:14">
      <c r="A88" s="16" t="s">
        <v>324</v>
      </c>
      <c r="C88" s="18" t="s">
        <v>1925</v>
      </c>
      <c r="D88" s="25">
        <f t="shared" si="1"/>
        <v>0</v>
      </c>
      <c r="E88" s="29">
        <f>'По платам'!C90*$E$1</f>
        <v>0</v>
      </c>
      <c r="F88" s="29">
        <f>'По платам'!D90*$F$1</f>
        <v>0</v>
      </c>
      <c r="G88" s="29">
        <f>'По платам'!E90*$G$1</f>
        <v>0</v>
      </c>
      <c r="H88" s="29">
        <f>'По платам'!F90*$H$1</f>
        <v>0</v>
      </c>
      <c r="I88" s="29">
        <f>'По платам'!G90*$I$1</f>
        <v>0</v>
      </c>
      <c r="J88" s="29">
        <f>'По платам'!H90*$J$1</f>
        <v>0</v>
      </c>
      <c r="K88" s="29">
        <f>'По платам'!I90*$K$1</f>
        <v>0</v>
      </c>
      <c r="L88" s="29">
        <f>'По платам'!J90*$L$1</f>
        <v>0</v>
      </c>
      <c r="M88" s="29">
        <f>'По платам'!K90*$M$1</f>
        <v>0</v>
      </c>
      <c r="N88" s="29">
        <f>'По платам'!L90*'Состав прибора'!$B$16</f>
        <v>0</v>
      </c>
    </row>
    <row r="89" spans="1:14">
      <c r="A89" s="16" t="s">
        <v>2748</v>
      </c>
      <c r="C89" s="18" t="s">
        <v>2752</v>
      </c>
      <c r="D89" s="25">
        <f t="shared" si="1"/>
        <v>0</v>
      </c>
      <c r="E89" s="29">
        <f>'По платам'!C91*$E$1</f>
        <v>0</v>
      </c>
      <c r="F89" s="29">
        <f>'По платам'!D91*$F$1</f>
        <v>0</v>
      </c>
      <c r="G89" s="29">
        <f>'По платам'!E91*$G$1</f>
        <v>0</v>
      </c>
      <c r="H89" s="29">
        <f>'По платам'!F91*$H$1</f>
        <v>0</v>
      </c>
      <c r="I89" s="29">
        <f>'По платам'!G91*$I$1</f>
        <v>0</v>
      </c>
      <c r="J89" s="29">
        <f>'По платам'!H91*$J$1</f>
        <v>0</v>
      </c>
      <c r="K89" s="29">
        <f>'По платам'!I91*$K$1</f>
        <v>0</v>
      </c>
      <c r="L89" s="29">
        <f>'По платам'!J91*$L$1</f>
        <v>0</v>
      </c>
      <c r="M89" s="29">
        <f>'По платам'!K91*$M$1</f>
        <v>0</v>
      </c>
      <c r="N89" s="29">
        <f>'По платам'!L91*'Состав прибора'!$B$16</f>
        <v>0</v>
      </c>
    </row>
    <row r="90" spans="1:14">
      <c r="A90" s="16" t="s">
        <v>774</v>
      </c>
      <c r="C90" s="18" t="s">
        <v>1658</v>
      </c>
      <c r="D90" s="25">
        <f t="shared" si="1"/>
        <v>0</v>
      </c>
      <c r="E90" s="29">
        <f>'По платам'!C92*$E$1</f>
        <v>0</v>
      </c>
      <c r="F90" s="29">
        <f>'По платам'!D92*$F$1</f>
        <v>0</v>
      </c>
      <c r="G90" s="29">
        <f>'По платам'!E92*$G$1</f>
        <v>0</v>
      </c>
      <c r="H90" s="29">
        <f>'По платам'!F92*$H$1</f>
        <v>0</v>
      </c>
      <c r="I90" s="29">
        <f>'По платам'!G92*$I$1</f>
        <v>0</v>
      </c>
      <c r="J90" s="29">
        <f>'По платам'!H92*$J$1</f>
        <v>0</v>
      </c>
      <c r="K90" s="29">
        <f>'По платам'!I92*$K$1</f>
        <v>0</v>
      </c>
      <c r="L90" s="29">
        <f>'По платам'!J92*$L$1</f>
        <v>0</v>
      </c>
      <c r="M90" s="29">
        <f>'По платам'!K92*$M$1</f>
        <v>0</v>
      </c>
      <c r="N90" s="29">
        <f>'По платам'!L92*'Состав прибора'!$B$16</f>
        <v>0</v>
      </c>
    </row>
    <row r="91" spans="1:14">
      <c r="A91" s="16" t="s">
        <v>774</v>
      </c>
      <c r="C91" s="18" t="s">
        <v>773</v>
      </c>
      <c r="D91" s="25">
        <f t="shared" si="1"/>
        <v>2</v>
      </c>
      <c r="E91" s="29">
        <f>'По платам'!C93*$E$1</f>
        <v>0</v>
      </c>
      <c r="F91" s="29">
        <f>'По платам'!D93*$F$1</f>
        <v>0</v>
      </c>
      <c r="G91" s="29">
        <f>'По платам'!E93*$G$1</f>
        <v>0</v>
      </c>
      <c r="H91" s="29">
        <f>'По платам'!F93*$H$1</f>
        <v>0</v>
      </c>
      <c r="I91" s="29">
        <f>'По платам'!G93*$I$1</f>
        <v>0</v>
      </c>
      <c r="J91" s="29">
        <f>'По платам'!H93*$J$1</f>
        <v>0</v>
      </c>
      <c r="K91" s="29">
        <f>'По платам'!I93*$K$1</f>
        <v>2</v>
      </c>
      <c r="L91" s="29">
        <f>'По платам'!J93*$L$1</f>
        <v>0</v>
      </c>
      <c r="M91" s="29">
        <f>'По платам'!K93*$M$1</f>
        <v>0</v>
      </c>
      <c r="N91" s="29">
        <f>'По платам'!L93*'Состав прибора'!$B$16</f>
        <v>0</v>
      </c>
    </row>
    <row r="92" spans="1:14">
      <c r="A92" s="16" t="s">
        <v>708</v>
      </c>
      <c r="C92" s="18" t="s">
        <v>707</v>
      </c>
      <c r="D92" s="25">
        <f t="shared" si="1"/>
        <v>1</v>
      </c>
      <c r="E92" s="29">
        <f>'По платам'!C94*$E$1</f>
        <v>0</v>
      </c>
      <c r="F92" s="29">
        <f>'По платам'!D94*$F$1</f>
        <v>0</v>
      </c>
      <c r="G92" s="29">
        <f>'По платам'!E94*$G$1</f>
        <v>0</v>
      </c>
      <c r="H92" s="29">
        <f>'По платам'!F94*$H$1</f>
        <v>0</v>
      </c>
      <c r="I92" s="29">
        <f>'По платам'!G94*$I$1</f>
        <v>0</v>
      </c>
      <c r="J92" s="29">
        <f>'По платам'!H94*$J$1</f>
        <v>0</v>
      </c>
      <c r="K92" s="29">
        <f>'По платам'!I94*$K$1</f>
        <v>1</v>
      </c>
      <c r="L92" s="29">
        <f>'По платам'!J94*$L$1</f>
        <v>0</v>
      </c>
      <c r="M92" s="29">
        <f>'По платам'!K94*$M$1</f>
        <v>0</v>
      </c>
      <c r="N92" s="29">
        <f>'По платам'!L94*'Состав прибора'!$B$16</f>
        <v>0</v>
      </c>
    </row>
    <row r="93" spans="1:14">
      <c r="A93" s="16" t="s">
        <v>708</v>
      </c>
      <c r="C93" s="18" t="s">
        <v>2317</v>
      </c>
      <c r="D93" s="25">
        <f t="shared" si="1"/>
        <v>0</v>
      </c>
      <c r="E93" s="29">
        <f>'По платам'!C95*$E$1</f>
        <v>0</v>
      </c>
      <c r="F93" s="29">
        <f>'По платам'!D95*$F$1</f>
        <v>0</v>
      </c>
      <c r="G93" s="29">
        <f>'По платам'!E95*$G$1</f>
        <v>0</v>
      </c>
      <c r="H93" s="29">
        <f>'По платам'!F95*$H$1</f>
        <v>0</v>
      </c>
      <c r="I93" s="29">
        <f>'По платам'!G95*$I$1</f>
        <v>0</v>
      </c>
      <c r="J93" s="29">
        <f>'По платам'!H95*$J$1</f>
        <v>0</v>
      </c>
      <c r="K93" s="29">
        <f>'По платам'!I95*$K$1</f>
        <v>0</v>
      </c>
      <c r="L93" s="29">
        <f>'По платам'!J95*$L$1</f>
        <v>0</v>
      </c>
      <c r="M93" s="29">
        <f>'По платам'!K95*$M$1</f>
        <v>0</v>
      </c>
      <c r="N93" s="29">
        <f>'По платам'!L95*'Состав прибора'!$B$16</f>
        <v>0</v>
      </c>
    </row>
    <row r="94" spans="1:14">
      <c r="A94" s="16" t="s">
        <v>2735</v>
      </c>
      <c r="C94" s="18" t="s">
        <v>2734</v>
      </c>
      <c r="D94" s="25">
        <f t="shared" si="1"/>
        <v>0</v>
      </c>
      <c r="E94" s="29">
        <f>'По платам'!C96*$E$1</f>
        <v>0</v>
      </c>
      <c r="F94" s="29">
        <f>'По платам'!D96*$F$1</f>
        <v>0</v>
      </c>
      <c r="G94" s="29">
        <f>'По платам'!E96*$G$1</f>
        <v>0</v>
      </c>
      <c r="H94" s="29">
        <f>'По платам'!F96*$H$1</f>
        <v>0</v>
      </c>
      <c r="I94" s="29">
        <f>'По платам'!G96*$I$1</f>
        <v>0</v>
      </c>
      <c r="J94" s="29">
        <f>'По платам'!H96*$J$1</f>
        <v>0</v>
      </c>
      <c r="K94" s="29">
        <f>'По платам'!I96*$K$1</f>
        <v>0</v>
      </c>
      <c r="L94" s="29">
        <f>'По платам'!J96*$L$1</f>
        <v>0</v>
      </c>
      <c r="M94" s="29">
        <f>'По платам'!K96*$M$1</f>
        <v>0</v>
      </c>
      <c r="N94" s="29">
        <f>'По платам'!L96*'Состав прибора'!$B$16</f>
        <v>0</v>
      </c>
    </row>
    <row r="95" spans="1:14">
      <c r="A95" s="16" t="s">
        <v>1162</v>
      </c>
      <c r="C95" s="18" t="s">
        <v>1936</v>
      </c>
      <c r="D95" s="25">
        <f t="shared" si="1"/>
        <v>0</v>
      </c>
      <c r="E95" s="29">
        <f>'По платам'!C97*$E$1</f>
        <v>0</v>
      </c>
      <c r="F95" s="29">
        <f>'По платам'!D97*$F$1</f>
        <v>0</v>
      </c>
      <c r="G95" s="29">
        <f>'По платам'!E97*$G$1</f>
        <v>0</v>
      </c>
      <c r="H95" s="29">
        <f>'По платам'!F97*$H$1</f>
        <v>0</v>
      </c>
      <c r="I95" s="29">
        <f>'По платам'!G97*$I$1</f>
        <v>0</v>
      </c>
      <c r="J95" s="29">
        <f>'По платам'!H97*$J$1</f>
        <v>0</v>
      </c>
      <c r="K95" s="29">
        <f>'По платам'!I97*$K$1</f>
        <v>0</v>
      </c>
      <c r="L95" s="29">
        <f>'По платам'!J97*$L$1</f>
        <v>0</v>
      </c>
      <c r="M95" s="29">
        <f>'По платам'!K97*$M$1</f>
        <v>0</v>
      </c>
      <c r="N95" s="29">
        <f>'По платам'!L97*'Состав прибора'!$B$16</f>
        <v>0</v>
      </c>
    </row>
    <row r="96" spans="1:14">
      <c r="A96" s="16" t="s">
        <v>1162</v>
      </c>
      <c r="C96" s="18" t="s">
        <v>1161</v>
      </c>
      <c r="D96" s="25">
        <f t="shared" si="1"/>
        <v>5</v>
      </c>
      <c r="E96" s="29">
        <f>'По платам'!C98*$E$1</f>
        <v>0</v>
      </c>
      <c r="F96" s="29">
        <f>'По платам'!D98*$F$1</f>
        <v>0</v>
      </c>
      <c r="G96" s="29">
        <f>'По платам'!E98*$G$1</f>
        <v>0</v>
      </c>
      <c r="H96" s="29">
        <f>'По платам'!F98*$H$1</f>
        <v>1</v>
      </c>
      <c r="I96" s="29">
        <f>'По платам'!G98*$I$1</f>
        <v>0</v>
      </c>
      <c r="J96" s="29">
        <f>'По платам'!H98*$J$1</f>
        <v>4</v>
      </c>
      <c r="K96" s="29">
        <f>'По платам'!I98*$K$1</f>
        <v>0</v>
      </c>
      <c r="L96" s="29">
        <f>'По платам'!J98*$L$1</f>
        <v>0</v>
      </c>
      <c r="M96" s="29">
        <f>'По платам'!K98*$M$1</f>
        <v>0</v>
      </c>
      <c r="N96" s="29">
        <f>'По платам'!L98*'Состав прибора'!$B$16</f>
        <v>0</v>
      </c>
    </row>
    <row r="97" spans="1:14">
      <c r="A97" s="16" t="s">
        <v>2860</v>
      </c>
      <c r="C97" s="18" t="s">
        <v>166</v>
      </c>
      <c r="D97" s="25">
        <f t="shared" si="1"/>
        <v>6</v>
      </c>
      <c r="E97" s="29">
        <f>'По платам'!C99*$E$1</f>
        <v>0</v>
      </c>
      <c r="F97" s="29">
        <f>'По платам'!D99*$F$1</f>
        <v>0</v>
      </c>
      <c r="G97" s="29">
        <f>'По платам'!E99*$G$1</f>
        <v>0</v>
      </c>
      <c r="H97" s="29">
        <f>'По платам'!F99*$H$1</f>
        <v>0</v>
      </c>
      <c r="I97" s="29">
        <f>'По платам'!G99*$I$1</f>
        <v>4</v>
      </c>
      <c r="J97" s="29">
        <f>'По платам'!H99*$J$1</f>
        <v>0</v>
      </c>
      <c r="K97" s="29">
        <f>'По платам'!I99*$K$1</f>
        <v>0</v>
      </c>
      <c r="L97" s="29">
        <f>'По платам'!J99*$L$1</f>
        <v>2</v>
      </c>
      <c r="M97" s="29">
        <f>'По платам'!K99*$M$1</f>
        <v>0</v>
      </c>
      <c r="N97" s="29">
        <f>'По платам'!L99*'Состав прибора'!$B$16</f>
        <v>0</v>
      </c>
    </row>
    <row r="98" spans="1:14">
      <c r="A98" s="16" t="s">
        <v>2860</v>
      </c>
      <c r="C98" s="18" t="s">
        <v>162</v>
      </c>
      <c r="D98" s="25">
        <f t="shared" si="1"/>
        <v>3</v>
      </c>
      <c r="E98" s="29">
        <f>'По платам'!C100*$E$1</f>
        <v>0</v>
      </c>
      <c r="F98" s="29">
        <f>'По платам'!D100*$F$1</f>
        <v>0</v>
      </c>
      <c r="G98" s="29">
        <f>'По платам'!E100*$G$1</f>
        <v>0</v>
      </c>
      <c r="H98" s="29">
        <f>'По платам'!F100*$H$1</f>
        <v>0</v>
      </c>
      <c r="I98" s="29">
        <f>'По платам'!G100*$I$1</f>
        <v>2</v>
      </c>
      <c r="J98" s="29">
        <f>'По платам'!H100*$J$1</f>
        <v>0</v>
      </c>
      <c r="K98" s="29">
        <f>'По платам'!I100*$K$1</f>
        <v>0</v>
      </c>
      <c r="L98" s="29">
        <f>'По платам'!J100*$L$1</f>
        <v>1</v>
      </c>
      <c r="M98" s="29">
        <f>'По платам'!K100*$M$1</f>
        <v>0</v>
      </c>
      <c r="N98" s="29">
        <f>'По платам'!L100*'Состав прибора'!$B$16</f>
        <v>0</v>
      </c>
    </row>
    <row r="99" spans="1:14">
      <c r="A99" s="16" t="s">
        <v>2009</v>
      </c>
      <c r="C99" s="18" t="s">
        <v>2008</v>
      </c>
      <c r="D99" s="25">
        <f t="shared" si="1"/>
        <v>0</v>
      </c>
      <c r="E99" s="29">
        <f>'По платам'!C101*$E$1</f>
        <v>0</v>
      </c>
      <c r="F99" s="29">
        <f>'По платам'!D101*$F$1</f>
        <v>0</v>
      </c>
      <c r="G99" s="29">
        <f>'По платам'!E101*$G$1</f>
        <v>0</v>
      </c>
      <c r="H99" s="29">
        <f>'По платам'!F101*$H$1</f>
        <v>0</v>
      </c>
      <c r="I99" s="29">
        <f>'По платам'!G101*$I$1</f>
        <v>0</v>
      </c>
      <c r="J99" s="29">
        <f>'По платам'!H101*$J$1</f>
        <v>0</v>
      </c>
      <c r="K99" s="29">
        <f>'По платам'!I101*$K$1</f>
        <v>0</v>
      </c>
      <c r="L99" s="29">
        <f>'По платам'!J101*$L$1</f>
        <v>0</v>
      </c>
      <c r="M99" s="29">
        <f>'По платам'!K101*$M$1</f>
        <v>0</v>
      </c>
      <c r="N99" s="29">
        <f>'По платам'!L101*'Состав прибора'!$B$16</f>
        <v>0</v>
      </c>
    </row>
    <row r="100" spans="1:14">
      <c r="A100" s="16" t="s">
        <v>662</v>
      </c>
      <c r="C100" s="18" t="s">
        <v>661</v>
      </c>
      <c r="D100" s="25">
        <f t="shared" si="1"/>
        <v>1</v>
      </c>
      <c r="E100" s="29">
        <f>'По платам'!C102*$E$1</f>
        <v>0</v>
      </c>
      <c r="F100" s="29">
        <f>'По платам'!D102*$F$1</f>
        <v>0</v>
      </c>
      <c r="G100" s="29">
        <f>'По платам'!E102*$G$1</f>
        <v>0</v>
      </c>
      <c r="H100" s="29">
        <f>'По платам'!F102*$H$1</f>
        <v>0</v>
      </c>
      <c r="I100" s="29">
        <f>'По платам'!G102*$I$1</f>
        <v>0</v>
      </c>
      <c r="J100" s="29">
        <f>'По платам'!H102*$J$1</f>
        <v>0</v>
      </c>
      <c r="K100" s="29">
        <f>'По платам'!I102*$K$1</f>
        <v>1</v>
      </c>
      <c r="L100" s="29">
        <f>'По платам'!J102*$L$1</f>
        <v>0</v>
      </c>
      <c r="M100" s="29">
        <f>'По платам'!K102*$M$1</f>
        <v>0</v>
      </c>
      <c r="N100" s="29">
        <f>'По платам'!L102*'Состав прибора'!$B$16</f>
        <v>0</v>
      </c>
    </row>
    <row r="101" spans="1:14">
      <c r="A101" s="16" t="s">
        <v>662</v>
      </c>
      <c r="C101" s="18" t="s">
        <v>2197</v>
      </c>
      <c r="D101" s="25">
        <f t="shared" si="1"/>
        <v>0</v>
      </c>
      <c r="E101" s="29">
        <f>'По платам'!C103*$E$1</f>
        <v>0</v>
      </c>
      <c r="F101" s="29">
        <f>'По платам'!D103*$F$1</f>
        <v>0</v>
      </c>
      <c r="G101" s="29">
        <f>'По платам'!E103*$G$1</f>
        <v>0</v>
      </c>
      <c r="H101" s="29">
        <f>'По платам'!F103*$H$1</f>
        <v>0</v>
      </c>
      <c r="I101" s="29">
        <f>'По платам'!G103*$I$1</f>
        <v>0</v>
      </c>
      <c r="J101" s="29">
        <f>'По платам'!H103*$J$1</f>
        <v>0</v>
      </c>
      <c r="K101" s="29">
        <f>'По платам'!I103*$K$1</f>
        <v>0</v>
      </c>
      <c r="L101" s="29">
        <f>'По платам'!J103*$L$1</f>
        <v>0</v>
      </c>
      <c r="M101" s="29">
        <f>'По платам'!K103*$M$1</f>
        <v>0</v>
      </c>
      <c r="N101" s="29">
        <f>'По платам'!L103*'Состав прибора'!$B$16</f>
        <v>0</v>
      </c>
    </row>
    <row r="102" spans="1:14">
      <c r="A102" s="16" t="s">
        <v>2085</v>
      </c>
      <c r="C102" s="18" t="s">
        <v>2089</v>
      </c>
      <c r="D102" s="25">
        <f t="shared" si="1"/>
        <v>0</v>
      </c>
      <c r="E102" s="29">
        <f>'По платам'!C104*$E$1</f>
        <v>0</v>
      </c>
      <c r="F102" s="29">
        <f>'По платам'!D104*$F$1</f>
        <v>0</v>
      </c>
      <c r="G102" s="29">
        <f>'По платам'!E104*$G$1</f>
        <v>0</v>
      </c>
      <c r="H102" s="29">
        <f>'По платам'!F104*$H$1</f>
        <v>0</v>
      </c>
      <c r="I102" s="29">
        <f>'По платам'!G104*$I$1</f>
        <v>0</v>
      </c>
      <c r="J102" s="29">
        <f>'По платам'!H104*$J$1</f>
        <v>0</v>
      </c>
      <c r="K102" s="29">
        <f>'По платам'!I104*$K$1</f>
        <v>0</v>
      </c>
      <c r="L102" s="29">
        <f>'По платам'!J104*$L$1</f>
        <v>0</v>
      </c>
      <c r="M102" s="29">
        <f>'По платам'!K104*$M$1</f>
        <v>0</v>
      </c>
      <c r="N102" s="29">
        <f>'По платам'!L104*'Состав прибора'!$B$16</f>
        <v>0</v>
      </c>
    </row>
    <row r="103" spans="1:14">
      <c r="A103" s="16" t="s">
        <v>2085</v>
      </c>
      <c r="C103" s="18" t="s">
        <v>2084</v>
      </c>
      <c r="D103" s="25">
        <f t="shared" si="1"/>
        <v>0</v>
      </c>
      <c r="E103" s="29">
        <f>'По платам'!C105*$E$1</f>
        <v>0</v>
      </c>
      <c r="F103" s="29">
        <f>'По платам'!D105*$F$1</f>
        <v>0</v>
      </c>
      <c r="G103" s="29">
        <f>'По платам'!E105*$G$1</f>
        <v>0</v>
      </c>
      <c r="H103" s="29">
        <f>'По платам'!F105*$H$1</f>
        <v>0</v>
      </c>
      <c r="I103" s="29">
        <f>'По платам'!G105*$I$1</f>
        <v>0</v>
      </c>
      <c r="J103" s="29">
        <f>'По платам'!H105*$J$1</f>
        <v>0</v>
      </c>
      <c r="K103" s="29">
        <f>'По платам'!I105*$K$1</f>
        <v>0</v>
      </c>
      <c r="L103" s="29">
        <f>'По платам'!J105*$L$1</f>
        <v>0</v>
      </c>
      <c r="M103" s="29">
        <f>'По платам'!K105*$M$1</f>
        <v>0</v>
      </c>
      <c r="N103" s="29">
        <f>'По платам'!L105*'Состав прибора'!$B$16</f>
        <v>0</v>
      </c>
    </row>
    <row r="104" spans="1:14">
      <c r="A104" s="16" t="s">
        <v>522</v>
      </c>
      <c r="C104" s="18" t="s">
        <v>1069</v>
      </c>
      <c r="D104" s="25">
        <f t="shared" si="1"/>
        <v>3</v>
      </c>
      <c r="E104" s="29">
        <f>'По платам'!C106*$E$1</f>
        <v>0</v>
      </c>
      <c r="F104" s="29">
        <f>'По платам'!D106*$F$1</f>
        <v>0</v>
      </c>
      <c r="G104" s="29">
        <f>'По платам'!E106*$G$1</f>
        <v>0</v>
      </c>
      <c r="H104" s="29">
        <f>'По платам'!F106*$H$1</f>
        <v>0</v>
      </c>
      <c r="I104" s="29">
        <f>'По платам'!G106*$I$1</f>
        <v>0</v>
      </c>
      <c r="J104" s="29">
        <f>'По платам'!H106*$J$1</f>
        <v>1</v>
      </c>
      <c r="K104" s="29">
        <f>'По платам'!I106*$K$1</f>
        <v>2</v>
      </c>
      <c r="L104" s="29">
        <f>'По платам'!J106*$L$1</f>
        <v>0</v>
      </c>
      <c r="M104" s="29">
        <f>'По платам'!K106*$M$1</f>
        <v>0</v>
      </c>
      <c r="N104" s="29">
        <f>'По платам'!L106*'Состав прибора'!$B$16</f>
        <v>0</v>
      </c>
    </row>
    <row r="105" spans="1:14">
      <c r="A105" s="16" t="s">
        <v>522</v>
      </c>
      <c r="C105" s="18" t="s">
        <v>521</v>
      </c>
      <c r="D105" s="25">
        <f t="shared" si="1"/>
        <v>4</v>
      </c>
      <c r="E105" s="29">
        <f>'По платам'!C107*$E$1</f>
        <v>0</v>
      </c>
      <c r="F105" s="29">
        <f>'По платам'!D107*$F$1</f>
        <v>0</v>
      </c>
      <c r="G105" s="29">
        <f>'По платам'!E107*$G$1</f>
        <v>0</v>
      </c>
      <c r="H105" s="29">
        <f>'По платам'!F107*$H$1</f>
        <v>0</v>
      </c>
      <c r="I105" s="29">
        <f>'По платам'!G107*$I$1</f>
        <v>0</v>
      </c>
      <c r="J105" s="29">
        <f>'По платам'!H107*$J$1</f>
        <v>2</v>
      </c>
      <c r="K105" s="29">
        <f>'По платам'!I107*$K$1</f>
        <v>1</v>
      </c>
      <c r="L105" s="29">
        <f>'По платам'!J107*$L$1</f>
        <v>1</v>
      </c>
      <c r="M105" s="29">
        <f>'По платам'!K107*$M$1</f>
        <v>0</v>
      </c>
      <c r="N105" s="29">
        <f>'По платам'!L107*'Состав прибора'!$B$16</f>
        <v>0</v>
      </c>
    </row>
    <row r="106" spans="1:14">
      <c r="A106" s="16" t="s">
        <v>137</v>
      </c>
      <c r="C106" s="18" t="s">
        <v>2684</v>
      </c>
      <c r="D106" s="25">
        <f t="shared" si="1"/>
        <v>0</v>
      </c>
      <c r="E106" s="29">
        <f>'По платам'!C108*$E$1</f>
        <v>0</v>
      </c>
      <c r="F106" s="29">
        <f>'По платам'!D108*$F$1</f>
        <v>0</v>
      </c>
      <c r="G106" s="29">
        <f>'По платам'!E108*$G$1</f>
        <v>0</v>
      </c>
      <c r="H106" s="29">
        <f>'По платам'!F108*$H$1</f>
        <v>0</v>
      </c>
      <c r="I106" s="29">
        <f>'По платам'!G108*$I$1</f>
        <v>0</v>
      </c>
      <c r="J106" s="29">
        <f>'По платам'!H108*$J$1</f>
        <v>0</v>
      </c>
      <c r="K106" s="29">
        <f>'По платам'!I108*$K$1</f>
        <v>0</v>
      </c>
      <c r="L106" s="29">
        <f>'По платам'!J108*$L$1</f>
        <v>0</v>
      </c>
      <c r="M106" s="29">
        <f>'По платам'!K108*$M$1</f>
        <v>0</v>
      </c>
      <c r="N106" s="29">
        <f>'По платам'!L108*'Состав прибора'!$B$16</f>
        <v>0</v>
      </c>
    </row>
    <row r="107" spans="1:14">
      <c r="A107" s="16" t="s">
        <v>137</v>
      </c>
      <c r="C107" s="18" t="s">
        <v>2676</v>
      </c>
      <c r="D107" s="25">
        <f t="shared" si="1"/>
        <v>0</v>
      </c>
      <c r="E107" s="29">
        <f>'По платам'!C109*$E$1</f>
        <v>0</v>
      </c>
      <c r="F107" s="29">
        <f>'По платам'!D109*$F$1</f>
        <v>0</v>
      </c>
      <c r="G107" s="29">
        <f>'По платам'!E109*$G$1</f>
        <v>0</v>
      </c>
      <c r="H107" s="29">
        <f>'По платам'!F109*$H$1</f>
        <v>0</v>
      </c>
      <c r="I107" s="29">
        <f>'По платам'!G109*$I$1</f>
        <v>0</v>
      </c>
      <c r="J107" s="29">
        <f>'По платам'!H109*$J$1</f>
        <v>0</v>
      </c>
      <c r="K107" s="29">
        <f>'По платам'!I109*$K$1</f>
        <v>0</v>
      </c>
      <c r="L107" s="29">
        <f>'По платам'!J109*$L$1</f>
        <v>0</v>
      </c>
      <c r="M107" s="29">
        <f>'По платам'!K109*$M$1</f>
        <v>0</v>
      </c>
      <c r="N107" s="29">
        <f>'По платам'!L109*'Состав прибора'!$B$16</f>
        <v>0</v>
      </c>
    </row>
    <row r="108" spans="1:14">
      <c r="A108" s="16" t="s">
        <v>137</v>
      </c>
      <c r="C108" s="18" t="s">
        <v>136</v>
      </c>
      <c r="D108" s="25">
        <f t="shared" si="1"/>
        <v>0</v>
      </c>
      <c r="E108" s="29">
        <f>'По платам'!C110*$E$1</f>
        <v>0</v>
      </c>
      <c r="F108" s="29">
        <f>'По платам'!D110*$F$1</f>
        <v>0</v>
      </c>
      <c r="G108" s="29">
        <f>'По платам'!E110*$G$1</f>
        <v>0</v>
      </c>
      <c r="H108" s="29">
        <f>'По платам'!F110*$H$1</f>
        <v>0</v>
      </c>
      <c r="I108" s="29">
        <f>'По платам'!G110*$I$1</f>
        <v>0</v>
      </c>
      <c r="J108" s="29">
        <f>'По платам'!H110*$J$1</f>
        <v>0</v>
      </c>
      <c r="K108" s="29">
        <f>'По платам'!I110*$K$1</f>
        <v>0</v>
      </c>
      <c r="L108" s="29">
        <f>'По платам'!J110*$L$1</f>
        <v>0</v>
      </c>
      <c r="M108" s="29">
        <f>'По платам'!K110*$M$1</f>
        <v>0</v>
      </c>
      <c r="N108" s="29">
        <f>'По платам'!L110*'Состав прибора'!$B$16</f>
        <v>0</v>
      </c>
    </row>
    <row r="109" spans="1:14">
      <c r="A109" s="16" t="s">
        <v>137</v>
      </c>
      <c r="C109" s="18" t="s">
        <v>2794</v>
      </c>
      <c r="D109" s="25">
        <f t="shared" si="1"/>
        <v>0</v>
      </c>
      <c r="E109" s="29">
        <f>'По платам'!C111*$E$1</f>
        <v>0</v>
      </c>
      <c r="F109" s="29">
        <f>'По платам'!D111*$F$1</f>
        <v>0</v>
      </c>
      <c r="G109" s="29">
        <f>'По платам'!E111*$G$1</f>
        <v>0</v>
      </c>
      <c r="H109" s="29">
        <f>'По платам'!F111*$H$1</f>
        <v>0</v>
      </c>
      <c r="I109" s="29">
        <f>'По платам'!G111*$I$1</f>
        <v>0</v>
      </c>
      <c r="J109" s="29">
        <f>'По платам'!H111*$J$1</f>
        <v>0</v>
      </c>
      <c r="K109" s="29">
        <f>'По платам'!I111*$K$1</f>
        <v>0</v>
      </c>
      <c r="L109" s="29">
        <f>'По платам'!J111*$L$1</f>
        <v>0</v>
      </c>
      <c r="M109" s="29">
        <f>'По платам'!K111*$M$1</f>
        <v>0</v>
      </c>
      <c r="N109" s="29">
        <f>'По платам'!L111*'Состав прибора'!$B$16</f>
        <v>0</v>
      </c>
    </row>
    <row r="110" spans="1:14">
      <c r="A110" s="16" t="s">
        <v>2227</v>
      </c>
      <c r="C110" s="18" t="s">
        <v>2226</v>
      </c>
      <c r="D110" s="25">
        <f t="shared" si="1"/>
        <v>0</v>
      </c>
      <c r="E110" s="29">
        <f>'По платам'!C112*$E$1</f>
        <v>0</v>
      </c>
      <c r="F110" s="29">
        <f>'По платам'!D112*$F$1</f>
        <v>0</v>
      </c>
      <c r="G110" s="29">
        <f>'По платам'!E112*$G$1</f>
        <v>0</v>
      </c>
      <c r="H110" s="29">
        <f>'По платам'!F112*$H$1</f>
        <v>0</v>
      </c>
      <c r="I110" s="29">
        <f>'По платам'!G112*$I$1</f>
        <v>0</v>
      </c>
      <c r="J110" s="29">
        <f>'По платам'!H112*$J$1</f>
        <v>0</v>
      </c>
      <c r="K110" s="29">
        <f>'По платам'!I112*$K$1</f>
        <v>0</v>
      </c>
      <c r="L110" s="29">
        <f>'По платам'!J112*$L$1</f>
        <v>0</v>
      </c>
      <c r="M110" s="29">
        <f>'По платам'!K112*$M$1</f>
        <v>0</v>
      </c>
      <c r="N110" s="29">
        <f>'По платам'!L112*'Состав прибора'!$B$16</f>
        <v>0</v>
      </c>
    </row>
    <row r="111" spans="1:14">
      <c r="A111" s="16" t="s">
        <v>1950</v>
      </c>
      <c r="C111" s="18" t="s">
        <v>1053</v>
      </c>
      <c r="D111" s="25">
        <f t="shared" si="1"/>
        <v>1</v>
      </c>
      <c r="E111" s="29">
        <f>'По платам'!C113*$E$1</f>
        <v>0</v>
      </c>
      <c r="F111" s="29">
        <f>'По платам'!D113*$F$1</f>
        <v>0</v>
      </c>
      <c r="G111" s="29">
        <f>'По платам'!E113*$G$1</f>
        <v>0</v>
      </c>
      <c r="H111" s="29">
        <f>'По платам'!F113*$H$1</f>
        <v>0</v>
      </c>
      <c r="I111" s="29">
        <f>'По платам'!G113*$I$1</f>
        <v>0</v>
      </c>
      <c r="J111" s="29">
        <f>'По платам'!H113*$J$1</f>
        <v>0</v>
      </c>
      <c r="K111" s="29">
        <f>'По платам'!I113*$K$1</f>
        <v>1</v>
      </c>
      <c r="L111" s="29">
        <f>'По платам'!J113*$L$1</f>
        <v>0</v>
      </c>
      <c r="M111" s="29">
        <f>'По платам'!K113*$M$1</f>
        <v>0</v>
      </c>
      <c r="N111" s="29">
        <f>'По платам'!L113*'Состав прибора'!$B$16</f>
        <v>0</v>
      </c>
    </row>
    <row r="112" spans="1:14">
      <c r="A112" s="16" t="s">
        <v>1950</v>
      </c>
      <c r="C112" s="18" t="s">
        <v>1048</v>
      </c>
      <c r="D112" s="25">
        <f t="shared" si="1"/>
        <v>1</v>
      </c>
      <c r="E112" s="29">
        <f>'По платам'!C114*$E$1</f>
        <v>0</v>
      </c>
      <c r="F112" s="29">
        <f>'По платам'!D114*$F$1</f>
        <v>0</v>
      </c>
      <c r="G112" s="29">
        <f>'По платам'!E114*$G$1</f>
        <v>0</v>
      </c>
      <c r="H112" s="29">
        <f>'По платам'!F114*$H$1</f>
        <v>0</v>
      </c>
      <c r="I112" s="29">
        <f>'По платам'!G114*$I$1</f>
        <v>0</v>
      </c>
      <c r="J112" s="29">
        <f>'По платам'!H114*$J$1</f>
        <v>0</v>
      </c>
      <c r="K112" s="29">
        <f>'По платам'!I114*$K$1</f>
        <v>1</v>
      </c>
      <c r="L112" s="29">
        <f>'По платам'!J114*$L$1</f>
        <v>0</v>
      </c>
      <c r="M112" s="29">
        <f>'По платам'!K114*$M$1</f>
        <v>0</v>
      </c>
      <c r="N112" s="29">
        <f>'По платам'!L114*'Состав прибора'!$B$16</f>
        <v>0</v>
      </c>
    </row>
    <row r="113" spans="1:14">
      <c r="A113" s="16" t="s">
        <v>1950</v>
      </c>
      <c r="C113" s="18" t="s">
        <v>1061</v>
      </c>
      <c r="D113" s="25">
        <f t="shared" si="1"/>
        <v>1</v>
      </c>
      <c r="E113" s="29">
        <f>'По платам'!C115*$E$1</f>
        <v>0</v>
      </c>
      <c r="F113" s="29">
        <f>'По платам'!D115*$F$1</f>
        <v>0</v>
      </c>
      <c r="G113" s="29">
        <f>'По платам'!E115*$G$1</f>
        <v>0</v>
      </c>
      <c r="H113" s="29">
        <f>'По платам'!F115*$H$1</f>
        <v>0</v>
      </c>
      <c r="I113" s="29">
        <f>'По платам'!G115*$I$1</f>
        <v>0</v>
      </c>
      <c r="J113" s="29">
        <f>'По платам'!H115*$J$1</f>
        <v>0</v>
      </c>
      <c r="K113" s="29">
        <f>'По платам'!I115*$K$1</f>
        <v>1</v>
      </c>
      <c r="L113" s="29">
        <f>'По платам'!J115*$L$1</f>
        <v>0</v>
      </c>
      <c r="M113" s="29">
        <f>'По платам'!K115*$M$1</f>
        <v>0</v>
      </c>
      <c r="N113" s="29">
        <f>'По платам'!L115*'Состав прибора'!$B$16</f>
        <v>0</v>
      </c>
    </row>
    <row r="114" spans="1:14">
      <c r="A114" s="16" t="s">
        <v>1950</v>
      </c>
      <c r="C114" s="18" t="s">
        <v>1057</v>
      </c>
      <c r="D114" s="25">
        <f t="shared" si="1"/>
        <v>1</v>
      </c>
      <c r="E114" s="29">
        <f>'По платам'!C116*$E$1</f>
        <v>0</v>
      </c>
      <c r="F114" s="29">
        <f>'По платам'!D116*$F$1</f>
        <v>0</v>
      </c>
      <c r="G114" s="29">
        <f>'По платам'!E116*$G$1</f>
        <v>0</v>
      </c>
      <c r="H114" s="29">
        <f>'По платам'!F116*$H$1</f>
        <v>0</v>
      </c>
      <c r="I114" s="29">
        <f>'По платам'!G116*$I$1</f>
        <v>0</v>
      </c>
      <c r="J114" s="29">
        <f>'По платам'!H116*$J$1</f>
        <v>0</v>
      </c>
      <c r="K114" s="29">
        <f>'По платам'!I116*$K$1</f>
        <v>1</v>
      </c>
      <c r="L114" s="29">
        <f>'По платам'!J116*$L$1</f>
        <v>0</v>
      </c>
      <c r="M114" s="29">
        <f>'По платам'!K116*$M$1</f>
        <v>0</v>
      </c>
      <c r="N114" s="29">
        <f>'По платам'!L116*'Состав прибора'!$B$16</f>
        <v>0</v>
      </c>
    </row>
    <row r="115" spans="1:14">
      <c r="A115" s="16" t="s">
        <v>1950</v>
      </c>
      <c r="C115" s="18" t="s">
        <v>1949</v>
      </c>
      <c r="D115" s="25">
        <f t="shared" si="1"/>
        <v>0</v>
      </c>
      <c r="E115" s="29">
        <f>'По платам'!C117*$E$1</f>
        <v>0</v>
      </c>
      <c r="F115" s="29">
        <f>'По платам'!D117*$F$1</f>
        <v>0</v>
      </c>
      <c r="G115" s="29">
        <f>'По платам'!E117*$G$1</f>
        <v>0</v>
      </c>
      <c r="H115" s="29">
        <f>'По платам'!F117*$H$1</f>
        <v>0</v>
      </c>
      <c r="I115" s="29">
        <f>'По платам'!G117*$I$1</f>
        <v>0</v>
      </c>
      <c r="J115" s="29">
        <f>'По платам'!H117*$J$1</f>
        <v>0</v>
      </c>
      <c r="K115" s="29">
        <f>'По платам'!I117*$K$1</f>
        <v>0</v>
      </c>
      <c r="L115" s="29">
        <f>'По платам'!J117*$L$1</f>
        <v>0</v>
      </c>
      <c r="M115" s="29">
        <f>'По платам'!K117*$M$1</f>
        <v>0</v>
      </c>
      <c r="N115" s="29">
        <f>'По платам'!L117*'Состав прибора'!$B$16</f>
        <v>0</v>
      </c>
    </row>
    <row r="116" spans="1:14">
      <c r="A116" s="16" t="s">
        <v>1950</v>
      </c>
      <c r="C116" s="18" t="s">
        <v>1955</v>
      </c>
      <c r="D116" s="25">
        <f t="shared" si="1"/>
        <v>0</v>
      </c>
      <c r="E116" s="29">
        <f>'По платам'!C118*$E$1</f>
        <v>0</v>
      </c>
      <c r="F116" s="29">
        <f>'По платам'!D118*$F$1</f>
        <v>0</v>
      </c>
      <c r="G116" s="29">
        <f>'По платам'!E118*$G$1</f>
        <v>0</v>
      </c>
      <c r="H116" s="29">
        <f>'По платам'!F118*$H$1</f>
        <v>0</v>
      </c>
      <c r="I116" s="29">
        <f>'По платам'!G118*$I$1</f>
        <v>0</v>
      </c>
      <c r="J116" s="29">
        <f>'По платам'!H118*$J$1</f>
        <v>0</v>
      </c>
      <c r="K116" s="29">
        <f>'По платам'!I118*$K$1</f>
        <v>0</v>
      </c>
      <c r="L116" s="29">
        <f>'По платам'!J118*$L$1</f>
        <v>0</v>
      </c>
      <c r="M116" s="29">
        <f>'По платам'!K118*$M$1</f>
        <v>0</v>
      </c>
      <c r="N116" s="29">
        <f>'По платам'!L118*'Состав прибора'!$B$16</f>
        <v>0</v>
      </c>
    </row>
    <row r="117" spans="1:14">
      <c r="A117" s="16" t="s">
        <v>1950</v>
      </c>
      <c r="C117" s="18" t="s">
        <v>1962</v>
      </c>
      <c r="D117" s="25">
        <f t="shared" si="1"/>
        <v>0</v>
      </c>
      <c r="E117" s="29">
        <f>'По платам'!C119*$E$1</f>
        <v>0</v>
      </c>
      <c r="F117" s="29">
        <f>'По платам'!D119*$F$1</f>
        <v>0</v>
      </c>
      <c r="G117" s="29">
        <f>'По платам'!E119*$G$1</f>
        <v>0</v>
      </c>
      <c r="H117" s="29">
        <f>'По платам'!F119*$H$1</f>
        <v>0</v>
      </c>
      <c r="I117" s="29">
        <f>'По платам'!G119*$I$1</f>
        <v>0</v>
      </c>
      <c r="J117" s="29">
        <f>'По платам'!H119*$J$1</f>
        <v>0</v>
      </c>
      <c r="K117" s="29">
        <f>'По платам'!I119*$K$1</f>
        <v>0</v>
      </c>
      <c r="L117" s="29">
        <f>'По платам'!J119*$L$1</f>
        <v>0</v>
      </c>
      <c r="M117" s="29">
        <f>'По платам'!K119*$M$1</f>
        <v>0</v>
      </c>
      <c r="N117" s="29">
        <f>'По платам'!L119*'Состав прибора'!$B$16</f>
        <v>0</v>
      </c>
    </row>
    <row r="118" spans="1:14">
      <c r="A118" s="16" t="s">
        <v>3036</v>
      </c>
      <c r="C118" s="18" t="s">
        <v>2659</v>
      </c>
      <c r="D118" s="25">
        <f t="shared" si="1"/>
        <v>0</v>
      </c>
      <c r="E118" s="29">
        <f>'По платам'!C120*$E$1</f>
        <v>0</v>
      </c>
      <c r="F118" s="29">
        <f>'По платам'!D120*$F$1</f>
        <v>0</v>
      </c>
      <c r="G118" s="29">
        <f>'По платам'!E120*$G$1</f>
        <v>0</v>
      </c>
      <c r="H118" s="29">
        <f>'По платам'!F120*$H$1</f>
        <v>0</v>
      </c>
      <c r="I118" s="29">
        <f>'По платам'!G120*$I$1</f>
        <v>0</v>
      </c>
      <c r="J118" s="29">
        <f>'По платам'!H120*$J$1</f>
        <v>0</v>
      </c>
      <c r="K118" s="29">
        <f>'По платам'!I120*$K$1</f>
        <v>0</v>
      </c>
      <c r="L118" s="29">
        <f>'По платам'!J120*$L$1</f>
        <v>0</v>
      </c>
      <c r="M118" s="29">
        <f>'По платам'!K120*$M$1</f>
        <v>0</v>
      </c>
      <c r="N118" s="29">
        <f>'По платам'!L120*'Состав прибора'!$B$16</f>
        <v>0</v>
      </c>
    </row>
    <row r="119" spans="1:14">
      <c r="A119" s="16" t="s">
        <v>2052</v>
      </c>
      <c r="C119" s="18" t="s">
        <v>2680</v>
      </c>
      <c r="D119" s="25">
        <f t="shared" si="1"/>
        <v>0</v>
      </c>
      <c r="E119" s="29">
        <f>'По платам'!C121*$E$1</f>
        <v>0</v>
      </c>
      <c r="F119" s="29">
        <f>'По платам'!D121*$F$1</f>
        <v>0</v>
      </c>
      <c r="G119" s="29">
        <f>'По платам'!E121*$G$1</f>
        <v>0</v>
      </c>
      <c r="H119" s="29">
        <f>'По платам'!F121*$H$1</f>
        <v>0</v>
      </c>
      <c r="I119" s="29">
        <f>'По платам'!G121*$I$1</f>
        <v>0</v>
      </c>
      <c r="J119" s="29">
        <f>'По платам'!H121*$J$1</f>
        <v>0</v>
      </c>
      <c r="K119" s="29">
        <f>'По платам'!I121*$K$1</f>
        <v>0</v>
      </c>
      <c r="L119" s="29">
        <f>'По платам'!J121*$L$1</f>
        <v>0</v>
      </c>
      <c r="M119" s="29">
        <f>'По платам'!K121*$M$1</f>
        <v>0</v>
      </c>
      <c r="N119" s="29">
        <f>'По платам'!L121*'Состав прибора'!$B$16</f>
        <v>0</v>
      </c>
    </row>
    <row r="120" spans="1:14">
      <c r="A120" s="16" t="s">
        <v>2052</v>
      </c>
      <c r="C120" s="18" t="s">
        <v>2051</v>
      </c>
      <c r="D120" s="25">
        <f t="shared" si="1"/>
        <v>0</v>
      </c>
      <c r="E120" s="29">
        <f>'По платам'!C122*$E$1</f>
        <v>0</v>
      </c>
      <c r="F120" s="29">
        <f>'По платам'!D122*$F$1</f>
        <v>0</v>
      </c>
      <c r="G120" s="29">
        <f>'По платам'!E122*$G$1</f>
        <v>0</v>
      </c>
      <c r="H120" s="29">
        <f>'По платам'!F122*$H$1</f>
        <v>0</v>
      </c>
      <c r="I120" s="29">
        <f>'По платам'!G122*$I$1</f>
        <v>0</v>
      </c>
      <c r="J120" s="29">
        <f>'По платам'!H122*$J$1</f>
        <v>0</v>
      </c>
      <c r="K120" s="29">
        <f>'По платам'!I122*$K$1</f>
        <v>0</v>
      </c>
      <c r="L120" s="29">
        <f>'По платам'!J122*$L$1</f>
        <v>0</v>
      </c>
      <c r="M120" s="29">
        <f>'По платам'!K122*$M$1</f>
        <v>0</v>
      </c>
      <c r="N120" s="29">
        <f>'По платам'!L122*'Состав прибора'!$B$16</f>
        <v>0</v>
      </c>
    </row>
    <row r="121" spans="1:14">
      <c r="A121" s="16" t="s">
        <v>2712</v>
      </c>
      <c r="C121" s="18" t="s">
        <v>2711</v>
      </c>
      <c r="D121" s="25">
        <f t="shared" si="1"/>
        <v>0</v>
      </c>
      <c r="E121" s="29">
        <f>'По платам'!C123*$E$1</f>
        <v>0</v>
      </c>
      <c r="F121" s="29">
        <f>'По платам'!D123*$F$1</f>
        <v>0</v>
      </c>
      <c r="G121" s="29">
        <f>'По платам'!E123*$G$1</f>
        <v>0</v>
      </c>
      <c r="H121" s="29">
        <f>'По платам'!F123*$H$1</f>
        <v>0</v>
      </c>
      <c r="I121" s="29">
        <f>'По платам'!G123*$I$1</f>
        <v>0</v>
      </c>
      <c r="J121" s="29">
        <f>'По платам'!H123*$J$1</f>
        <v>0</v>
      </c>
      <c r="K121" s="29">
        <f>'По платам'!I123*$K$1</f>
        <v>0</v>
      </c>
      <c r="L121" s="29">
        <f>'По платам'!J123*$L$1</f>
        <v>0</v>
      </c>
      <c r="M121" s="29">
        <f>'По платам'!K123*$M$1</f>
        <v>0</v>
      </c>
      <c r="N121" s="29">
        <f>'По платам'!L123*'Состав прибора'!$B$16</f>
        <v>0</v>
      </c>
    </row>
    <row r="122" spans="1:14">
      <c r="A122" s="16" t="s">
        <v>2690</v>
      </c>
      <c r="C122" s="18" t="s">
        <v>2689</v>
      </c>
      <c r="D122" s="25">
        <f t="shared" si="1"/>
        <v>0</v>
      </c>
      <c r="E122" s="29">
        <f>'По платам'!C124*$E$1</f>
        <v>0</v>
      </c>
      <c r="F122" s="29">
        <f>'По платам'!D124*$F$1</f>
        <v>0</v>
      </c>
      <c r="G122" s="29">
        <f>'По платам'!E124*$G$1</f>
        <v>0</v>
      </c>
      <c r="H122" s="29">
        <f>'По платам'!F124*$H$1</f>
        <v>0</v>
      </c>
      <c r="I122" s="29">
        <f>'По платам'!G124*$I$1</f>
        <v>0</v>
      </c>
      <c r="J122" s="29">
        <f>'По платам'!H124*$J$1</f>
        <v>0</v>
      </c>
      <c r="K122" s="29">
        <f>'По платам'!I124*$K$1</f>
        <v>0</v>
      </c>
      <c r="L122" s="29">
        <f>'По платам'!J124*$L$1</f>
        <v>0</v>
      </c>
      <c r="M122" s="29">
        <f>'По платам'!K124*$M$1</f>
        <v>0</v>
      </c>
      <c r="N122" s="29">
        <f>'По платам'!L124*'Состав прибора'!$B$16</f>
        <v>0</v>
      </c>
    </row>
    <row r="123" spans="1:14">
      <c r="A123" s="16" t="s">
        <v>287</v>
      </c>
      <c r="C123" s="18" t="s">
        <v>286</v>
      </c>
      <c r="D123" s="25">
        <f t="shared" si="1"/>
        <v>2</v>
      </c>
      <c r="E123" s="29">
        <f>'По платам'!C125*$E$1</f>
        <v>0</v>
      </c>
      <c r="F123" s="29">
        <f>'По платам'!D125*$F$1</f>
        <v>0</v>
      </c>
      <c r="G123" s="29">
        <f>'По платам'!E125*$G$1</f>
        <v>0</v>
      </c>
      <c r="H123" s="29">
        <f>'По платам'!F125*$H$1</f>
        <v>0</v>
      </c>
      <c r="I123" s="29">
        <f>'По платам'!G125*$I$1</f>
        <v>0</v>
      </c>
      <c r="J123" s="29">
        <f>'По платам'!H125*$J$1</f>
        <v>0</v>
      </c>
      <c r="K123" s="29">
        <f>'По платам'!I125*$K$1</f>
        <v>1</v>
      </c>
      <c r="L123" s="29">
        <f>'По платам'!J125*$L$1</f>
        <v>1</v>
      </c>
      <c r="M123" s="29">
        <f>'По платам'!K125*$M$1</f>
        <v>0</v>
      </c>
      <c r="N123" s="29">
        <f>'По платам'!L125*'Состав прибора'!$B$16</f>
        <v>0</v>
      </c>
    </row>
    <row r="124" spans="1:14">
      <c r="A124" s="16" t="s">
        <v>287</v>
      </c>
      <c r="C124" s="18" t="s">
        <v>2901</v>
      </c>
      <c r="D124" s="25">
        <f t="shared" si="1"/>
        <v>1</v>
      </c>
      <c r="E124" s="29">
        <f>'По платам'!C126*$E$1</f>
        <v>0</v>
      </c>
      <c r="F124" s="29">
        <f>'По платам'!D126*$F$1</f>
        <v>0</v>
      </c>
      <c r="G124" s="29">
        <f>'По платам'!E126*$G$1</f>
        <v>0</v>
      </c>
      <c r="H124" s="29">
        <f>'По платам'!F126*$H$1</f>
        <v>0</v>
      </c>
      <c r="I124" s="29">
        <f>'По платам'!G126*$I$1</f>
        <v>0</v>
      </c>
      <c r="J124" s="29">
        <f>'По платам'!H126*$J$1</f>
        <v>0</v>
      </c>
      <c r="K124" s="29">
        <f>'По платам'!I126*$K$1</f>
        <v>0</v>
      </c>
      <c r="L124" s="29">
        <f>'По платам'!J126*$L$1</f>
        <v>1</v>
      </c>
      <c r="M124" s="29">
        <f>'По платам'!K126*$M$1</f>
        <v>0</v>
      </c>
      <c r="N124" s="29">
        <f>'По платам'!L126*'Состав прибора'!$B$16</f>
        <v>0</v>
      </c>
    </row>
    <row r="125" spans="1:14">
      <c r="A125" s="16" t="s">
        <v>287</v>
      </c>
      <c r="C125" s="18" t="s">
        <v>588</v>
      </c>
      <c r="D125" s="25">
        <f t="shared" si="1"/>
        <v>12</v>
      </c>
      <c r="E125" s="29">
        <f>'По платам'!C127*$E$1</f>
        <v>0</v>
      </c>
      <c r="F125" s="29">
        <f>'По платам'!D127*$F$1</f>
        <v>0</v>
      </c>
      <c r="G125" s="29">
        <f>'По платам'!E127*$G$1</f>
        <v>0</v>
      </c>
      <c r="H125" s="29">
        <f>'По платам'!F127*$H$1</f>
        <v>0</v>
      </c>
      <c r="I125" s="29">
        <f>'По платам'!G127*$I$1</f>
        <v>0</v>
      </c>
      <c r="J125" s="29">
        <f>'По платам'!H127*$J$1</f>
        <v>0</v>
      </c>
      <c r="K125" s="29">
        <f>'По платам'!I127*$K$1</f>
        <v>12</v>
      </c>
      <c r="L125" s="29">
        <f>'По платам'!J127*$L$1</f>
        <v>0</v>
      </c>
      <c r="M125" s="29">
        <f>'По платам'!K127*$M$1</f>
        <v>0</v>
      </c>
      <c r="N125" s="29">
        <f>'По платам'!L127*'Состав прибора'!$B$16</f>
        <v>0</v>
      </c>
    </row>
    <row r="126" spans="1:14">
      <c r="A126" s="16" t="s">
        <v>287</v>
      </c>
      <c r="C126" s="18" t="s">
        <v>1322</v>
      </c>
      <c r="D126" s="25">
        <f t="shared" si="1"/>
        <v>7</v>
      </c>
      <c r="E126" s="29">
        <f>'По платам'!C128*$E$1</f>
        <v>0</v>
      </c>
      <c r="F126" s="29">
        <f>'По платам'!D128*$F$1</f>
        <v>0</v>
      </c>
      <c r="G126" s="29">
        <f>'По платам'!E128*$G$1</f>
        <v>0</v>
      </c>
      <c r="H126" s="29">
        <f>'По платам'!F128*$H$1</f>
        <v>7</v>
      </c>
      <c r="I126" s="29">
        <f>'По платам'!G128*$I$1</f>
        <v>0</v>
      </c>
      <c r="J126" s="29">
        <f>'По платам'!H128*$J$1</f>
        <v>0</v>
      </c>
      <c r="K126" s="29">
        <f>'По платам'!I128*$K$1</f>
        <v>0</v>
      </c>
      <c r="L126" s="29">
        <f>'По платам'!J128*$L$1</f>
        <v>0</v>
      </c>
      <c r="M126" s="29">
        <f>'По платам'!K128*$M$1</f>
        <v>0</v>
      </c>
      <c r="N126" s="29">
        <f>'По платам'!L128*'Состав прибора'!$B$16</f>
        <v>0</v>
      </c>
    </row>
    <row r="127" spans="1:14">
      <c r="A127" s="16" t="s">
        <v>287</v>
      </c>
      <c r="C127" s="18" t="s">
        <v>582</v>
      </c>
      <c r="D127" s="25">
        <f t="shared" si="1"/>
        <v>7</v>
      </c>
      <c r="E127" s="29">
        <f>'По платам'!C129*$E$1</f>
        <v>0</v>
      </c>
      <c r="F127" s="29">
        <f>'По платам'!D129*$F$1</f>
        <v>0</v>
      </c>
      <c r="G127" s="29">
        <f>'По платам'!E129*$G$1</f>
        <v>0</v>
      </c>
      <c r="H127" s="29">
        <f>'По платам'!F129*$H$1</f>
        <v>5</v>
      </c>
      <c r="I127" s="29">
        <f>'По платам'!G129*$I$1</f>
        <v>0</v>
      </c>
      <c r="J127" s="29">
        <f>'По платам'!H129*$J$1</f>
        <v>0</v>
      </c>
      <c r="K127" s="29">
        <f>'По платам'!I129*$K$1</f>
        <v>2</v>
      </c>
      <c r="L127" s="29">
        <f>'По платам'!J129*$L$1</f>
        <v>0</v>
      </c>
      <c r="M127" s="29">
        <f>'По платам'!K129*$M$1</f>
        <v>0</v>
      </c>
      <c r="N127" s="29">
        <f>'По платам'!L129*'Состав прибора'!$B$16</f>
        <v>0</v>
      </c>
    </row>
    <row r="128" spans="1:14">
      <c r="A128" s="16" t="s">
        <v>287</v>
      </c>
      <c r="C128" s="18" t="s">
        <v>624</v>
      </c>
      <c r="D128" s="25">
        <f t="shared" si="1"/>
        <v>4</v>
      </c>
      <c r="E128" s="29">
        <f>'По платам'!C130*$E$1</f>
        <v>0</v>
      </c>
      <c r="F128" s="29">
        <f>'По платам'!D130*$F$1</f>
        <v>0</v>
      </c>
      <c r="G128" s="29">
        <f>'По платам'!E130*$G$1</f>
        <v>0</v>
      </c>
      <c r="H128" s="29">
        <f>'По платам'!F130*$H$1</f>
        <v>0</v>
      </c>
      <c r="I128" s="29">
        <f>'По платам'!G130*$I$1</f>
        <v>0</v>
      </c>
      <c r="J128" s="29">
        <f>'По платам'!H130*$J$1</f>
        <v>0</v>
      </c>
      <c r="K128" s="29">
        <f>'По платам'!I130*$K$1</f>
        <v>4</v>
      </c>
      <c r="L128" s="29">
        <f>'По платам'!J130*$L$1</f>
        <v>0</v>
      </c>
      <c r="M128" s="29">
        <f>'По платам'!K130*$M$1</f>
        <v>0</v>
      </c>
      <c r="N128" s="29">
        <f>'По платам'!L130*'Состав прибора'!$B$16</f>
        <v>0</v>
      </c>
    </row>
    <row r="129" spans="1:14">
      <c r="A129" s="16" t="s">
        <v>108</v>
      </c>
      <c r="C129" s="18" t="s">
        <v>2622</v>
      </c>
      <c r="D129" s="25">
        <f t="shared" si="1"/>
        <v>0</v>
      </c>
      <c r="E129" s="29">
        <f>'По платам'!C131*$E$1</f>
        <v>0</v>
      </c>
      <c r="F129" s="29">
        <f>'По платам'!D131*$F$1</f>
        <v>0</v>
      </c>
      <c r="G129" s="29">
        <f>'По платам'!E131*$G$1</f>
        <v>0</v>
      </c>
      <c r="H129" s="29">
        <f>'По платам'!F131*$H$1</f>
        <v>0</v>
      </c>
      <c r="I129" s="29">
        <f>'По платам'!G131*$I$1</f>
        <v>0</v>
      </c>
      <c r="J129" s="29">
        <f>'По платам'!H131*$J$1</f>
        <v>0</v>
      </c>
      <c r="K129" s="29">
        <f>'По платам'!I131*$K$1</f>
        <v>0</v>
      </c>
      <c r="L129" s="29">
        <f>'По платам'!J131*$L$1</f>
        <v>0</v>
      </c>
      <c r="M129" s="29">
        <f>'По платам'!K131*$M$1</f>
        <v>0</v>
      </c>
      <c r="N129" s="29">
        <f>'По платам'!L131*'Состав прибора'!$B$16</f>
        <v>0</v>
      </c>
    </row>
    <row r="130" spans="1:14">
      <c r="A130" s="16" t="s">
        <v>108</v>
      </c>
      <c r="C130" s="18" t="s">
        <v>111</v>
      </c>
      <c r="D130" s="25">
        <f t="shared" ref="D130:D193" si="2">SUM(E130:N130)</f>
        <v>8</v>
      </c>
      <c r="E130" s="29">
        <f>'По платам'!C132*$E$1</f>
        <v>0</v>
      </c>
      <c r="F130" s="29">
        <f>'По платам'!D132*$F$1</f>
        <v>0</v>
      </c>
      <c r="G130" s="29">
        <f>'По платам'!E132*$G$1</f>
        <v>0</v>
      </c>
      <c r="H130" s="29">
        <f>'По платам'!F132*$H$1</f>
        <v>5</v>
      </c>
      <c r="I130" s="29">
        <f>'По платам'!G132*$I$1</f>
        <v>0</v>
      </c>
      <c r="J130" s="29">
        <f>'По платам'!H132*$J$1</f>
        <v>0</v>
      </c>
      <c r="K130" s="29">
        <f>'По платам'!I132*$K$1</f>
        <v>2</v>
      </c>
      <c r="L130" s="29">
        <f>'По платам'!J132*$L$1</f>
        <v>1</v>
      </c>
      <c r="M130" s="29">
        <f>'По платам'!K132*$M$1</f>
        <v>0</v>
      </c>
      <c r="N130" s="29">
        <f>'По платам'!L132*'Состав прибора'!$B$16</f>
        <v>0</v>
      </c>
    </row>
    <row r="131" spans="1:14">
      <c r="A131" s="16" t="s">
        <v>108</v>
      </c>
      <c r="C131" s="18" t="s">
        <v>1441</v>
      </c>
      <c r="D131" s="25">
        <f t="shared" si="2"/>
        <v>2</v>
      </c>
      <c r="E131" s="29">
        <f>'По платам'!C133*$E$1</f>
        <v>0</v>
      </c>
      <c r="F131" s="29">
        <f>'По платам'!D133*$F$1</f>
        <v>0</v>
      </c>
      <c r="G131" s="29">
        <f>'По платам'!E133*$G$1</f>
        <v>0</v>
      </c>
      <c r="H131" s="29">
        <f>'По платам'!F133*$H$1</f>
        <v>2</v>
      </c>
      <c r="I131" s="29">
        <f>'По платам'!G133*$I$1</f>
        <v>0</v>
      </c>
      <c r="J131" s="29">
        <f>'По платам'!H133*$J$1</f>
        <v>0</v>
      </c>
      <c r="K131" s="29">
        <f>'По платам'!I133*$K$1</f>
        <v>0</v>
      </c>
      <c r="L131" s="29">
        <f>'По платам'!J133*$L$1</f>
        <v>0</v>
      </c>
      <c r="M131" s="29">
        <f>'По платам'!K133*$M$1</f>
        <v>0</v>
      </c>
      <c r="N131" s="29">
        <f>'По платам'!L133*'Состав прибора'!$B$16</f>
        <v>0</v>
      </c>
    </row>
    <row r="132" spans="1:14">
      <c r="A132" s="16" t="s">
        <v>108</v>
      </c>
      <c r="C132" s="18" t="s">
        <v>107</v>
      </c>
      <c r="D132" s="25">
        <f t="shared" si="2"/>
        <v>1</v>
      </c>
      <c r="E132" s="29">
        <f>'По платам'!C134*$E$1</f>
        <v>0</v>
      </c>
      <c r="F132" s="29">
        <f>'По платам'!D134*$F$1</f>
        <v>0</v>
      </c>
      <c r="G132" s="29">
        <f>'По платам'!E134*$G$1</f>
        <v>0</v>
      </c>
      <c r="H132" s="29">
        <f>'По платам'!F134*$H$1</f>
        <v>0</v>
      </c>
      <c r="I132" s="29">
        <f>'По платам'!G134*$I$1</f>
        <v>0</v>
      </c>
      <c r="J132" s="29">
        <f>'По платам'!H134*$J$1</f>
        <v>0</v>
      </c>
      <c r="K132" s="29">
        <f>'По платам'!I134*$K$1</f>
        <v>0</v>
      </c>
      <c r="L132" s="29">
        <f>'По платам'!J134*$L$1</f>
        <v>1</v>
      </c>
      <c r="M132" s="29">
        <f>'По платам'!K134*$M$1</f>
        <v>0</v>
      </c>
      <c r="N132" s="29">
        <f>'По платам'!L134*'Состав прибора'!$B$16</f>
        <v>0</v>
      </c>
    </row>
    <row r="133" spans="1:14">
      <c r="A133" s="16" t="s">
        <v>133</v>
      </c>
      <c r="C133" s="18" t="s">
        <v>2790</v>
      </c>
      <c r="D133" s="25">
        <f t="shared" si="2"/>
        <v>0</v>
      </c>
      <c r="E133" s="29">
        <f>'По платам'!C135*$E$1</f>
        <v>0</v>
      </c>
      <c r="F133" s="29">
        <f>'По платам'!D135*$F$1</f>
        <v>0</v>
      </c>
      <c r="G133" s="29">
        <f>'По платам'!E135*$G$1</f>
        <v>0</v>
      </c>
      <c r="H133" s="29">
        <f>'По платам'!F135*$H$1</f>
        <v>0</v>
      </c>
      <c r="I133" s="29">
        <f>'По платам'!G135*$I$1</f>
        <v>0</v>
      </c>
      <c r="J133" s="29">
        <f>'По платам'!H135*$J$1</f>
        <v>0</v>
      </c>
      <c r="K133" s="29">
        <f>'По платам'!I135*$K$1</f>
        <v>0</v>
      </c>
      <c r="L133" s="29">
        <f>'По платам'!J135*$L$1</f>
        <v>0</v>
      </c>
      <c r="M133" s="29">
        <f>'По платам'!K135*$M$1</f>
        <v>0</v>
      </c>
      <c r="N133" s="29">
        <f>'По платам'!L135*'Состав прибора'!$B$16</f>
        <v>0</v>
      </c>
    </row>
    <row r="134" spans="1:14">
      <c r="A134" s="16" t="s">
        <v>133</v>
      </c>
      <c r="C134" s="18" t="s">
        <v>2786</v>
      </c>
      <c r="D134" s="25">
        <f t="shared" si="2"/>
        <v>0</v>
      </c>
      <c r="E134" s="29">
        <f>'По платам'!C136*$E$1</f>
        <v>0</v>
      </c>
      <c r="F134" s="29">
        <f>'По платам'!D136*$F$1</f>
        <v>0</v>
      </c>
      <c r="G134" s="29">
        <f>'По платам'!E136*$G$1</f>
        <v>0</v>
      </c>
      <c r="H134" s="29">
        <f>'По платам'!F136*$H$1</f>
        <v>0</v>
      </c>
      <c r="I134" s="29">
        <f>'По платам'!G136*$I$1</f>
        <v>0</v>
      </c>
      <c r="J134" s="29">
        <f>'По платам'!H136*$J$1</f>
        <v>0</v>
      </c>
      <c r="K134" s="29">
        <f>'По платам'!I136*$K$1</f>
        <v>0</v>
      </c>
      <c r="L134" s="29">
        <f>'По платам'!J136*$L$1</f>
        <v>0</v>
      </c>
      <c r="M134" s="29">
        <f>'По платам'!K136*$M$1</f>
        <v>0</v>
      </c>
      <c r="N134" s="29">
        <f>'По платам'!L136*'Состав прибора'!$B$16</f>
        <v>0</v>
      </c>
    </row>
    <row r="135" spans="1:14">
      <c r="A135" s="16" t="s">
        <v>133</v>
      </c>
      <c r="C135" s="18" t="s">
        <v>2000</v>
      </c>
      <c r="D135" s="25">
        <f t="shared" si="2"/>
        <v>0</v>
      </c>
      <c r="E135" s="29">
        <f>'По платам'!C137*$E$1</f>
        <v>0</v>
      </c>
      <c r="F135" s="29">
        <f>'По платам'!D137*$F$1</f>
        <v>0</v>
      </c>
      <c r="G135" s="29">
        <f>'По платам'!E137*$G$1</f>
        <v>0</v>
      </c>
      <c r="H135" s="29">
        <f>'По платам'!F137*$H$1</f>
        <v>0</v>
      </c>
      <c r="I135" s="29">
        <f>'По платам'!G137*$I$1</f>
        <v>0</v>
      </c>
      <c r="J135" s="29">
        <f>'По платам'!H137*$J$1</f>
        <v>0</v>
      </c>
      <c r="K135" s="29">
        <f>'По платам'!I137*$K$1</f>
        <v>0</v>
      </c>
      <c r="L135" s="29">
        <f>'По платам'!J137*$L$1</f>
        <v>0</v>
      </c>
      <c r="M135" s="29">
        <f>'По платам'!K137*$M$1</f>
        <v>0</v>
      </c>
      <c r="N135" s="29">
        <f>'По платам'!L137*'Состав прибора'!$B$16</f>
        <v>0</v>
      </c>
    </row>
    <row r="136" spans="1:14">
      <c r="A136" s="16" t="s">
        <v>133</v>
      </c>
      <c r="C136" s="18" t="s">
        <v>1977</v>
      </c>
      <c r="D136" s="25">
        <f t="shared" si="2"/>
        <v>0</v>
      </c>
      <c r="E136" s="29">
        <f>'По платам'!C138*$E$1</f>
        <v>0</v>
      </c>
      <c r="F136" s="29">
        <f>'По платам'!D138*$F$1</f>
        <v>0</v>
      </c>
      <c r="G136" s="29">
        <f>'По платам'!E138*$G$1</f>
        <v>0</v>
      </c>
      <c r="H136" s="29">
        <f>'По платам'!F138*$H$1</f>
        <v>0</v>
      </c>
      <c r="I136" s="29">
        <f>'По платам'!G138*$I$1</f>
        <v>0</v>
      </c>
      <c r="J136" s="29">
        <f>'По платам'!H138*$J$1</f>
        <v>0</v>
      </c>
      <c r="K136" s="29">
        <f>'По платам'!I138*$K$1</f>
        <v>0</v>
      </c>
      <c r="L136" s="29">
        <f>'По платам'!J138*$L$1</f>
        <v>0</v>
      </c>
      <c r="M136" s="29">
        <f>'По платам'!K138*$M$1</f>
        <v>0</v>
      </c>
      <c r="N136" s="29">
        <f>'По платам'!L138*'Состав прибора'!$B$16</f>
        <v>0</v>
      </c>
    </row>
    <row r="137" spans="1:14">
      <c r="A137" s="16" t="s">
        <v>133</v>
      </c>
      <c r="C137" s="18" t="s">
        <v>1989</v>
      </c>
      <c r="D137" s="25">
        <f t="shared" si="2"/>
        <v>0</v>
      </c>
      <c r="E137" s="29">
        <f>'По платам'!C139*$E$1</f>
        <v>0</v>
      </c>
      <c r="F137" s="29">
        <f>'По платам'!D139*$F$1</f>
        <v>0</v>
      </c>
      <c r="G137" s="29">
        <f>'По платам'!E139*$G$1</f>
        <v>0</v>
      </c>
      <c r="H137" s="29">
        <f>'По платам'!F139*$H$1</f>
        <v>0</v>
      </c>
      <c r="I137" s="29">
        <f>'По платам'!G139*$I$1</f>
        <v>0</v>
      </c>
      <c r="J137" s="29">
        <f>'По платам'!H139*$J$1</f>
        <v>0</v>
      </c>
      <c r="K137" s="29">
        <f>'По платам'!I139*$K$1</f>
        <v>0</v>
      </c>
      <c r="L137" s="29">
        <f>'По платам'!J139*$L$1</f>
        <v>0</v>
      </c>
      <c r="M137" s="29">
        <f>'По платам'!K139*$M$1</f>
        <v>0</v>
      </c>
      <c r="N137" s="29">
        <f>'По платам'!L139*'Состав прибора'!$B$16</f>
        <v>0</v>
      </c>
    </row>
    <row r="138" spans="1:14">
      <c r="A138" s="16" t="s">
        <v>133</v>
      </c>
      <c r="C138" s="18" t="s">
        <v>513</v>
      </c>
      <c r="D138" s="25">
        <f t="shared" si="2"/>
        <v>2</v>
      </c>
      <c r="E138" s="29">
        <f>'По платам'!C140*$E$1</f>
        <v>0</v>
      </c>
      <c r="F138" s="29">
        <f>'По платам'!D140*$F$1</f>
        <v>0</v>
      </c>
      <c r="G138" s="29">
        <f>'По платам'!E140*$G$1</f>
        <v>0</v>
      </c>
      <c r="H138" s="29">
        <f>'По платам'!F140*$H$1</f>
        <v>0</v>
      </c>
      <c r="I138" s="29">
        <f>'По платам'!G140*$I$1</f>
        <v>0</v>
      </c>
      <c r="J138" s="29">
        <f>'По платам'!H140*$J$1</f>
        <v>0</v>
      </c>
      <c r="K138" s="29">
        <f>'По платам'!I140*$K$1</f>
        <v>1</v>
      </c>
      <c r="L138" s="29">
        <f>'По платам'!J140*$L$1</f>
        <v>1</v>
      </c>
      <c r="M138" s="29">
        <f>'По платам'!K140*$M$1</f>
        <v>0</v>
      </c>
      <c r="N138" s="29">
        <f>'По платам'!L140*'Состав прибора'!$B$16</f>
        <v>0</v>
      </c>
    </row>
    <row r="139" spans="1:14">
      <c r="A139" s="16" t="s">
        <v>133</v>
      </c>
      <c r="C139" s="18" t="s">
        <v>3023</v>
      </c>
      <c r="D139" s="25">
        <f t="shared" si="2"/>
        <v>2</v>
      </c>
      <c r="E139" s="29">
        <f>'По платам'!C141*$E$1</f>
        <v>0</v>
      </c>
      <c r="F139" s="29">
        <f>'По платам'!D141*$F$1</f>
        <v>0</v>
      </c>
      <c r="G139" s="29">
        <f>'По платам'!E141*$G$1</f>
        <v>0</v>
      </c>
      <c r="H139" s="29">
        <f>'По платам'!F141*$H$1</f>
        <v>0</v>
      </c>
      <c r="I139" s="29">
        <f>'По платам'!G141*$I$1</f>
        <v>0</v>
      </c>
      <c r="J139" s="29">
        <f>'По платам'!H141*$J$1</f>
        <v>0</v>
      </c>
      <c r="K139" s="29">
        <f>'По платам'!I141*$K$1</f>
        <v>0</v>
      </c>
      <c r="L139" s="29">
        <f>'По платам'!J141*$L$1</f>
        <v>2</v>
      </c>
      <c r="M139" s="29">
        <f>'По платам'!K141*$M$1</f>
        <v>0</v>
      </c>
      <c r="N139" s="29">
        <f>'По платам'!L141*'Состав прибора'!$B$16</f>
        <v>0</v>
      </c>
    </row>
    <row r="140" spans="1:14">
      <c r="A140" s="16" t="s">
        <v>133</v>
      </c>
      <c r="C140" s="18" t="s">
        <v>1222</v>
      </c>
      <c r="D140" s="25">
        <f t="shared" si="2"/>
        <v>2</v>
      </c>
      <c r="E140" s="29">
        <f>'По платам'!C142*$E$1</f>
        <v>0</v>
      </c>
      <c r="F140" s="29">
        <f>'По платам'!D142*$F$1</f>
        <v>0</v>
      </c>
      <c r="G140" s="29">
        <f>'По платам'!E142*$G$1</f>
        <v>0</v>
      </c>
      <c r="H140" s="29">
        <f>'По платам'!F142*$H$1</f>
        <v>0</v>
      </c>
      <c r="I140" s="29">
        <f>'По платам'!G142*$I$1</f>
        <v>0</v>
      </c>
      <c r="J140" s="29">
        <f>'По платам'!H142*$J$1</f>
        <v>2</v>
      </c>
      <c r="K140" s="29">
        <f>'По платам'!I142*$K$1</f>
        <v>0</v>
      </c>
      <c r="L140" s="29">
        <f>'По платам'!J142*$L$1</f>
        <v>0</v>
      </c>
      <c r="M140" s="29">
        <f>'По платам'!K142*$M$1</f>
        <v>0</v>
      </c>
      <c r="N140" s="29">
        <f>'По платам'!L142*'Состав прибора'!$B$16</f>
        <v>0</v>
      </c>
    </row>
    <row r="141" spans="1:14">
      <c r="A141" s="16" t="s">
        <v>133</v>
      </c>
      <c r="C141" s="18" t="s">
        <v>1065</v>
      </c>
      <c r="D141" s="25">
        <f t="shared" si="2"/>
        <v>1</v>
      </c>
      <c r="E141" s="29">
        <f>'По платам'!C143*$E$1</f>
        <v>0</v>
      </c>
      <c r="F141" s="29">
        <f>'По платам'!D143*$F$1</f>
        <v>0</v>
      </c>
      <c r="G141" s="29">
        <f>'По платам'!E143*$G$1</f>
        <v>0</v>
      </c>
      <c r="H141" s="29">
        <f>'По платам'!F143*$H$1</f>
        <v>0</v>
      </c>
      <c r="I141" s="29">
        <f>'По платам'!G143*$I$1</f>
        <v>0</v>
      </c>
      <c r="J141" s="29">
        <f>'По платам'!H143*$J$1</f>
        <v>0</v>
      </c>
      <c r="K141" s="29">
        <f>'По платам'!I143*$K$1</f>
        <v>1</v>
      </c>
      <c r="L141" s="29">
        <f>'По платам'!J143*$L$1</f>
        <v>0</v>
      </c>
      <c r="M141" s="29">
        <f>'По платам'!K143*$M$1</f>
        <v>0</v>
      </c>
      <c r="N141" s="29">
        <f>'По платам'!L143*'Состав прибора'!$B$16</f>
        <v>0</v>
      </c>
    </row>
    <row r="142" spans="1:14">
      <c r="A142" s="16" t="s">
        <v>133</v>
      </c>
      <c r="C142" s="18" t="s">
        <v>2037</v>
      </c>
      <c r="D142" s="25">
        <f t="shared" si="2"/>
        <v>0</v>
      </c>
      <c r="E142" s="29">
        <f>'По платам'!C144*$E$1</f>
        <v>0</v>
      </c>
      <c r="F142" s="29">
        <f>'По платам'!D144*$F$1</f>
        <v>0</v>
      </c>
      <c r="G142" s="29">
        <f>'По платам'!E144*$G$1</f>
        <v>0</v>
      </c>
      <c r="H142" s="29">
        <f>'По платам'!F144*$H$1</f>
        <v>0</v>
      </c>
      <c r="I142" s="29">
        <f>'По платам'!G144*$I$1</f>
        <v>0</v>
      </c>
      <c r="J142" s="29">
        <f>'По платам'!H144*$J$1</f>
        <v>0</v>
      </c>
      <c r="K142" s="29">
        <f>'По платам'!I144*$K$1</f>
        <v>0</v>
      </c>
      <c r="L142" s="29">
        <f>'По платам'!J144*$L$1</f>
        <v>0</v>
      </c>
      <c r="M142" s="29">
        <f>'По платам'!K144*$M$1</f>
        <v>0</v>
      </c>
      <c r="N142" s="29">
        <f>'По платам'!L144*'Состав прибора'!$B$16</f>
        <v>0</v>
      </c>
    </row>
    <row r="143" spans="1:14">
      <c r="A143" s="16" t="s">
        <v>133</v>
      </c>
      <c r="C143" s="18" t="s">
        <v>1985</v>
      </c>
      <c r="D143" s="25">
        <f t="shared" si="2"/>
        <v>0</v>
      </c>
      <c r="E143" s="29">
        <f>'По платам'!C145*$E$1</f>
        <v>0</v>
      </c>
      <c r="F143" s="29">
        <f>'По платам'!D145*$F$1</f>
        <v>0</v>
      </c>
      <c r="G143" s="29">
        <f>'По платам'!E145*$G$1</f>
        <v>0</v>
      </c>
      <c r="H143" s="29">
        <f>'По платам'!F145*$H$1</f>
        <v>0</v>
      </c>
      <c r="I143" s="29">
        <f>'По платам'!G145*$I$1</f>
        <v>0</v>
      </c>
      <c r="J143" s="29">
        <f>'По платам'!H145*$J$1</f>
        <v>0</v>
      </c>
      <c r="K143" s="29">
        <f>'По платам'!I145*$K$1</f>
        <v>0</v>
      </c>
      <c r="L143" s="29">
        <f>'По платам'!J145*$L$1</f>
        <v>0</v>
      </c>
      <c r="M143" s="29">
        <f>'По платам'!K145*$M$1</f>
        <v>0</v>
      </c>
      <c r="N143" s="29">
        <f>'По платам'!L145*'Состав прибора'!$B$16</f>
        <v>0</v>
      </c>
    </row>
    <row r="144" spans="1:14">
      <c r="A144" s="16" t="s">
        <v>133</v>
      </c>
      <c r="C144" s="18" t="s">
        <v>132</v>
      </c>
      <c r="D144" s="25">
        <f t="shared" si="2"/>
        <v>0</v>
      </c>
      <c r="E144" s="29">
        <f>'По платам'!C146*$E$1</f>
        <v>0</v>
      </c>
      <c r="F144" s="29">
        <f>'По платам'!D146*$F$1</f>
        <v>0</v>
      </c>
      <c r="G144" s="29">
        <f>'По платам'!E146*$G$1</f>
        <v>0</v>
      </c>
      <c r="H144" s="29">
        <f>'По платам'!F146*$H$1</f>
        <v>0</v>
      </c>
      <c r="I144" s="29">
        <f>'По платам'!G146*$I$1</f>
        <v>0</v>
      </c>
      <c r="J144" s="29">
        <f>'По платам'!H146*$J$1</f>
        <v>0</v>
      </c>
      <c r="K144" s="29">
        <f>'По платам'!I146*$K$1</f>
        <v>0</v>
      </c>
      <c r="L144" s="29">
        <f>'По платам'!J146*$L$1</f>
        <v>0</v>
      </c>
      <c r="M144" s="29">
        <f>'По платам'!K146*$M$1</f>
        <v>0</v>
      </c>
      <c r="N144" s="29">
        <f>'По платам'!L146*'Состав прибора'!$B$16</f>
        <v>0</v>
      </c>
    </row>
    <row r="145" spans="1:14">
      <c r="A145" s="16" t="s">
        <v>133</v>
      </c>
      <c r="C145" s="18" t="s">
        <v>2033</v>
      </c>
      <c r="D145" s="25">
        <f t="shared" si="2"/>
        <v>0</v>
      </c>
      <c r="E145" s="29">
        <f>'По платам'!C147*$E$1</f>
        <v>0</v>
      </c>
      <c r="F145" s="29">
        <f>'По платам'!D147*$F$1</f>
        <v>0</v>
      </c>
      <c r="G145" s="29">
        <f>'По платам'!E147*$G$1</f>
        <v>0</v>
      </c>
      <c r="H145" s="29">
        <f>'По платам'!F147*$H$1</f>
        <v>0</v>
      </c>
      <c r="I145" s="29">
        <f>'По платам'!G147*$I$1</f>
        <v>0</v>
      </c>
      <c r="J145" s="29">
        <f>'По платам'!H147*$J$1</f>
        <v>0</v>
      </c>
      <c r="K145" s="29">
        <f>'По платам'!I147*$K$1</f>
        <v>0</v>
      </c>
      <c r="L145" s="29">
        <f>'По платам'!J147*$L$1</f>
        <v>0</v>
      </c>
      <c r="M145" s="29">
        <f>'По платам'!K147*$M$1</f>
        <v>0</v>
      </c>
      <c r="N145" s="29">
        <f>'По платам'!L147*'Состав прибора'!$B$16</f>
        <v>0</v>
      </c>
    </row>
    <row r="146" spans="1:14">
      <c r="A146" s="16" t="s">
        <v>133</v>
      </c>
      <c r="C146" s="18" t="s">
        <v>1083</v>
      </c>
      <c r="D146" s="25">
        <f t="shared" si="2"/>
        <v>2</v>
      </c>
      <c r="E146" s="29">
        <f>'По платам'!C148*$E$1</f>
        <v>0</v>
      </c>
      <c r="F146" s="29">
        <f>'По платам'!D148*$F$1</f>
        <v>0</v>
      </c>
      <c r="G146" s="29">
        <f>'По платам'!E148*$G$1</f>
        <v>0</v>
      </c>
      <c r="H146" s="29">
        <f>'По платам'!F148*$H$1</f>
        <v>1</v>
      </c>
      <c r="I146" s="29">
        <f>'По платам'!G148*$I$1</f>
        <v>0</v>
      </c>
      <c r="J146" s="29">
        <f>'По платам'!H148*$J$1</f>
        <v>0</v>
      </c>
      <c r="K146" s="29">
        <f>'По платам'!I148*$K$1</f>
        <v>1</v>
      </c>
      <c r="L146" s="29">
        <f>'По платам'!J148*$L$1</f>
        <v>0</v>
      </c>
      <c r="M146" s="29">
        <f>'По платам'!K148*$M$1</f>
        <v>0</v>
      </c>
      <c r="N146" s="29">
        <f>'По платам'!L148*'Состав прибора'!$B$16</f>
        <v>0</v>
      </c>
    </row>
    <row r="147" spans="1:14">
      <c r="A147" s="16" t="s">
        <v>133</v>
      </c>
      <c r="C147" s="18" t="s">
        <v>1228</v>
      </c>
      <c r="D147" s="25">
        <f t="shared" si="2"/>
        <v>5</v>
      </c>
      <c r="E147" s="29">
        <f>'По платам'!C149*$E$1</f>
        <v>0</v>
      </c>
      <c r="F147" s="29">
        <f>'По платам'!D149*$F$1</f>
        <v>0</v>
      </c>
      <c r="G147" s="29">
        <f>'По платам'!E149*$G$1</f>
        <v>0</v>
      </c>
      <c r="H147" s="29">
        <f>'По платам'!F149*$H$1</f>
        <v>0</v>
      </c>
      <c r="I147" s="29">
        <f>'По платам'!G149*$I$1</f>
        <v>0</v>
      </c>
      <c r="J147" s="29">
        <f>'По платам'!H149*$J$1</f>
        <v>5</v>
      </c>
      <c r="K147" s="29">
        <f>'По платам'!I149*$K$1</f>
        <v>0</v>
      </c>
      <c r="L147" s="29">
        <f>'По платам'!J149*$L$1</f>
        <v>0</v>
      </c>
      <c r="M147" s="29">
        <f>'По платам'!K149*$M$1</f>
        <v>0</v>
      </c>
      <c r="N147" s="29">
        <f>'По платам'!L149*'Состав прибора'!$B$16</f>
        <v>0</v>
      </c>
    </row>
    <row r="148" spans="1:14">
      <c r="A148" s="16" t="s">
        <v>133</v>
      </c>
      <c r="C148" s="18" t="s">
        <v>1087</v>
      </c>
      <c r="D148" s="25">
        <f t="shared" si="2"/>
        <v>1</v>
      </c>
      <c r="E148" s="29">
        <f>'По платам'!C150*$E$1</f>
        <v>0</v>
      </c>
      <c r="F148" s="29">
        <f>'По платам'!D150*$F$1</f>
        <v>0</v>
      </c>
      <c r="G148" s="29">
        <f>'По платам'!E150*$G$1</f>
        <v>0</v>
      </c>
      <c r="H148" s="29">
        <f>'По платам'!F150*$H$1</f>
        <v>0</v>
      </c>
      <c r="I148" s="29">
        <f>'По платам'!G150*$I$1</f>
        <v>0</v>
      </c>
      <c r="J148" s="29">
        <f>'По платам'!H150*$J$1</f>
        <v>0</v>
      </c>
      <c r="K148" s="29">
        <f>'По платам'!I150*$K$1</f>
        <v>1</v>
      </c>
      <c r="L148" s="29">
        <f>'По платам'!J150*$L$1</f>
        <v>0</v>
      </c>
      <c r="M148" s="29">
        <f>'По платам'!K150*$M$1</f>
        <v>0</v>
      </c>
      <c r="N148" s="29">
        <f>'По платам'!L150*'Состав прибора'!$B$16</f>
        <v>0</v>
      </c>
    </row>
    <row r="149" spans="1:14">
      <c r="A149" s="16" t="s">
        <v>133</v>
      </c>
      <c r="C149" s="18" t="s">
        <v>1973</v>
      </c>
      <c r="D149" s="25">
        <f t="shared" si="2"/>
        <v>0</v>
      </c>
      <c r="E149" s="29">
        <f>'По платам'!C151*$E$1</f>
        <v>0</v>
      </c>
      <c r="F149" s="29">
        <f>'По платам'!D151*$F$1</f>
        <v>0</v>
      </c>
      <c r="G149" s="29">
        <f>'По платам'!E151*$G$1</f>
        <v>0</v>
      </c>
      <c r="H149" s="29">
        <f>'По платам'!F151*$H$1</f>
        <v>0</v>
      </c>
      <c r="I149" s="29">
        <f>'По платам'!G151*$I$1</f>
        <v>0</v>
      </c>
      <c r="J149" s="29">
        <f>'По платам'!H151*$J$1</f>
        <v>0</v>
      </c>
      <c r="K149" s="29">
        <f>'По платам'!I151*$K$1</f>
        <v>0</v>
      </c>
      <c r="L149" s="29">
        <f>'По платам'!J151*$L$1</f>
        <v>0</v>
      </c>
      <c r="M149" s="29">
        <f>'По платам'!K151*$M$1</f>
        <v>0</v>
      </c>
      <c r="N149" s="29">
        <f>'По платам'!L151*'Состав прибора'!$B$16</f>
        <v>0</v>
      </c>
    </row>
    <row r="150" spans="1:14">
      <c r="A150" s="16" t="s">
        <v>133</v>
      </c>
      <c r="C150" s="18" t="s">
        <v>537</v>
      </c>
      <c r="D150" s="25">
        <f t="shared" si="2"/>
        <v>3</v>
      </c>
      <c r="E150" s="29">
        <f>'По платам'!C152*$E$1</f>
        <v>0</v>
      </c>
      <c r="F150" s="29">
        <f>'По платам'!D152*$F$1</f>
        <v>0</v>
      </c>
      <c r="G150" s="29">
        <f>'По платам'!E152*$G$1</f>
        <v>0</v>
      </c>
      <c r="H150" s="29">
        <f>'По платам'!F152*$H$1</f>
        <v>0</v>
      </c>
      <c r="I150" s="29">
        <f>'По платам'!G152*$I$1</f>
        <v>0</v>
      </c>
      <c r="J150" s="29">
        <f>'По платам'!H152*$J$1</f>
        <v>1</v>
      </c>
      <c r="K150" s="29">
        <f>'По платам'!I152*$K$1</f>
        <v>1</v>
      </c>
      <c r="L150" s="29">
        <f>'По платам'!J152*$L$1</f>
        <v>1</v>
      </c>
      <c r="M150" s="29">
        <f>'По платам'!K152*$M$1</f>
        <v>0</v>
      </c>
      <c r="N150" s="29">
        <f>'По платам'!L152*'Состав прибора'!$B$16</f>
        <v>0</v>
      </c>
    </row>
    <row r="151" spans="1:14">
      <c r="A151" s="16" t="s">
        <v>133</v>
      </c>
      <c r="C151" s="18" t="s">
        <v>1076</v>
      </c>
      <c r="D151" s="25">
        <f t="shared" si="2"/>
        <v>3</v>
      </c>
      <c r="E151" s="29">
        <f>'По платам'!C153*$E$1</f>
        <v>0</v>
      </c>
      <c r="F151" s="29">
        <f>'По платам'!D153*$F$1</f>
        <v>0</v>
      </c>
      <c r="G151" s="29">
        <f>'По платам'!E153*$G$1</f>
        <v>0</v>
      </c>
      <c r="H151" s="29">
        <f>'По платам'!F153*$H$1</f>
        <v>1</v>
      </c>
      <c r="I151" s="29">
        <f>'По платам'!G153*$I$1</f>
        <v>0</v>
      </c>
      <c r="J151" s="29">
        <f>'По платам'!H153*$J$1</f>
        <v>1</v>
      </c>
      <c r="K151" s="29">
        <f>'По платам'!I153*$K$1</f>
        <v>1</v>
      </c>
      <c r="L151" s="29">
        <f>'По платам'!J153*$L$1</f>
        <v>0</v>
      </c>
      <c r="M151" s="29">
        <f>'По платам'!K153*$M$1</f>
        <v>0</v>
      </c>
      <c r="N151" s="29">
        <f>'По платам'!L153*'Состав прибора'!$B$16</f>
        <v>0</v>
      </c>
    </row>
    <row r="152" spans="1:14">
      <c r="A152" s="16" t="s">
        <v>133</v>
      </c>
      <c r="C152" s="18" t="s">
        <v>1079</v>
      </c>
      <c r="D152" s="25">
        <f t="shared" si="2"/>
        <v>2</v>
      </c>
      <c r="E152" s="29">
        <f>'По платам'!C154*$E$1</f>
        <v>0</v>
      </c>
      <c r="F152" s="29">
        <f>'По платам'!D154*$F$1</f>
        <v>0</v>
      </c>
      <c r="G152" s="29">
        <f>'По платам'!E154*$G$1</f>
        <v>0</v>
      </c>
      <c r="H152" s="29">
        <f>'По платам'!F154*$H$1</f>
        <v>0</v>
      </c>
      <c r="I152" s="29">
        <f>'По платам'!G154*$I$1</f>
        <v>0</v>
      </c>
      <c r="J152" s="29">
        <f>'По платам'!H154*$J$1</f>
        <v>1</v>
      </c>
      <c r="K152" s="29">
        <f>'По платам'!I154*$K$1</f>
        <v>1</v>
      </c>
      <c r="L152" s="29">
        <f>'По платам'!J154*$L$1</f>
        <v>0</v>
      </c>
      <c r="M152" s="29">
        <f>'По платам'!K154*$M$1</f>
        <v>0</v>
      </c>
      <c r="N152" s="29">
        <f>'По платам'!L154*'Состав прибора'!$B$16</f>
        <v>0</v>
      </c>
    </row>
    <row r="153" spans="1:14">
      <c r="A153" s="16" t="s">
        <v>133</v>
      </c>
      <c r="C153" s="18" t="s">
        <v>518</v>
      </c>
      <c r="D153" s="25">
        <f t="shared" si="2"/>
        <v>11</v>
      </c>
      <c r="E153" s="29">
        <f>'По платам'!C155*$E$1</f>
        <v>0</v>
      </c>
      <c r="F153" s="29">
        <f>'По платам'!D155*$F$1</f>
        <v>0</v>
      </c>
      <c r="G153" s="29">
        <f>'По платам'!E155*$G$1</f>
        <v>0</v>
      </c>
      <c r="H153" s="29">
        <f>'По платам'!F155*$H$1</f>
        <v>0</v>
      </c>
      <c r="I153" s="29">
        <f>'По платам'!G155*$I$1</f>
        <v>4</v>
      </c>
      <c r="J153" s="29">
        <f>'По платам'!H155*$J$1</f>
        <v>4</v>
      </c>
      <c r="K153" s="29">
        <f>'По платам'!I155*$K$1</f>
        <v>0</v>
      </c>
      <c r="L153" s="29">
        <f>'По платам'!J155*$L$1</f>
        <v>3</v>
      </c>
      <c r="M153" s="29">
        <f>'По платам'!K155*$M$1</f>
        <v>0</v>
      </c>
      <c r="N153" s="29">
        <f>'По платам'!L155*'Состав прибора'!$B$16</f>
        <v>0</v>
      </c>
    </row>
    <row r="154" spans="1:14">
      <c r="A154" s="16" t="s">
        <v>133</v>
      </c>
      <c r="C154" s="18" t="s">
        <v>1450</v>
      </c>
      <c r="D154" s="25">
        <f t="shared" si="2"/>
        <v>1</v>
      </c>
      <c r="E154" s="29">
        <f>'По платам'!C156*$E$1</f>
        <v>0</v>
      </c>
      <c r="F154" s="29">
        <f>'По платам'!D156*$F$1</f>
        <v>0</v>
      </c>
      <c r="G154" s="29">
        <f>'По платам'!E156*$G$1</f>
        <v>0</v>
      </c>
      <c r="H154" s="29">
        <f>'По платам'!F156*$H$1</f>
        <v>1</v>
      </c>
      <c r="I154" s="29">
        <f>'По платам'!G156*$I$1</f>
        <v>0</v>
      </c>
      <c r="J154" s="29">
        <f>'По платам'!H156*$J$1</f>
        <v>0</v>
      </c>
      <c r="K154" s="29">
        <f>'По платам'!I156*$K$1</f>
        <v>0</v>
      </c>
      <c r="L154" s="29">
        <f>'По платам'!J156*$L$1</f>
        <v>0</v>
      </c>
      <c r="M154" s="29">
        <f>'По платам'!K156*$M$1</f>
        <v>0</v>
      </c>
      <c r="N154" s="29">
        <f>'По платам'!L156*'Состав прибора'!$B$16</f>
        <v>0</v>
      </c>
    </row>
    <row r="155" spans="1:14">
      <c r="A155" s="16" t="s">
        <v>133</v>
      </c>
      <c r="C155" s="18" t="s">
        <v>1233</v>
      </c>
      <c r="D155" s="25">
        <f t="shared" si="2"/>
        <v>1</v>
      </c>
      <c r="E155" s="29">
        <f>'По платам'!C157*$E$1</f>
        <v>0</v>
      </c>
      <c r="F155" s="29">
        <f>'По платам'!D157*$F$1</f>
        <v>0</v>
      </c>
      <c r="G155" s="29">
        <f>'По платам'!E157*$G$1</f>
        <v>0</v>
      </c>
      <c r="H155" s="29">
        <f>'По платам'!F157*$H$1</f>
        <v>0</v>
      </c>
      <c r="I155" s="29">
        <f>'По платам'!G157*$I$1</f>
        <v>0</v>
      </c>
      <c r="J155" s="29">
        <f>'По платам'!H157*$J$1</f>
        <v>1</v>
      </c>
      <c r="K155" s="29">
        <f>'По платам'!I157*$K$1</f>
        <v>0</v>
      </c>
      <c r="L155" s="29">
        <f>'По платам'!J157*$L$1</f>
        <v>0</v>
      </c>
      <c r="M155" s="29">
        <f>'По платам'!K157*$M$1</f>
        <v>0</v>
      </c>
      <c r="N155" s="29">
        <f>'По платам'!L157*'Состав прибора'!$B$16</f>
        <v>0</v>
      </c>
    </row>
    <row r="156" spans="1:14">
      <c r="A156" s="16" t="s">
        <v>133</v>
      </c>
      <c r="C156" s="18" t="s">
        <v>1117</v>
      </c>
      <c r="D156" s="25">
        <f t="shared" si="2"/>
        <v>1</v>
      </c>
      <c r="E156" s="29">
        <f>'По платам'!C158*$E$1</f>
        <v>0</v>
      </c>
      <c r="F156" s="29">
        <f>'По платам'!D158*$F$1</f>
        <v>0</v>
      </c>
      <c r="G156" s="29">
        <f>'По платам'!E158*$G$1</f>
        <v>0</v>
      </c>
      <c r="H156" s="29">
        <f>'По платам'!F158*$H$1</f>
        <v>0</v>
      </c>
      <c r="I156" s="29">
        <f>'По платам'!G158*$I$1</f>
        <v>0</v>
      </c>
      <c r="J156" s="29">
        <f>'По платам'!H158*$J$1</f>
        <v>1</v>
      </c>
      <c r="K156" s="29">
        <f>'По платам'!I158*$K$1</f>
        <v>0</v>
      </c>
      <c r="L156" s="29">
        <f>'По платам'!J158*$L$1</f>
        <v>0</v>
      </c>
      <c r="M156" s="29">
        <f>'По платам'!K158*$M$1</f>
        <v>0</v>
      </c>
      <c r="N156" s="29">
        <f>'По платам'!L158*'Состав прибора'!$B$16</f>
        <v>0</v>
      </c>
    </row>
    <row r="157" spans="1:14">
      <c r="A157" s="16" t="s">
        <v>250</v>
      </c>
      <c r="C157" s="18" t="s">
        <v>249</v>
      </c>
      <c r="D157" s="25">
        <f t="shared" si="2"/>
        <v>283</v>
      </c>
      <c r="E157" s="29">
        <f>'По платам'!C159*$E$1</f>
        <v>0</v>
      </c>
      <c r="F157" s="29">
        <f>'По платам'!D159*$F$1</f>
        <v>0</v>
      </c>
      <c r="G157" s="29">
        <f>'По платам'!E159*$G$1</f>
        <v>0</v>
      </c>
      <c r="H157" s="29">
        <f>'По платам'!F159*$H$1</f>
        <v>0</v>
      </c>
      <c r="I157" s="29">
        <f>'По платам'!G159*$I$1</f>
        <v>0</v>
      </c>
      <c r="J157" s="29">
        <f>'По платам'!H159*$J$1</f>
        <v>0</v>
      </c>
      <c r="K157" s="29">
        <f>'По платам'!I159*$K$1</f>
        <v>254</v>
      </c>
      <c r="L157" s="29">
        <f>'По платам'!J159*$L$1</f>
        <v>29</v>
      </c>
      <c r="M157" s="29">
        <f>'По платам'!K159*$M$1</f>
        <v>0</v>
      </c>
      <c r="N157" s="29">
        <f>'По платам'!L159*'Состав прибора'!$B$16</f>
        <v>0</v>
      </c>
    </row>
    <row r="158" spans="1:14">
      <c r="A158" s="16" t="s">
        <v>250</v>
      </c>
      <c r="C158" s="18" t="s">
        <v>277</v>
      </c>
      <c r="D158" s="25">
        <f t="shared" si="2"/>
        <v>33</v>
      </c>
      <c r="E158" s="29">
        <f>'По платам'!C160*$E$1</f>
        <v>0</v>
      </c>
      <c r="F158" s="29">
        <f>'По платам'!D160*$F$1</f>
        <v>0</v>
      </c>
      <c r="G158" s="29">
        <f>'По платам'!E160*$G$1</f>
        <v>0</v>
      </c>
      <c r="H158" s="29">
        <f>'По платам'!F160*$H$1</f>
        <v>0</v>
      </c>
      <c r="I158" s="29">
        <f>'По платам'!G160*$I$1</f>
        <v>0</v>
      </c>
      <c r="J158" s="29">
        <f>'По платам'!H160*$J$1</f>
        <v>0</v>
      </c>
      <c r="K158" s="29">
        <f>'По платам'!I160*$K$1</f>
        <v>30</v>
      </c>
      <c r="L158" s="29">
        <f>'По платам'!J160*$L$1</f>
        <v>3</v>
      </c>
      <c r="M158" s="29">
        <f>'По платам'!K160*$M$1</f>
        <v>0</v>
      </c>
      <c r="N158" s="29">
        <f>'По платам'!L160*'Состав прибора'!$B$16</f>
        <v>0</v>
      </c>
    </row>
    <row r="159" spans="1:14">
      <c r="A159" s="16" t="s">
        <v>3037</v>
      </c>
      <c r="C159" s="18" t="s">
        <v>2950</v>
      </c>
      <c r="D159" s="25">
        <f t="shared" si="2"/>
        <v>2</v>
      </c>
      <c r="E159" s="29">
        <f>'По платам'!C161*$E$1</f>
        <v>0</v>
      </c>
      <c r="F159" s="29">
        <f>'По платам'!D161*$F$1</f>
        <v>0</v>
      </c>
      <c r="G159" s="29">
        <f>'По платам'!E161*$G$1</f>
        <v>0</v>
      </c>
      <c r="H159" s="29">
        <f>'По платам'!F161*$H$1</f>
        <v>0</v>
      </c>
      <c r="I159" s="29">
        <f>'По платам'!G161*$I$1</f>
        <v>0</v>
      </c>
      <c r="J159" s="29">
        <f>'По платам'!H161*$J$1</f>
        <v>0</v>
      </c>
      <c r="K159" s="29">
        <f>'По платам'!I161*$K$1</f>
        <v>0</v>
      </c>
      <c r="L159" s="29">
        <f>'По платам'!J161*$L$1</f>
        <v>2</v>
      </c>
      <c r="M159" s="29">
        <f>'По платам'!K161*$M$1</f>
        <v>0</v>
      </c>
      <c r="N159" s="29">
        <f>'По платам'!L161*'Состав прибора'!$B$16</f>
        <v>0</v>
      </c>
    </row>
    <row r="160" spans="1:14">
      <c r="A160" s="16" t="s">
        <v>1570</v>
      </c>
      <c r="C160" s="18" t="s">
        <v>1569</v>
      </c>
      <c r="D160" s="25">
        <f t="shared" si="2"/>
        <v>0</v>
      </c>
      <c r="E160" s="29">
        <f>'По платам'!C162*$E$1</f>
        <v>0</v>
      </c>
      <c r="F160" s="29">
        <f>'По платам'!D162*$F$1</f>
        <v>0</v>
      </c>
      <c r="G160" s="29">
        <f>'По платам'!E162*$G$1</f>
        <v>0</v>
      </c>
      <c r="H160" s="29">
        <f>'По платам'!F162*$H$1</f>
        <v>0</v>
      </c>
      <c r="I160" s="29">
        <f>'По платам'!G162*$I$1</f>
        <v>0</v>
      </c>
      <c r="J160" s="29">
        <f>'По платам'!H162*$J$1</f>
        <v>0</v>
      </c>
      <c r="K160" s="29">
        <f>'По платам'!I162*$K$1</f>
        <v>0</v>
      </c>
      <c r="L160" s="29">
        <f>'По платам'!J162*$L$1</f>
        <v>0</v>
      </c>
      <c r="M160" s="29">
        <f>'По платам'!K162*$M$1</f>
        <v>0</v>
      </c>
      <c r="N160" s="29">
        <f>'По платам'!L162*'Состав прибора'!$B$16</f>
        <v>0</v>
      </c>
    </row>
    <row r="161" spans="1:14">
      <c r="A161" s="16" t="s">
        <v>1570</v>
      </c>
      <c r="C161" s="18" t="s">
        <v>1578</v>
      </c>
      <c r="D161" s="25">
        <f t="shared" si="2"/>
        <v>0</v>
      </c>
      <c r="E161" s="29">
        <f>'По платам'!C163*$E$1</f>
        <v>0</v>
      </c>
      <c r="F161" s="29">
        <f>'По платам'!D163*$F$1</f>
        <v>0</v>
      </c>
      <c r="G161" s="29">
        <f>'По платам'!E163*$G$1</f>
        <v>0</v>
      </c>
      <c r="H161" s="29">
        <f>'По платам'!F163*$H$1</f>
        <v>0</v>
      </c>
      <c r="I161" s="29">
        <f>'По платам'!G163*$I$1</f>
        <v>0</v>
      </c>
      <c r="J161" s="29">
        <f>'По платам'!H163*$J$1</f>
        <v>0</v>
      </c>
      <c r="K161" s="29">
        <f>'По платам'!I163*$K$1</f>
        <v>0</v>
      </c>
      <c r="L161" s="29">
        <f>'По платам'!J163*$L$1</f>
        <v>0</v>
      </c>
      <c r="M161" s="29">
        <f>'По платам'!K163*$M$1</f>
        <v>0</v>
      </c>
      <c r="N161" s="29">
        <f>'По платам'!L163*'Состав прибора'!$B$16</f>
        <v>0</v>
      </c>
    </row>
    <row r="162" spans="1:14">
      <c r="A162" s="16" t="s">
        <v>1570</v>
      </c>
      <c r="C162" s="18" t="s">
        <v>1574</v>
      </c>
      <c r="D162" s="25">
        <f t="shared" si="2"/>
        <v>0</v>
      </c>
      <c r="E162" s="29">
        <f>'По платам'!C164*$E$1</f>
        <v>0</v>
      </c>
      <c r="F162" s="29">
        <f>'По платам'!D164*$F$1</f>
        <v>0</v>
      </c>
      <c r="G162" s="29">
        <f>'По платам'!E164*$G$1</f>
        <v>0</v>
      </c>
      <c r="H162" s="29">
        <f>'По платам'!F164*$H$1</f>
        <v>0</v>
      </c>
      <c r="I162" s="29">
        <f>'По платам'!G164*$I$1</f>
        <v>0</v>
      </c>
      <c r="J162" s="29">
        <f>'По платам'!H164*$J$1</f>
        <v>0</v>
      </c>
      <c r="K162" s="29">
        <f>'По платам'!I164*$K$1</f>
        <v>0</v>
      </c>
      <c r="L162" s="29">
        <f>'По платам'!J164*$L$1</f>
        <v>0</v>
      </c>
      <c r="M162" s="29">
        <f>'По платам'!K164*$M$1</f>
        <v>0</v>
      </c>
      <c r="N162" s="29">
        <f>'По платам'!L164*'Состав прибора'!$B$16</f>
        <v>0</v>
      </c>
    </row>
    <row r="163" spans="1:14">
      <c r="A163" s="16" t="s">
        <v>1570</v>
      </c>
      <c r="C163" s="18" t="s">
        <v>1582</v>
      </c>
      <c r="D163" s="25">
        <f t="shared" si="2"/>
        <v>0</v>
      </c>
      <c r="E163" s="29">
        <f>'По платам'!C165*$E$1</f>
        <v>0</v>
      </c>
      <c r="F163" s="29">
        <f>'По платам'!D165*$F$1</f>
        <v>0</v>
      </c>
      <c r="G163" s="29">
        <f>'По платам'!E165*$G$1</f>
        <v>0</v>
      </c>
      <c r="H163" s="29">
        <f>'По платам'!F165*$H$1</f>
        <v>0</v>
      </c>
      <c r="I163" s="29">
        <f>'По платам'!G165*$I$1</f>
        <v>0</v>
      </c>
      <c r="J163" s="29">
        <f>'По платам'!H165*$J$1</f>
        <v>0</v>
      </c>
      <c r="K163" s="29">
        <f>'По платам'!I165*$K$1</f>
        <v>0</v>
      </c>
      <c r="L163" s="29">
        <f>'По платам'!J165*$L$1</f>
        <v>0</v>
      </c>
      <c r="M163" s="29">
        <f>'По платам'!K165*$M$1</f>
        <v>0</v>
      </c>
      <c r="N163" s="29">
        <f>'По платам'!L165*'Состав прибора'!$B$16</f>
        <v>0</v>
      </c>
    </row>
    <row r="164" spans="1:14">
      <c r="A164" s="16" t="s">
        <v>1570</v>
      </c>
      <c r="C164" s="18" t="s">
        <v>2129</v>
      </c>
      <c r="D164" s="25">
        <f t="shared" si="2"/>
        <v>0</v>
      </c>
      <c r="E164" s="29">
        <f>'По платам'!C166*$E$1</f>
        <v>0</v>
      </c>
      <c r="F164" s="29">
        <f>'По платам'!D166*$F$1</f>
        <v>0</v>
      </c>
      <c r="G164" s="29">
        <f>'По платам'!E166*$G$1</f>
        <v>0</v>
      </c>
      <c r="H164" s="29">
        <f>'По платам'!F166*$H$1</f>
        <v>0</v>
      </c>
      <c r="I164" s="29">
        <f>'По платам'!G166*$I$1</f>
        <v>0</v>
      </c>
      <c r="J164" s="29">
        <f>'По платам'!H166*$J$1</f>
        <v>0</v>
      </c>
      <c r="K164" s="29">
        <f>'По платам'!I166*$K$1</f>
        <v>0</v>
      </c>
      <c r="L164" s="29">
        <f>'По платам'!J166*$L$1</f>
        <v>0</v>
      </c>
      <c r="M164" s="29">
        <f>'По платам'!K166*$M$1</f>
        <v>0</v>
      </c>
      <c r="N164" s="29">
        <f>'По платам'!L166*'Состав прибора'!$B$16</f>
        <v>0</v>
      </c>
    </row>
    <row r="165" spans="1:14">
      <c r="A165" s="16" t="s">
        <v>1570</v>
      </c>
      <c r="C165" s="18" t="s">
        <v>2104</v>
      </c>
      <c r="D165" s="25">
        <f t="shared" si="2"/>
        <v>0</v>
      </c>
      <c r="E165" s="29">
        <f>'По платам'!C167*$E$1</f>
        <v>0</v>
      </c>
      <c r="F165" s="29">
        <f>'По платам'!D167*$F$1</f>
        <v>0</v>
      </c>
      <c r="G165" s="29">
        <f>'По платам'!E167*$G$1</f>
        <v>0</v>
      </c>
      <c r="H165" s="29">
        <f>'По платам'!F167*$H$1</f>
        <v>0</v>
      </c>
      <c r="I165" s="29">
        <f>'По платам'!G167*$I$1</f>
        <v>0</v>
      </c>
      <c r="J165" s="29">
        <f>'По платам'!H167*$J$1</f>
        <v>0</v>
      </c>
      <c r="K165" s="29">
        <f>'По платам'!I167*$K$1</f>
        <v>0</v>
      </c>
      <c r="L165" s="29">
        <f>'По платам'!J167*$L$1</f>
        <v>0</v>
      </c>
      <c r="M165" s="29">
        <f>'По платам'!K167*$M$1</f>
        <v>0</v>
      </c>
      <c r="N165" s="29">
        <f>'По платам'!L167*'Состав прибора'!$B$16</f>
        <v>0</v>
      </c>
    </row>
    <row r="166" spans="1:14">
      <c r="A166" s="16" t="s">
        <v>1570</v>
      </c>
      <c r="C166" s="18" t="s">
        <v>2137</v>
      </c>
      <c r="D166" s="25">
        <f t="shared" si="2"/>
        <v>0</v>
      </c>
      <c r="E166" s="29">
        <f>'По платам'!C168*$E$1</f>
        <v>0</v>
      </c>
      <c r="F166" s="29">
        <f>'По платам'!D168*$F$1</f>
        <v>0</v>
      </c>
      <c r="G166" s="29">
        <f>'По платам'!E168*$G$1</f>
        <v>0</v>
      </c>
      <c r="H166" s="29">
        <f>'По платам'!F168*$H$1</f>
        <v>0</v>
      </c>
      <c r="I166" s="29">
        <f>'По платам'!G168*$I$1</f>
        <v>0</v>
      </c>
      <c r="J166" s="29">
        <f>'По платам'!H168*$J$1</f>
        <v>0</v>
      </c>
      <c r="K166" s="29">
        <f>'По платам'!I168*$K$1</f>
        <v>0</v>
      </c>
      <c r="L166" s="29">
        <f>'По платам'!J168*$L$1</f>
        <v>0</v>
      </c>
      <c r="M166" s="29">
        <f>'По платам'!K168*$M$1</f>
        <v>0</v>
      </c>
      <c r="N166" s="29">
        <f>'По платам'!L168*'Состав прибора'!$B$16</f>
        <v>0</v>
      </c>
    </row>
    <row r="167" spans="1:14">
      <c r="A167" s="16" t="s">
        <v>3009</v>
      </c>
      <c r="C167" s="18" t="s">
        <v>3008</v>
      </c>
      <c r="D167" s="25">
        <f t="shared" si="2"/>
        <v>2</v>
      </c>
      <c r="E167" s="29">
        <f>'По платам'!C169*$E$1</f>
        <v>0</v>
      </c>
      <c r="F167" s="29">
        <f>'По платам'!D169*$F$1</f>
        <v>0</v>
      </c>
      <c r="G167" s="29">
        <f>'По платам'!E169*$G$1</f>
        <v>0</v>
      </c>
      <c r="H167" s="29">
        <f>'По платам'!F169*$H$1</f>
        <v>0</v>
      </c>
      <c r="I167" s="29">
        <f>'По платам'!G169*$I$1</f>
        <v>0</v>
      </c>
      <c r="J167" s="29">
        <f>'По платам'!H169*$J$1</f>
        <v>0</v>
      </c>
      <c r="K167" s="29">
        <f>'По платам'!I169*$K$1</f>
        <v>0</v>
      </c>
      <c r="L167" s="29">
        <f>'По платам'!J169*$L$1</f>
        <v>2</v>
      </c>
      <c r="M167" s="29">
        <f>'По платам'!K169*$M$1</f>
        <v>0</v>
      </c>
      <c r="N167" s="29">
        <f>'По платам'!L169*'Состав прибора'!$B$16</f>
        <v>0</v>
      </c>
    </row>
    <row r="168" spans="1:14">
      <c r="A168" s="16" t="s">
        <v>2769</v>
      </c>
      <c r="C168" s="18" t="s">
        <v>2768</v>
      </c>
      <c r="D168" s="25">
        <f t="shared" si="2"/>
        <v>0</v>
      </c>
      <c r="E168" s="29">
        <f>'По платам'!C170*$E$1</f>
        <v>0</v>
      </c>
      <c r="F168" s="29">
        <f>'По платам'!D170*$F$1</f>
        <v>0</v>
      </c>
      <c r="G168" s="29">
        <f>'По платам'!E170*$G$1</f>
        <v>0</v>
      </c>
      <c r="H168" s="29">
        <f>'По платам'!F170*$H$1</f>
        <v>0</v>
      </c>
      <c r="I168" s="29">
        <f>'По платам'!G170*$I$1</f>
        <v>0</v>
      </c>
      <c r="J168" s="29">
        <f>'По платам'!H170*$J$1</f>
        <v>0</v>
      </c>
      <c r="K168" s="29">
        <f>'По платам'!I170*$K$1</f>
        <v>0</v>
      </c>
      <c r="L168" s="29">
        <f>'По платам'!J170*$L$1</f>
        <v>0</v>
      </c>
      <c r="M168" s="29">
        <f>'По платам'!K170*$M$1</f>
        <v>0</v>
      </c>
      <c r="N168" s="29">
        <f>'По платам'!L170*'Состав прибора'!$B$16</f>
        <v>0</v>
      </c>
    </row>
    <row r="169" spans="1:14">
      <c r="A169" s="16" t="s">
        <v>216</v>
      </c>
      <c r="C169" s="18" t="s">
        <v>215</v>
      </c>
      <c r="D169" s="25">
        <f t="shared" si="2"/>
        <v>0</v>
      </c>
      <c r="E169" s="29">
        <f>'По платам'!C171*$E$1</f>
        <v>0</v>
      </c>
      <c r="F169" s="29">
        <f>'По платам'!D171*$F$1</f>
        <v>0</v>
      </c>
      <c r="G169" s="29">
        <f>'По платам'!E171*$G$1</f>
        <v>0</v>
      </c>
      <c r="H169" s="29">
        <f>'По платам'!F171*$H$1</f>
        <v>0</v>
      </c>
      <c r="I169" s="29">
        <f>'По платам'!G171*$I$1</f>
        <v>0</v>
      </c>
      <c r="J169" s="29">
        <f>'По платам'!H171*$J$1</f>
        <v>0</v>
      </c>
      <c r="K169" s="29">
        <f>'По платам'!I171*$K$1</f>
        <v>0</v>
      </c>
      <c r="L169" s="29">
        <f>'По платам'!J171*$L$1</f>
        <v>0</v>
      </c>
      <c r="M169" s="29">
        <f>'По платам'!K171*$M$1</f>
        <v>0</v>
      </c>
      <c r="N169" s="29">
        <f>'По платам'!L171*'Состав прибора'!$B$16</f>
        <v>0</v>
      </c>
    </row>
    <row r="170" spans="1:14">
      <c r="A170" s="16" t="s">
        <v>216</v>
      </c>
      <c r="C170" s="18" t="s">
        <v>1940</v>
      </c>
      <c r="D170" s="25">
        <f t="shared" si="2"/>
        <v>0</v>
      </c>
      <c r="E170" s="29">
        <f>'По платам'!C172*$E$1</f>
        <v>0</v>
      </c>
      <c r="F170" s="29">
        <f>'По платам'!D172*$F$1</f>
        <v>0</v>
      </c>
      <c r="G170" s="29">
        <f>'По платам'!E172*$G$1</f>
        <v>0</v>
      </c>
      <c r="H170" s="29">
        <f>'По платам'!F172*$H$1</f>
        <v>0</v>
      </c>
      <c r="I170" s="29">
        <f>'По платам'!G172*$I$1</f>
        <v>0</v>
      </c>
      <c r="J170" s="29">
        <f>'По платам'!H172*$J$1</f>
        <v>0</v>
      </c>
      <c r="K170" s="29">
        <f>'По платам'!I172*$K$1</f>
        <v>0</v>
      </c>
      <c r="L170" s="29">
        <f>'По платам'!J172*$L$1</f>
        <v>0</v>
      </c>
      <c r="M170" s="29">
        <f>'По платам'!K172*$M$1</f>
        <v>0</v>
      </c>
      <c r="N170" s="29">
        <f>'По платам'!L172*'Состав прибора'!$B$16</f>
        <v>0</v>
      </c>
    </row>
    <row r="171" spans="1:14">
      <c r="A171" s="16" t="s">
        <v>392</v>
      </c>
      <c r="C171" s="18" t="s">
        <v>1662</v>
      </c>
      <c r="D171" s="25">
        <f t="shared" si="2"/>
        <v>0</v>
      </c>
      <c r="E171" s="29">
        <f>'По платам'!C173*$E$1</f>
        <v>0</v>
      </c>
      <c r="F171" s="29">
        <f>'По платам'!D173*$F$1</f>
        <v>0</v>
      </c>
      <c r="G171" s="29">
        <f>'По платам'!E173*$G$1</f>
        <v>0</v>
      </c>
      <c r="H171" s="29">
        <f>'По платам'!F173*$H$1</f>
        <v>0</v>
      </c>
      <c r="I171" s="29">
        <f>'По платам'!G173*$I$1</f>
        <v>0</v>
      </c>
      <c r="J171" s="29">
        <f>'По платам'!H173*$J$1</f>
        <v>0</v>
      </c>
      <c r="K171" s="29">
        <f>'По платам'!I173*$K$1</f>
        <v>0</v>
      </c>
      <c r="L171" s="29">
        <f>'По платам'!J173*$L$1</f>
        <v>0</v>
      </c>
      <c r="M171" s="29">
        <f>'По платам'!K173*$M$1</f>
        <v>0</v>
      </c>
      <c r="N171" s="29">
        <f>'По платам'!L173*'Состав прибора'!$B$16</f>
        <v>0</v>
      </c>
    </row>
    <row r="172" spans="1:14">
      <c r="A172" s="16" t="s">
        <v>392</v>
      </c>
      <c r="C172" s="18" t="s">
        <v>1675</v>
      </c>
      <c r="D172" s="25">
        <f t="shared" si="2"/>
        <v>0</v>
      </c>
      <c r="E172" s="29">
        <f>'По платам'!C174*$E$1</f>
        <v>0</v>
      </c>
      <c r="F172" s="29">
        <f>'По платам'!D174*$F$1</f>
        <v>0</v>
      </c>
      <c r="G172" s="29">
        <f>'По платам'!E174*$G$1</f>
        <v>0</v>
      </c>
      <c r="H172" s="29">
        <f>'По платам'!F174*$H$1</f>
        <v>0</v>
      </c>
      <c r="I172" s="29">
        <f>'По платам'!G174*$I$1</f>
        <v>0</v>
      </c>
      <c r="J172" s="29">
        <f>'По платам'!H174*$J$1</f>
        <v>0</v>
      </c>
      <c r="K172" s="29">
        <f>'По платам'!I174*$K$1</f>
        <v>0</v>
      </c>
      <c r="L172" s="29">
        <f>'По платам'!J174*$L$1</f>
        <v>0</v>
      </c>
      <c r="M172" s="29">
        <f>'По платам'!K174*$M$1</f>
        <v>0</v>
      </c>
      <c r="N172" s="29">
        <f>'По платам'!L174*'Состав прибора'!$B$16</f>
        <v>0</v>
      </c>
    </row>
    <row r="173" spans="1:14">
      <c r="A173" s="16" t="s">
        <v>392</v>
      </c>
      <c r="C173" s="18" t="s">
        <v>391</v>
      </c>
      <c r="D173" s="25">
        <f t="shared" si="2"/>
        <v>16</v>
      </c>
      <c r="E173" s="29">
        <f>'По платам'!C175*$E$1</f>
        <v>0</v>
      </c>
      <c r="F173" s="29">
        <f>'По платам'!D175*$F$1</f>
        <v>0</v>
      </c>
      <c r="G173" s="29">
        <f>'По платам'!E175*$G$1</f>
        <v>0</v>
      </c>
      <c r="H173" s="29">
        <f>'По платам'!F175*$H$1</f>
        <v>0</v>
      </c>
      <c r="I173" s="29">
        <f>'По платам'!G175*$I$1</f>
        <v>0</v>
      </c>
      <c r="J173" s="29">
        <f>'По платам'!H175*$J$1</f>
        <v>0</v>
      </c>
      <c r="K173" s="29">
        <f>'По платам'!I175*$K$1</f>
        <v>12</v>
      </c>
      <c r="L173" s="29">
        <f>'По платам'!J175*$L$1</f>
        <v>4</v>
      </c>
      <c r="M173" s="29">
        <f>'По платам'!K175*$M$1</f>
        <v>0</v>
      </c>
      <c r="N173" s="29">
        <f>'По платам'!L175*'Состав прибора'!$B$16</f>
        <v>0</v>
      </c>
    </row>
    <row r="174" spans="1:14">
      <c r="A174" s="16" t="s">
        <v>392</v>
      </c>
      <c r="C174" s="18" t="s">
        <v>396</v>
      </c>
      <c r="D174" s="25">
        <f t="shared" si="2"/>
        <v>5</v>
      </c>
      <c r="E174" s="29">
        <f>'По платам'!C176*$E$1</f>
        <v>0</v>
      </c>
      <c r="F174" s="29">
        <f>'По платам'!D176*$F$1</f>
        <v>0</v>
      </c>
      <c r="G174" s="29">
        <f>'По платам'!E176*$G$1</f>
        <v>0</v>
      </c>
      <c r="H174" s="29">
        <f>'По платам'!F176*$H$1</f>
        <v>0</v>
      </c>
      <c r="I174" s="29">
        <f>'По платам'!G176*$I$1</f>
        <v>0</v>
      </c>
      <c r="J174" s="29">
        <f>'По платам'!H176*$J$1</f>
        <v>0</v>
      </c>
      <c r="K174" s="29">
        <f>'По платам'!I176*$K$1</f>
        <v>3</v>
      </c>
      <c r="L174" s="29">
        <f>'По платам'!J176*$L$1</f>
        <v>2</v>
      </c>
      <c r="M174" s="29">
        <f>'По платам'!K176*$M$1</f>
        <v>0</v>
      </c>
      <c r="N174" s="29">
        <f>'По платам'!L176*'Состав прибора'!$B$16</f>
        <v>0</v>
      </c>
    </row>
    <row r="175" spans="1:14">
      <c r="A175" s="16" t="s">
        <v>392</v>
      </c>
      <c r="C175" s="18" t="s">
        <v>1920</v>
      </c>
      <c r="D175" s="25">
        <f t="shared" si="2"/>
        <v>0</v>
      </c>
      <c r="E175" s="29">
        <f>'По платам'!C177*$E$1</f>
        <v>0</v>
      </c>
      <c r="F175" s="29">
        <f>'По платам'!D177*$F$1</f>
        <v>0</v>
      </c>
      <c r="G175" s="29">
        <f>'По платам'!E177*$G$1</f>
        <v>0</v>
      </c>
      <c r="H175" s="29">
        <f>'По платам'!F177*$H$1</f>
        <v>0</v>
      </c>
      <c r="I175" s="29">
        <f>'По платам'!G177*$I$1</f>
        <v>0</v>
      </c>
      <c r="J175" s="29">
        <f>'По платам'!H177*$J$1</f>
        <v>0</v>
      </c>
      <c r="K175" s="29">
        <f>'По платам'!I177*$K$1</f>
        <v>0</v>
      </c>
      <c r="L175" s="29">
        <f>'По платам'!J177*$L$1</f>
        <v>0</v>
      </c>
      <c r="M175" s="29">
        <f>'По платам'!K177*$M$1</f>
        <v>0</v>
      </c>
      <c r="N175" s="29">
        <f>'По платам'!L177*'Состав прибора'!$B$16</f>
        <v>0</v>
      </c>
    </row>
    <row r="176" spans="1:14">
      <c r="A176" s="16" t="s">
        <v>392</v>
      </c>
      <c r="C176" s="18" t="s">
        <v>1166</v>
      </c>
      <c r="D176" s="25">
        <f t="shared" si="2"/>
        <v>4</v>
      </c>
      <c r="E176" s="29">
        <f>'По платам'!C178*$E$1</f>
        <v>0</v>
      </c>
      <c r="F176" s="29">
        <f>'По платам'!D178*$F$1</f>
        <v>0</v>
      </c>
      <c r="G176" s="29">
        <f>'По платам'!E178*$G$1</f>
        <v>0</v>
      </c>
      <c r="H176" s="29">
        <f>'По платам'!F178*$H$1</f>
        <v>3</v>
      </c>
      <c r="I176" s="29">
        <f>'По платам'!G178*$I$1</f>
        <v>0</v>
      </c>
      <c r="J176" s="29">
        <f>'По платам'!H178*$J$1</f>
        <v>1</v>
      </c>
      <c r="K176" s="29">
        <f>'По платам'!I178*$K$1</f>
        <v>0</v>
      </c>
      <c r="L176" s="29">
        <f>'По платам'!J178*$L$1</f>
        <v>0</v>
      </c>
      <c r="M176" s="29">
        <f>'По платам'!K178*$M$1</f>
        <v>0</v>
      </c>
      <c r="N176" s="29">
        <f>'По платам'!L178*'Состав прибора'!$B$16</f>
        <v>0</v>
      </c>
    </row>
    <row r="177" spans="1:14">
      <c r="A177" s="16" t="s">
        <v>392</v>
      </c>
      <c r="C177" s="18" t="s">
        <v>1430</v>
      </c>
      <c r="D177" s="25">
        <f t="shared" si="2"/>
        <v>1</v>
      </c>
      <c r="E177" s="29">
        <f>'По платам'!C179*$E$1</f>
        <v>0</v>
      </c>
      <c r="F177" s="29">
        <f>'По платам'!D179*$F$1</f>
        <v>0</v>
      </c>
      <c r="G177" s="29">
        <f>'По платам'!E179*$G$1</f>
        <v>0</v>
      </c>
      <c r="H177" s="29">
        <f>'По платам'!F179*$H$1</f>
        <v>1</v>
      </c>
      <c r="I177" s="29">
        <f>'По платам'!G179*$I$1</f>
        <v>0</v>
      </c>
      <c r="J177" s="29">
        <f>'По платам'!H179*$J$1</f>
        <v>0</v>
      </c>
      <c r="K177" s="29">
        <f>'По платам'!I179*$K$1</f>
        <v>0</v>
      </c>
      <c r="L177" s="29">
        <f>'По платам'!J179*$L$1</f>
        <v>0</v>
      </c>
      <c r="M177" s="29">
        <f>'По платам'!K179*$M$1</f>
        <v>0</v>
      </c>
      <c r="N177" s="29">
        <f>'По платам'!L179*'Состав прибора'!$B$16</f>
        <v>0</v>
      </c>
    </row>
    <row r="178" spans="1:14">
      <c r="A178" s="16" t="s">
        <v>392</v>
      </c>
      <c r="C178" s="18" t="s">
        <v>1434</v>
      </c>
      <c r="D178" s="25">
        <f t="shared" si="2"/>
        <v>1</v>
      </c>
      <c r="E178" s="29">
        <f>'По платам'!C180*$E$1</f>
        <v>0</v>
      </c>
      <c r="F178" s="29">
        <f>'По платам'!D180*$F$1</f>
        <v>0</v>
      </c>
      <c r="G178" s="29">
        <f>'По платам'!E180*$G$1</f>
        <v>0</v>
      </c>
      <c r="H178" s="29">
        <f>'По платам'!F180*$H$1</f>
        <v>1</v>
      </c>
      <c r="I178" s="29">
        <f>'По платам'!G180*$I$1</f>
        <v>0</v>
      </c>
      <c r="J178" s="29">
        <f>'По платам'!H180*$J$1</f>
        <v>0</v>
      </c>
      <c r="K178" s="29">
        <f>'По платам'!I180*$K$1</f>
        <v>0</v>
      </c>
      <c r="L178" s="29">
        <f>'По платам'!J180*$L$1</f>
        <v>0</v>
      </c>
      <c r="M178" s="29">
        <f>'По платам'!K180*$M$1</f>
        <v>0</v>
      </c>
      <c r="N178" s="29">
        <f>'По платам'!L180*'Состав прибора'!$B$16</f>
        <v>0</v>
      </c>
    </row>
    <row r="179" spans="1:14">
      <c r="A179" s="16" t="s">
        <v>392</v>
      </c>
      <c r="C179" s="18" t="s">
        <v>1172</v>
      </c>
      <c r="D179" s="25">
        <f t="shared" si="2"/>
        <v>4</v>
      </c>
      <c r="E179" s="29">
        <f>'По платам'!C181*$E$1</f>
        <v>0</v>
      </c>
      <c r="F179" s="29">
        <f>'По платам'!D181*$F$1</f>
        <v>0</v>
      </c>
      <c r="G179" s="29">
        <f>'По платам'!E181*$G$1</f>
        <v>0</v>
      </c>
      <c r="H179" s="29">
        <f>'По платам'!F181*$H$1</f>
        <v>0</v>
      </c>
      <c r="I179" s="29">
        <f>'По платам'!G181*$I$1</f>
        <v>0</v>
      </c>
      <c r="J179" s="29">
        <f>'По платам'!H181*$J$1</f>
        <v>4</v>
      </c>
      <c r="K179" s="29">
        <f>'По платам'!I181*$K$1</f>
        <v>0</v>
      </c>
      <c r="L179" s="29">
        <f>'По платам'!J181*$L$1</f>
        <v>0</v>
      </c>
      <c r="M179" s="29">
        <f>'По платам'!K181*$M$1</f>
        <v>0</v>
      </c>
      <c r="N179" s="29">
        <f>'По платам'!L181*'Состав прибора'!$B$16</f>
        <v>0</v>
      </c>
    </row>
    <row r="180" spans="1:14">
      <c r="A180" s="16" t="s">
        <v>1122</v>
      </c>
      <c r="C180" s="18" t="s">
        <v>1121</v>
      </c>
      <c r="D180" s="25">
        <f t="shared" si="2"/>
        <v>2</v>
      </c>
      <c r="E180" s="29">
        <f>'По платам'!C182*$E$1</f>
        <v>0</v>
      </c>
      <c r="F180" s="29">
        <f>'По платам'!D182*$F$1</f>
        <v>0</v>
      </c>
      <c r="G180" s="29">
        <f>'По платам'!E182*$G$1</f>
        <v>0</v>
      </c>
      <c r="H180" s="29">
        <f>'По платам'!F182*$H$1</f>
        <v>0</v>
      </c>
      <c r="I180" s="29">
        <f>'По платам'!G182*$I$1</f>
        <v>1</v>
      </c>
      <c r="J180" s="29">
        <f>'По платам'!H182*$J$1</f>
        <v>1</v>
      </c>
      <c r="K180" s="29">
        <f>'По платам'!I182*$K$1</f>
        <v>0</v>
      </c>
      <c r="L180" s="29">
        <f>'По платам'!J182*$L$1</f>
        <v>0</v>
      </c>
      <c r="M180" s="29">
        <f>'По платам'!K182*$M$1</f>
        <v>0</v>
      </c>
      <c r="N180" s="29">
        <f>'По платам'!L182*'Состав прибора'!$B$16</f>
        <v>0</v>
      </c>
    </row>
    <row r="181" spans="1:14">
      <c r="A181" s="16" t="s">
        <v>1122</v>
      </c>
      <c r="C181" s="18" t="s">
        <v>2743</v>
      </c>
      <c r="D181" s="25">
        <f t="shared" si="2"/>
        <v>0</v>
      </c>
      <c r="E181" s="29">
        <f>'По платам'!C183*$E$1</f>
        <v>0</v>
      </c>
      <c r="F181" s="29">
        <f>'По платам'!D183*$F$1</f>
        <v>0</v>
      </c>
      <c r="G181" s="29">
        <f>'По платам'!E183*$G$1</f>
        <v>0</v>
      </c>
      <c r="H181" s="29">
        <f>'По платам'!F183*$H$1</f>
        <v>0</v>
      </c>
      <c r="I181" s="29">
        <f>'По платам'!G183*$I$1</f>
        <v>0</v>
      </c>
      <c r="J181" s="29">
        <f>'По платам'!H183*$J$1</f>
        <v>0</v>
      </c>
      <c r="K181" s="29">
        <f>'По платам'!I183*$K$1</f>
        <v>0</v>
      </c>
      <c r="L181" s="29">
        <f>'По платам'!J183*$L$1</f>
        <v>0</v>
      </c>
      <c r="M181" s="29">
        <f>'По платам'!K183*$M$1</f>
        <v>0</v>
      </c>
      <c r="N181" s="29">
        <f>'По платам'!L183*'Состав прибора'!$B$16</f>
        <v>0</v>
      </c>
    </row>
    <row r="182" spans="1:14">
      <c r="A182" s="16" t="s">
        <v>1122</v>
      </c>
      <c r="C182" s="18" t="s">
        <v>2017</v>
      </c>
      <c r="D182" s="25">
        <f t="shared" si="2"/>
        <v>0</v>
      </c>
      <c r="E182" s="29">
        <f>'По платам'!C184*$E$1</f>
        <v>0</v>
      </c>
      <c r="F182" s="29">
        <f>'По платам'!D184*$F$1</f>
        <v>0</v>
      </c>
      <c r="G182" s="29">
        <f>'По платам'!E184*$G$1</f>
        <v>0</v>
      </c>
      <c r="H182" s="29">
        <f>'По платам'!F184*$H$1</f>
        <v>0</v>
      </c>
      <c r="I182" s="29">
        <f>'По платам'!G184*$I$1</f>
        <v>0</v>
      </c>
      <c r="J182" s="29">
        <f>'По платам'!H184*$J$1</f>
        <v>0</v>
      </c>
      <c r="K182" s="29">
        <f>'По платам'!I184*$K$1</f>
        <v>0</v>
      </c>
      <c r="L182" s="29">
        <f>'По платам'!J184*$L$1</f>
        <v>0</v>
      </c>
      <c r="M182" s="29">
        <f>'По платам'!K184*$M$1</f>
        <v>0</v>
      </c>
      <c r="N182" s="29">
        <f>'По платам'!L184*'Состав прибора'!$B$16</f>
        <v>0</v>
      </c>
    </row>
    <row r="183" spans="1:14">
      <c r="A183" s="16" t="s">
        <v>1122</v>
      </c>
      <c r="C183" s="18" t="s">
        <v>2739</v>
      </c>
      <c r="D183" s="25">
        <f t="shared" si="2"/>
        <v>0</v>
      </c>
      <c r="E183" s="29">
        <f>'По платам'!C185*$E$1</f>
        <v>0</v>
      </c>
      <c r="F183" s="29">
        <f>'По платам'!D185*$F$1</f>
        <v>0</v>
      </c>
      <c r="G183" s="29">
        <f>'По платам'!E185*$G$1</f>
        <v>0</v>
      </c>
      <c r="H183" s="29">
        <f>'По платам'!F185*$H$1</f>
        <v>0</v>
      </c>
      <c r="I183" s="29">
        <f>'По платам'!G185*$I$1</f>
        <v>0</v>
      </c>
      <c r="J183" s="29">
        <f>'По платам'!H185*$J$1</f>
        <v>0</v>
      </c>
      <c r="K183" s="29">
        <f>'По платам'!I185*$K$1</f>
        <v>0</v>
      </c>
      <c r="L183" s="29">
        <f>'По платам'!J185*$L$1</f>
        <v>0</v>
      </c>
      <c r="M183" s="29">
        <f>'По платам'!K185*$M$1</f>
        <v>0</v>
      </c>
      <c r="N183" s="29">
        <f>'По платам'!L185*'Состав прибора'!$B$16</f>
        <v>0</v>
      </c>
    </row>
    <row r="184" spans="1:14">
      <c r="A184" s="16" t="s">
        <v>1122</v>
      </c>
      <c r="C184" s="18" t="s">
        <v>2013</v>
      </c>
      <c r="D184" s="25">
        <f t="shared" si="2"/>
        <v>0</v>
      </c>
      <c r="E184" s="29">
        <f>'По платам'!C186*$E$1</f>
        <v>0</v>
      </c>
      <c r="F184" s="29">
        <f>'По платам'!D186*$F$1</f>
        <v>0</v>
      </c>
      <c r="G184" s="29">
        <f>'По платам'!E186*$G$1</f>
        <v>0</v>
      </c>
      <c r="H184" s="29">
        <f>'По платам'!F186*$H$1</f>
        <v>0</v>
      </c>
      <c r="I184" s="29">
        <f>'По платам'!G186*$I$1</f>
        <v>0</v>
      </c>
      <c r="J184" s="29">
        <f>'По платам'!H186*$J$1</f>
        <v>0</v>
      </c>
      <c r="K184" s="29">
        <f>'По платам'!I186*$K$1</f>
        <v>0</v>
      </c>
      <c r="L184" s="29">
        <f>'По платам'!J186*$L$1</f>
        <v>0</v>
      </c>
      <c r="M184" s="29">
        <f>'По платам'!K186*$M$1</f>
        <v>0</v>
      </c>
      <c r="N184" s="29">
        <f>'По платам'!L186*'Состав прибора'!$B$16</f>
        <v>0</v>
      </c>
    </row>
    <row r="185" spans="1:14">
      <c r="A185" s="16" t="s">
        <v>1122</v>
      </c>
      <c r="C185" s="18" t="s">
        <v>2760</v>
      </c>
      <c r="D185" s="25">
        <f t="shared" si="2"/>
        <v>0</v>
      </c>
      <c r="E185" s="29">
        <f>'По платам'!C187*$E$1</f>
        <v>0</v>
      </c>
      <c r="F185" s="29">
        <f>'По платам'!D187*$F$1</f>
        <v>0</v>
      </c>
      <c r="G185" s="29">
        <f>'По платам'!E187*$G$1</f>
        <v>0</v>
      </c>
      <c r="H185" s="29">
        <f>'По платам'!F187*$H$1</f>
        <v>0</v>
      </c>
      <c r="I185" s="29">
        <f>'По платам'!G187*$I$1</f>
        <v>0</v>
      </c>
      <c r="J185" s="29">
        <f>'По платам'!H187*$J$1</f>
        <v>0</v>
      </c>
      <c r="K185" s="29">
        <f>'По платам'!I187*$K$1</f>
        <v>0</v>
      </c>
      <c r="L185" s="29">
        <f>'По платам'!J187*$L$1</f>
        <v>0</v>
      </c>
      <c r="M185" s="29">
        <f>'По платам'!K187*$M$1</f>
        <v>0</v>
      </c>
      <c r="N185" s="29">
        <f>'По платам'!L187*'Состав прибора'!$B$16</f>
        <v>0</v>
      </c>
    </row>
    <row r="186" spans="1:14">
      <c r="A186" s="16" t="s">
        <v>1122</v>
      </c>
      <c r="C186" s="18" t="s">
        <v>1996</v>
      </c>
      <c r="D186" s="25">
        <f t="shared" si="2"/>
        <v>0</v>
      </c>
      <c r="E186" s="29">
        <f>'По платам'!C188*$E$1</f>
        <v>0</v>
      </c>
      <c r="F186" s="29">
        <f>'По платам'!D188*$F$1</f>
        <v>0</v>
      </c>
      <c r="G186" s="29">
        <f>'По платам'!E188*$G$1</f>
        <v>0</v>
      </c>
      <c r="H186" s="29">
        <f>'По платам'!F188*$H$1</f>
        <v>0</v>
      </c>
      <c r="I186" s="29">
        <f>'По платам'!G188*$I$1</f>
        <v>0</v>
      </c>
      <c r="J186" s="29">
        <f>'По платам'!H188*$J$1</f>
        <v>0</v>
      </c>
      <c r="K186" s="29">
        <f>'По платам'!I188*$K$1</f>
        <v>0</v>
      </c>
      <c r="L186" s="29">
        <f>'По платам'!J188*$L$1</f>
        <v>0</v>
      </c>
      <c r="M186" s="29">
        <f>'По платам'!K188*$M$1</f>
        <v>0</v>
      </c>
      <c r="N186" s="29">
        <f>'По платам'!L188*'Состав прибора'!$B$16</f>
        <v>0</v>
      </c>
    </row>
    <row r="187" spans="1:14">
      <c r="A187" s="16" t="s">
        <v>1122</v>
      </c>
      <c r="C187" s="18" t="s">
        <v>2764</v>
      </c>
      <c r="D187" s="25">
        <f t="shared" si="2"/>
        <v>0</v>
      </c>
      <c r="E187" s="29">
        <f>'По платам'!C189*$E$1</f>
        <v>0</v>
      </c>
      <c r="F187" s="29">
        <f>'По платам'!D189*$F$1</f>
        <v>0</v>
      </c>
      <c r="G187" s="29">
        <f>'По платам'!E189*$G$1</f>
        <v>0</v>
      </c>
      <c r="H187" s="29">
        <f>'По платам'!F189*$H$1</f>
        <v>0</v>
      </c>
      <c r="I187" s="29">
        <f>'По платам'!G189*$I$1</f>
        <v>0</v>
      </c>
      <c r="J187" s="29">
        <f>'По платам'!H189*$J$1</f>
        <v>0</v>
      </c>
      <c r="K187" s="29">
        <f>'По платам'!I189*$K$1</f>
        <v>0</v>
      </c>
      <c r="L187" s="29">
        <f>'По платам'!J189*$L$1</f>
        <v>0</v>
      </c>
      <c r="M187" s="29">
        <f>'По платам'!K189*$M$1</f>
        <v>0</v>
      </c>
      <c r="N187" s="29">
        <f>'По платам'!L189*'Состав прибора'!$B$16</f>
        <v>0</v>
      </c>
    </row>
    <row r="188" spans="1:14">
      <c r="A188" s="16" t="s">
        <v>1122</v>
      </c>
      <c r="C188" s="18" t="s">
        <v>2756</v>
      </c>
      <c r="D188" s="25">
        <f t="shared" si="2"/>
        <v>0</v>
      </c>
      <c r="E188" s="29">
        <f>'По платам'!C190*$E$1</f>
        <v>0</v>
      </c>
      <c r="F188" s="29">
        <f>'По платам'!D190*$F$1</f>
        <v>0</v>
      </c>
      <c r="G188" s="29">
        <f>'По платам'!E190*$G$1</f>
        <v>0</v>
      </c>
      <c r="H188" s="29">
        <f>'По платам'!F190*$H$1</f>
        <v>0</v>
      </c>
      <c r="I188" s="29">
        <f>'По платам'!G190*$I$1</f>
        <v>0</v>
      </c>
      <c r="J188" s="29">
        <f>'По платам'!H190*$J$1</f>
        <v>0</v>
      </c>
      <c r="K188" s="29">
        <f>'По платам'!I190*$K$1</f>
        <v>0</v>
      </c>
      <c r="L188" s="29">
        <f>'По платам'!J190*$L$1</f>
        <v>0</v>
      </c>
      <c r="M188" s="29">
        <f>'По платам'!K190*$M$1</f>
        <v>0</v>
      </c>
      <c r="N188" s="29">
        <f>'По платам'!L190*'Состав прибора'!$B$16</f>
        <v>0</v>
      </c>
    </row>
    <row r="189" spans="1:14">
      <c r="A189" s="16" t="s">
        <v>1122</v>
      </c>
      <c r="C189" s="18" t="s">
        <v>1993</v>
      </c>
      <c r="D189" s="25">
        <f t="shared" si="2"/>
        <v>0</v>
      </c>
      <c r="E189" s="29">
        <f>'По платам'!C191*$E$1</f>
        <v>0</v>
      </c>
      <c r="F189" s="29">
        <f>'По платам'!D191*$F$1</f>
        <v>0</v>
      </c>
      <c r="G189" s="29">
        <f>'По платам'!E191*$G$1</f>
        <v>0</v>
      </c>
      <c r="H189" s="29">
        <f>'По платам'!F191*$H$1</f>
        <v>0</v>
      </c>
      <c r="I189" s="29">
        <f>'По платам'!G191*$I$1</f>
        <v>0</v>
      </c>
      <c r="J189" s="29">
        <f>'По платам'!H191*$J$1</f>
        <v>0</v>
      </c>
      <c r="K189" s="29">
        <f>'По платам'!I191*$K$1</f>
        <v>0</v>
      </c>
      <c r="L189" s="29">
        <f>'По платам'!J191*$L$1</f>
        <v>0</v>
      </c>
      <c r="M189" s="29">
        <f>'По платам'!K191*$M$1</f>
        <v>0</v>
      </c>
      <c r="N189" s="29">
        <f>'По платам'!L191*'Состав прибора'!$B$16</f>
        <v>0</v>
      </c>
    </row>
    <row r="190" spans="1:14">
      <c r="A190" s="16" t="s">
        <v>1122</v>
      </c>
      <c r="C190" s="18" t="s">
        <v>2004</v>
      </c>
      <c r="D190" s="25">
        <f t="shared" si="2"/>
        <v>0</v>
      </c>
      <c r="E190" s="29">
        <f>'По платам'!C192*$E$1</f>
        <v>0</v>
      </c>
      <c r="F190" s="29">
        <f>'По платам'!D192*$F$1</f>
        <v>0</v>
      </c>
      <c r="G190" s="29">
        <f>'По платам'!E192*$G$1</f>
        <v>0</v>
      </c>
      <c r="H190" s="29">
        <f>'По платам'!F192*$H$1</f>
        <v>0</v>
      </c>
      <c r="I190" s="29">
        <f>'По платам'!G192*$I$1</f>
        <v>0</v>
      </c>
      <c r="J190" s="29">
        <f>'По платам'!H192*$J$1</f>
        <v>0</v>
      </c>
      <c r="K190" s="29">
        <f>'По платам'!I192*$K$1</f>
        <v>0</v>
      </c>
      <c r="L190" s="29">
        <f>'По платам'!J192*$L$1</f>
        <v>0</v>
      </c>
      <c r="M190" s="29">
        <f>'По платам'!K192*$M$1</f>
        <v>0</v>
      </c>
      <c r="N190" s="29">
        <f>'По платам'!L192*'Состав прибора'!$B$16</f>
        <v>0</v>
      </c>
    </row>
    <row r="191" spans="1:14">
      <c r="A191" s="16" t="s">
        <v>1122</v>
      </c>
      <c r="C191" s="18" t="s">
        <v>1981</v>
      </c>
      <c r="D191" s="25">
        <f t="shared" si="2"/>
        <v>0</v>
      </c>
      <c r="E191" s="29">
        <f>'По платам'!C193*$E$1</f>
        <v>0</v>
      </c>
      <c r="F191" s="29">
        <f>'По платам'!D193*$F$1</f>
        <v>0</v>
      </c>
      <c r="G191" s="29">
        <f>'По платам'!E193*$G$1</f>
        <v>0</v>
      </c>
      <c r="H191" s="29">
        <f>'По платам'!F193*$H$1</f>
        <v>0</v>
      </c>
      <c r="I191" s="29">
        <f>'По платам'!G193*$I$1</f>
        <v>0</v>
      </c>
      <c r="J191" s="29">
        <f>'По платам'!H193*$J$1</f>
        <v>0</v>
      </c>
      <c r="K191" s="29">
        <f>'По платам'!I193*$K$1</f>
        <v>0</v>
      </c>
      <c r="L191" s="29">
        <f>'По платам'!J193*$L$1</f>
        <v>0</v>
      </c>
      <c r="M191" s="29">
        <f>'По платам'!K193*$M$1</f>
        <v>0</v>
      </c>
      <c r="N191" s="29">
        <f>'По платам'!L193*'Состав прибора'!$B$16</f>
        <v>0</v>
      </c>
    </row>
    <row r="192" spans="1:14">
      <c r="A192" s="16" t="s">
        <v>1959</v>
      </c>
      <c r="C192" s="18" t="s">
        <v>1039</v>
      </c>
      <c r="D192" s="25">
        <f t="shared" si="2"/>
        <v>4</v>
      </c>
      <c r="E192" s="29">
        <f>'По платам'!C194*$E$1</f>
        <v>0</v>
      </c>
      <c r="F192" s="29">
        <f>'По платам'!D194*$F$1</f>
        <v>0</v>
      </c>
      <c r="G192" s="29">
        <f>'По платам'!E194*$G$1</f>
        <v>0</v>
      </c>
      <c r="H192" s="29">
        <f>'По платам'!F194*$H$1</f>
        <v>2</v>
      </c>
      <c r="I192" s="29">
        <f>'По платам'!G194*$I$1</f>
        <v>0</v>
      </c>
      <c r="J192" s="29">
        <f>'По платам'!H194*$J$1</f>
        <v>0</v>
      </c>
      <c r="K192" s="29">
        <f>'По платам'!I194*$K$1</f>
        <v>2</v>
      </c>
      <c r="L192" s="29">
        <f>'По платам'!J194*$L$1</f>
        <v>0</v>
      </c>
      <c r="M192" s="29">
        <f>'По платам'!K194*$M$1</f>
        <v>0</v>
      </c>
      <c r="N192" s="29">
        <f>'По платам'!L194*'Состав прибора'!$B$16</f>
        <v>0</v>
      </c>
    </row>
    <row r="193" spans="1:14">
      <c r="A193" s="16" t="s">
        <v>645</v>
      </c>
      <c r="C193" s="18" t="s">
        <v>644</v>
      </c>
      <c r="D193" s="25">
        <f t="shared" si="2"/>
        <v>1</v>
      </c>
      <c r="E193" s="29">
        <f>'По платам'!C195*$E$1</f>
        <v>0</v>
      </c>
      <c r="F193" s="29">
        <f>'По платам'!D195*$F$1</f>
        <v>0</v>
      </c>
      <c r="G193" s="29">
        <f>'По платам'!E195*$G$1</f>
        <v>0</v>
      </c>
      <c r="H193" s="29">
        <f>'По платам'!F195*$H$1</f>
        <v>0</v>
      </c>
      <c r="I193" s="29">
        <f>'По платам'!G195*$I$1</f>
        <v>0</v>
      </c>
      <c r="J193" s="29">
        <f>'По платам'!H195*$J$1</f>
        <v>0</v>
      </c>
      <c r="K193" s="29">
        <f>'По платам'!I195*$K$1</f>
        <v>1</v>
      </c>
      <c r="L193" s="29">
        <f>'По платам'!J195*$L$1</f>
        <v>0</v>
      </c>
      <c r="M193" s="29">
        <f>'По платам'!K195*$M$1</f>
        <v>0</v>
      </c>
      <c r="N193" s="29">
        <f>'По платам'!L195*'Состав прибора'!$B$16</f>
        <v>0</v>
      </c>
    </row>
    <row r="194" spans="1:14">
      <c r="A194" s="16" t="s">
        <v>2816</v>
      </c>
      <c r="C194" s="18" t="s">
        <v>2815</v>
      </c>
      <c r="D194" s="25">
        <f t="shared" ref="D194:D257" si="3">SUM(E194:N194)</f>
        <v>1</v>
      </c>
      <c r="E194" s="29">
        <f>'По платам'!C196*$E$1</f>
        <v>0</v>
      </c>
      <c r="F194" s="29">
        <f>'По платам'!D196*$F$1</f>
        <v>0</v>
      </c>
      <c r="G194" s="29">
        <f>'По платам'!E196*$G$1</f>
        <v>0</v>
      </c>
      <c r="H194" s="29">
        <f>'По платам'!F196*$H$1</f>
        <v>0</v>
      </c>
      <c r="I194" s="29">
        <f>'По платам'!G196*$I$1</f>
        <v>0</v>
      </c>
      <c r="J194" s="29">
        <f>'По платам'!H196*$J$1</f>
        <v>0</v>
      </c>
      <c r="K194" s="29">
        <f>'По платам'!I196*$K$1</f>
        <v>0</v>
      </c>
      <c r="L194" s="29">
        <f>'По платам'!J196*$L$1</f>
        <v>1</v>
      </c>
      <c r="M194" s="29">
        <f>'По платам'!K196*$M$1</f>
        <v>0</v>
      </c>
      <c r="N194" s="29">
        <f>'По платам'!L196*'Состав прибора'!$B$16</f>
        <v>0</v>
      </c>
    </row>
    <row r="195" spans="1:14">
      <c r="A195" s="16" t="s">
        <v>2816</v>
      </c>
      <c r="C195" s="18" t="s">
        <v>2934</v>
      </c>
      <c r="D195" s="25">
        <f t="shared" si="3"/>
        <v>4</v>
      </c>
      <c r="E195" s="29">
        <f>'По платам'!C197*$E$1</f>
        <v>0</v>
      </c>
      <c r="F195" s="29">
        <f>'По платам'!D197*$F$1</f>
        <v>0</v>
      </c>
      <c r="G195" s="29">
        <f>'По платам'!E197*$G$1</f>
        <v>0</v>
      </c>
      <c r="H195" s="29">
        <f>'По платам'!F197*$H$1</f>
        <v>0</v>
      </c>
      <c r="I195" s="29">
        <f>'По платам'!G197*$I$1</f>
        <v>0</v>
      </c>
      <c r="J195" s="29">
        <f>'По платам'!H197*$J$1</f>
        <v>0</v>
      </c>
      <c r="K195" s="29">
        <f>'По платам'!I197*$K$1</f>
        <v>0</v>
      </c>
      <c r="L195" s="29">
        <f>'По платам'!J197*$L$1</f>
        <v>4</v>
      </c>
      <c r="M195" s="29">
        <f>'По платам'!K197*$M$1</f>
        <v>0</v>
      </c>
      <c r="N195" s="29">
        <f>'По платам'!L197*'Состав прибора'!$B$16</f>
        <v>0</v>
      </c>
    </row>
    <row r="196" spans="1:14">
      <c r="A196" s="16" t="s">
        <v>2816</v>
      </c>
      <c r="C196" s="18" t="s">
        <v>1358</v>
      </c>
      <c r="D196" s="25">
        <f t="shared" si="3"/>
        <v>1</v>
      </c>
      <c r="E196" s="29">
        <f>'По платам'!C198*$E$1</f>
        <v>0</v>
      </c>
      <c r="F196" s="29">
        <f>'По платам'!D198*$F$1</f>
        <v>0</v>
      </c>
      <c r="G196" s="29">
        <f>'По платам'!E198*$G$1</f>
        <v>0</v>
      </c>
      <c r="H196" s="29">
        <f>'По платам'!F198*$H$1</f>
        <v>1</v>
      </c>
      <c r="I196" s="29">
        <f>'По платам'!G198*$I$1</f>
        <v>0</v>
      </c>
      <c r="J196" s="29">
        <f>'По платам'!H198*$J$1</f>
        <v>0</v>
      </c>
      <c r="K196" s="29">
        <f>'По платам'!I198*$K$1</f>
        <v>0</v>
      </c>
      <c r="L196" s="29">
        <f>'По платам'!J198*$L$1</f>
        <v>0</v>
      </c>
      <c r="M196" s="29">
        <f>'По платам'!K198*$M$1</f>
        <v>0</v>
      </c>
      <c r="N196" s="29">
        <f>'По платам'!L198*'Состав прибора'!$B$16</f>
        <v>0</v>
      </c>
    </row>
    <row r="197" spans="1:14">
      <c r="A197" s="16" t="s">
        <v>2721</v>
      </c>
      <c r="C197" s="18" t="s">
        <v>2730</v>
      </c>
      <c r="D197" s="25">
        <f t="shared" si="3"/>
        <v>0</v>
      </c>
      <c r="E197" s="29">
        <f>'По платам'!C199*$E$1</f>
        <v>0</v>
      </c>
      <c r="F197" s="29">
        <f>'По платам'!D199*$F$1</f>
        <v>0</v>
      </c>
      <c r="G197" s="29">
        <f>'По платам'!E199*$G$1</f>
        <v>0</v>
      </c>
      <c r="H197" s="29">
        <f>'По платам'!F199*$H$1</f>
        <v>0</v>
      </c>
      <c r="I197" s="29">
        <f>'По платам'!G199*$I$1</f>
        <v>0</v>
      </c>
      <c r="J197" s="29">
        <f>'По платам'!H199*$J$1</f>
        <v>0</v>
      </c>
      <c r="K197" s="29">
        <f>'По платам'!I199*$K$1</f>
        <v>0</v>
      </c>
      <c r="L197" s="29">
        <f>'По платам'!J199*$L$1</f>
        <v>0</v>
      </c>
      <c r="M197" s="29">
        <f>'По платам'!K199*$M$1</f>
        <v>0</v>
      </c>
      <c r="N197" s="29">
        <f>'По платам'!L199*'Состав прибора'!$B$16</f>
        <v>0</v>
      </c>
    </row>
    <row r="198" spans="1:14">
      <c r="A198" s="16" t="s">
        <v>2721</v>
      </c>
      <c r="C198" s="18" t="s">
        <v>2720</v>
      </c>
      <c r="D198" s="25">
        <f t="shared" si="3"/>
        <v>0</v>
      </c>
      <c r="E198" s="29">
        <f>'По платам'!C200*$E$1</f>
        <v>0</v>
      </c>
      <c r="F198" s="29">
        <f>'По платам'!D200*$F$1</f>
        <v>0</v>
      </c>
      <c r="G198" s="29">
        <f>'По платам'!E200*$G$1</f>
        <v>0</v>
      </c>
      <c r="H198" s="29">
        <f>'По платам'!F200*$H$1</f>
        <v>0</v>
      </c>
      <c r="I198" s="29">
        <f>'По платам'!G200*$I$1</f>
        <v>0</v>
      </c>
      <c r="J198" s="29">
        <f>'По платам'!H200*$J$1</f>
        <v>0</v>
      </c>
      <c r="K198" s="29">
        <f>'По платам'!I200*$K$1</f>
        <v>0</v>
      </c>
      <c r="L198" s="29">
        <f>'По платам'!J200*$L$1</f>
        <v>0</v>
      </c>
      <c r="M198" s="29">
        <f>'По платам'!K200*$M$1</f>
        <v>0</v>
      </c>
      <c r="N198" s="29">
        <f>'По платам'!L200*'Состав прибора'!$B$16</f>
        <v>0</v>
      </c>
    </row>
    <row r="199" spans="1:14">
      <c r="A199" s="16" t="s">
        <v>73</v>
      </c>
      <c r="C199" s="18" t="s">
        <v>2823</v>
      </c>
      <c r="D199" s="25">
        <f t="shared" si="3"/>
        <v>0</v>
      </c>
      <c r="E199" s="29">
        <f>'По платам'!C201*$E$1</f>
        <v>0</v>
      </c>
      <c r="F199" s="29">
        <f>'По платам'!D201*$F$1</f>
        <v>0</v>
      </c>
      <c r="G199" s="29">
        <f>'По платам'!E201*$G$1</f>
        <v>0</v>
      </c>
      <c r="H199" s="29">
        <f>'По платам'!F201*$H$1</f>
        <v>0</v>
      </c>
      <c r="I199" s="29">
        <f>'По платам'!G201*$I$1</f>
        <v>0</v>
      </c>
      <c r="J199" s="29">
        <f>'По платам'!H201*$J$1</f>
        <v>0</v>
      </c>
      <c r="K199" s="29">
        <f>'По платам'!I201*$K$1</f>
        <v>0</v>
      </c>
      <c r="L199" s="29">
        <f>'По платам'!J201*$L$1</f>
        <v>0</v>
      </c>
      <c r="M199" s="29">
        <f>'По платам'!K201*$M$1</f>
        <v>0</v>
      </c>
      <c r="N199" s="29">
        <f>'По платам'!L201*'Состав прибора'!$B$16</f>
        <v>0</v>
      </c>
    </row>
    <row r="200" spans="1:14">
      <c r="A200" s="16" t="s">
        <v>73</v>
      </c>
      <c r="C200" s="18" t="s">
        <v>327</v>
      </c>
      <c r="D200" s="25">
        <f t="shared" si="3"/>
        <v>7</v>
      </c>
      <c r="E200" s="29">
        <f>'По платам'!C202*$E$1</f>
        <v>0</v>
      </c>
      <c r="F200" s="29">
        <f>'По платам'!D202*$F$1</f>
        <v>0</v>
      </c>
      <c r="G200" s="29">
        <f>'По платам'!E202*$G$1</f>
        <v>0</v>
      </c>
      <c r="H200" s="29">
        <f>'По платам'!F202*$H$1</f>
        <v>0</v>
      </c>
      <c r="I200" s="29">
        <f>'По платам'!G202*$I$1</f>
        <v>4</v>
      </c>
      <c r="J200" s="29">
        <f>'По платам'!H202*$J$1</f>
        <v>0</v>
      </c>
      <c r="K200" s="29">
        <f>'По платам'!I202*$K$1</f>
        <v>0</v>
      </c>
      <c r="L200" s="29">
        <f>'По платам'!J202*$L$1</f>
        <v>3</v>
      </c>
      <c r="M200" s="29">
        <f>'По платам'!K202*$M$1</f>
        <v>0</v>
      </c>
      <c r="N200" s="29">
        <f>'По платам'!L202*'Состав прибора'!$B$16</f>
        <v>0</v>
      </c>
    </row>
    <row r="201" spans="1:14">
      <c r="A201" s="10" t="s">
        <v>32</v>
      </c>
      <c r="C201" s="16" t="s">
        <v>76</v>
      </c>
      <c r="D201" s="25">
        <f t="shared" si="3"/>
        <v>0</v>
      </c>
      <c r="E201" s="29">
        <f>'По платам'!C203*$E$1</f>
        <v>0</v>
      </c>
      <c r="F201" s="29">
        <f>'По платам'!D203*$F$1</f>
        <v>0</v>
      </c>
      <c r="G201" s="29">
        <f>'По платам'!E203*$G$1</f>
        <v>0</v>
      </c>
      <c r="H201" s="29">
        <f>'По платам'!F203*$H$1</f>
        <v>0</v>
      </c>
      <c r="I201" s="29">
        <f>'По платам'!G203*$I$1</f>
        <v>0</v>
      </c>
      <c r="J201" s="29">
        <f>'По платам'!H203*$J$1</f>
        <v>0</v>
      </c>
      <c r="K201" s="29">
        <f>'По платам'!I203*$K$1</f>
        <v>0</v>
      </c>
      <c r="L201" s="29">
        <f>'По платам'!J203*$L$1</f>
        <v>0</v>
      </c>
      <c r="M201" s="29">
        <f>'По платам'!K203*$M$1</f>
        <v>0</v>
      </c>
      <c r="N201" s="29">
        <f>'По платам'!L203*'Состав прибора'!$B$16</f>
        <v>0</v>
      </c>
    </row>
    <row r="202" spans="1:14">
      <c r="A202" s="16" t="s">
        <v>1916</v>
      </c>
      <c r="C202" s="18" t="s">
        <v>1179</v>
      </c>
      <c r="D202" s="25">
        <f t="shared" si="3"/>
        <v>1</v>
      </c>
      <c r="E202" s="29">
        <f>'По платам'!C204*$E$1</f>
        <v>0</v>
      </c>
      <c r="F202" s="29">
        <f>'По платам'!D204*$F$1</f>
        <v>0</v>
      </c>
      <c r="G202" s="29">
        <f>'По платам'!E204*$G$1</f>
        <v>0</v>
      </c>
      <c r="H202" s="29">
        <f>'По платам'!F204*$H$1</f>
        <v>0</v>
      </c>
      <c r="I202" s="29">
        <f>'По платам'!G204*$I$1</f>
        <v>0</v>
      </c>
      <c r="J202" s="29">
        <f>'По платам'!H204*$J$1</f>
        <v>1</v>
      </c>
      <c r="K202" s="29">
        <f>'По платам'!I204*$K$1</f>
        <v>0</v>
      </c>
      <c r="L202" s="29">
        <f>'По платам'!J204*$L$1</f>
        <v>0</v>
      </c>
      <c r="M202" s="29">
        <f>'По платам'!K204*$M$1</f>
        <v>0</v>
      </c>
      <c r="N202" s="29">
        <f>'По платам'!L204*'Состав прибора'!$B$16</f>
        <v>0</v>
      </c>
    </row>
    <row r="203" spans="1:14">
      <c r="A203" s="16" t="s">
        <v>1916</v>
      </c>
      <c r="C203" s="18" t="s">
        <v>1026</v>
      </c>
      <c r="D203" s="25">
        <f t="shared" si="3"/>
        <v>1</v>
      </c>
      <c r="E203" s="29">
        <f>'По платам'!C205*$E$1</f>
        <v>0</v>
      </c>
      <c r="F203" s="29">
        <f>'По платам'!D205*$F$1</f>
        <v>0</v>
      </c>
      <c r="G203" s="29">
        <f>'По платам'!E205*$G$1</f>
        <v>0</v>
      </c>
      <c r="H203" s="29">
        <f>'По платам'!F205*$H$1</f>
        <v>0</v>
      </c>
      <c r="I203" s="29">
        <f>'По платам'!G205*$I$1</f>
        <v>0</v>
      </c>
      <c r="J203" s="29">
        <f>'По платам'!H205*$J$1</f>
        <v>0</v>
      </c>
      <c r="K203" s="29">
        <f>'По платам'!I205*$K$1</f>
        <v>1</v>
      </c>
      <c r="L203" s="29">
        <f>'По платам'!J205*$L$1</f>
        <v>0</v>
      </c>
      <c r="M203" s="29">
        <f>'По платам'!K205*$M$1</f>
        <v>0</v>
      </c>
      <c r="N203" s="29">
        <f>'По платам'!L205*'Состав прибора'!$B$16</f>
        <v>0</v>
      </c>
    </row>
    <row r="204" spans="1:14">
      <c r="A204" s="16" t="s">
        <v>151</v>
      </c>
      <c r="C204" s="18" t="s">
        <v>2334</v>
      </c>
      <c r="D204" s="25">
        <f t="shared" si="3"/>
        <v>0</v>
      </c>
      <c r="E204" s="29">
        <f>'По платам'!C206*$E$1</f>
        <v>0</v>
      </c>
      <c r="F204" s="29">
        <f>'По платам'!D206*$F$1</f>
        <v>0</v>
      </c>
      <c r="G204" s="29">
        <f>'По платам'!E206*$G$1</f>
        <v>0</v>
      </c>
      <c r="H204" s="29">
        <f>'По платам'!F206*$H$1</f>
        <v>0</v>
      </c>
      <c r="I204" s="29">
        <f>'По платам'!G206*$I$1</f>
        <v>0</v>
      </c>
      <c r="J204" s="29">
        <f>'По платам'!H206*$J$1</f>
        <v>0</v>
      </c>
      <c r="K204" s="29">
        <f>'По платам'!I206*$K$1</f>
        <v>0</v>
      </c>
      <c r="L204" s="29">
        <f>'По платам'!J206*$L$1</f>
        <v>0</v>
      </c>
      <c r="M204" s="29">
        <f>'По платам'!K206*$M$1</f>
        <v>0</v>
      </c>
      <c r="N204" s="29">
        <f>'По платам'!L206*'Состав прибора'!$B$16</f>
        <v>0</v>
      </c>
    </row>
    <row r="205" spans="1:14">
      <c r="A205" s="16" t="s">
        <v>151</v>
      </c>
      <c r="C205" s="18" t="s">
        <v>2338</v>
      </c>
      <c r="D205" s="25">
        <f t="shared" si="3"/>
        <v>0</v>
      </c>
      <c r="E205" s="29">
        <f>'По платам'!C207*$E$1</f>
        <v>0</v>
      </c>
      <c r="F205" s="29">
        <f>'По платам'!D207*$F$1</f>
        <v>0</v>
      </c>
      <c r="G205" s="29">
        <f>'По платам'!E207*$G$1</f>
        <v>0</v>
      </c>
      <c r="H205" s="29">
        <f>'По платам'!F207*$H$1</f>
        <v>0</v>
      </c>
      <c r="I205" s="29">
        <f>'По платам'!G207*$I$1</f>
        <v>0</v>
      </c>
      <c r="J205" s="29">
        <f>'По платам'!H207*$J$1</f>
        <v>0</v>
      </c>
      <c r="K205" s="29">
        <f>'По платам'!I207*$K$1</f>
        <v>0</v>
      </c>
      <c r="L205" s="29">
        <f>'По платам'!J207*$L$1</f>
        <v>0</v>
      </c>
      <c r="M205" s="29">
        <f>'По платам'!K207*$M$1</f>
        <v>0</v>
      </c>
      <c r="N205" s="29">
        <f>'По платам'!L207*'Состав прибора'!$B$16</f>
        <v>0</v>
      </c>
    </row>
    <row r="206" spans="1:14">
      <c r="A206" s="16" t="s">
        <v>151</v>
      </c>
      <c r="C206" s="18" t="s">
        <v>2342</v>
      </c>
      <c r="D206" s="25">
        <f t="shared" si="3"/>
        <v>0</v>
      </c>
      <c r="E206" s="29">
        <f>'По платам'!C208*$E$1</f>
        <v>0</v>
      </c>
      <c r="F206" s="29">
        <f>'По платам'!D208*$F$1</f>
        <v>0</v>
      </c>
      <c r="G206" s="29">
        <f>'По платам'!E208*$G$1</f>
        <v>0</v>
      </c>
      <c r="H206" s="29">
        <f>'По платам'!F208*$H$1</f>
        <v>0</v>
      </c>
      <c r="I206" s="29">
        <f>'По платам'!G208*$I$1</f>
        <v>0</v>
      </c>
      <c r="J206" s="29">
        <f>'По платам'!H208*$J$1</f>
        <v>0</v>
      </c>
      <c r="K206" s="29">
        <f>'По платам'!I208*$K$1</f>
        <v>0</v>
      </c>
      <c r="L206" s="29">
        <f>'По платам'!J208*$L$1</f>
        <v>0</v>
      </c>
      <c r="M206" s="29">
        <f>'По платам'!K208*$M$1</f>
        <v>0</v>
      </c>
      <c r="N206" s="29">
        <f>'По платам'!L208*'Состав прибора'!$B$16</f>
        <v>0</v>
      </c>
    </row>
    <row r="207" spans="1:14">
      <c r="A207" s="16" t="s">
        <v>151</v>
      </c>
      <c r="C207" s="18" t="s">
        <v>2330</v>
      </c>
      <c r="D207" s="25">
        <f t="shared" si="3"/>
        <v>0</v>
      </c>
      <c r="E207" s="29">
        <f>'По платам'!C209*$E$1</f>
        <v>0</v>
      </c>
      <c r="F207" s="29">
        <f>'По платам'!D209*$F$1</f>
        <v>0</v>
      </c>
      <c r="G207" s="29">
        <f>'По платам'!E209*$G$1</f>
        <v>0</v>
      </c>
      <c r="H207" s="29">
        <f>'По платам'!F209*$H$1</f>
        <v>0</v>
      </c>
      <c r="I207" s="29">
        <f>'По платам'!G209*$I$1</f>
        <v>0</v>
      </c>
      <c r="J207" s="29">
        <f>'По платам'!H209*$J$1</f>
        <v>0</v>
      </c>
      <c r="K207" s="29">
        <f>'По платам'!I209*$K$1</f>
        <v>0</v>
      </c>
      <c r="L207" s="29">
        <f>'По платам'!J209*$L$1</f>
        <v>0</v>
      </c>
      <c r="M207" s="29">
        <f>'По платам'!K209*$M$1</f>
        <v>0</v>
      </c>
      <c r="N207" s="29">
        <f>'По платам'!L209*'Состав прибора'!$B$16</f>
        <v>0</v>
      </c>
    </row>
    <row r="208" spans="1:14">
      <c r="A208" s="16" t="s">
        <v>151</v>
      </c>
      <c r="C208" s="18" t="s">
        <v>2324</v>
      </c>
      <c r="D208" s="25">
        <f t="shared" si="3"/>
        <v>0</v>
      </c>
      <c r="E208" s="29">
        <f>'По платам'!C210*$E$1</f>
        <v>0</v>
      </c>
      <c r="F208" s="29">
        <f>'По платам'!D210*$F$1</f>
        <v>0</v>
      </c>
      <c r="G208" s="29">
        <f>'По платам'!E210*$G$1</f>
        <v>0</v>
      </c>
      <c r="H208" s="29">
        <f>'По платам'!F210*$H$1</f>
        <v>0</v>
      </c>
      <c r="I208" s="29">
        <f>'По платам'!G210*$I$1</f>
        <v>0</v>
      </c>
      <c r="J208" s="29">
        <f>'По платам'!H210*$J$1</f>
        <v>0</v>
      </c>
      <c r="K208" s="29">
        <f>'По платам'!I210*$K$1</f>
        <v>0</v>
      </c>
      <c r="L208" s="29">
        <f>'По платам'!J210*$L$1</f>
        <v>0</v>
      </c>
      <c r="M208" s="29">
        <f>'По платам'!K210*$M$1</f>
        <v>0</v>
      </c>
      <c r="N208" s="29">
        <f>'По платам'!L210*'Состав прибора'!$B$16</f>
        <v>0</v>
      </c>
    </row>
    <row r="209" spans="1:14">
      <c r="A209" s="16" t="s">
        <v>151</v>
      </c>
      <c r="C209" s="18" t="s">
        <v>2320</v>
      </c>
      <c r="D209" s="25">
        <f t="shared" si="3"/>
        <v>0</v>
      </c>
      <c r="E209" s="29">
        <f>'По платам'!C211*$E$1</f>
        <v>0</v>
      </c>
      <c r="F209" s="29">
        <f>'По платам'!D211*$F$1</f>
        <v>0</v>
      </c>
      <c r="G209" s="29">
        <f>'По платам'!E211*$G$1</f>
        <v>0</v>
      </c>
      <c r="H209" s="29">
        <f>'По платам'!F211*$H$1</f>
        <v>0</v>
      </c>
      <c r="I209" s="29">
        <f>'По платам'!G211*$I$1</f>
        <v>0</v>
      </c>
      <c r="J209" s="29">
        <f>'По платам'!H211*$J$1</f>
        <v>0</v>
      </c>
      <c r="K209" s="29">
        <f>'По платам'!I211*$K$1</f>
        <v>0</v>
      </c>
      <c r="L209" s="29">
        <f>'По платам'!J211*$L$1</f>
        <v>0</v>
      </c>
      <c r="M209" s="29">
        <f>'По платам'!K211*$M$1</f>
        <v>0</v>
      </c>
      <c r="N209" s="29">
        <f>'По платам'!L211*'Состав прибора'!$B$16</f>
        <v>0</v>
      </c>
    </row>
    <row r="210" spans="1:14">
      <c r="A210" s="16" t="s">
        <v>151</v>
      </c>
      <c r="C210" s="18" t="s">
        <v>1711</v>
      </c>
      <c r="D210" s="25">
        <f t="shared" si="3"/>
        <v>0</v>
      </c>
      <c r="E210" s="29">
        <f>'По платам'!C212*$E$1</f>
        <v>0</v>
      </c>
      <c r="F210" s="29">
        <f>'По платам'!D212*$F$1</f>
        <v>0</v>
      </c>
      <c r="G210" s="29">
        <f>'По платам'!E212*$G$1</f>
        <v>0</v>
      </c>
      <c r="H210" s="29">
        <f>'По платам'!F212*$H$1</f>
        <v>0</v>
      </c>
      <c r="I210" s="29">
        <f>'По платам'!G212*$I$1</f>
        <v>0</v>
      </c>
      <c r="J210" s="29">
        <f>'По платам'!H212*$J$1</f>
        <v>0</v>
      </c>
      <c r="K210" s="29">
        <f>'По платам'!I212*$K$1</f>
        <v>0</v>
      </c>
      <c r="L210" s="29">
        <f>'По платам'!J212*$L$1</f>
        <v>0</v>
      </c>
      <c r="M210" s="29">
        <f>'По платам'!K212*$M$1</f>
        <v>0</v>
      </c>
      <c r="N210" s="29">
        <f>'По платам'!L212*'Состав прибора'!$B$16</f>
        <v>0</v>
      </c>
    </row>
    <row r="211" spans="1:14">
      <c r="A211" s="16" t="s">
        <v>151</v>
      </c>
      <c r="C211" s="18" t="s">
        <v>409</v>
      </c>
      <c r="D211" s="25">
        <f t="shared" si="3"/>
        <v>2</v>
      </c>
      <c r="E211" s="29">
        <f>'По платам'!C213*$E$1</f>
        <v>0</v>
      </c>
      <c r="F211" s="29">
        <f>'По платам'!D213*$F$1</f>
        <v>0</v>
      </c>
      <c r="G211" s="29">
        <f>'По платам'!E213*$G$1</f>
        <v>0</v>
      </c>
      <c r="H211" s="29">
        <f>'По платам'!F213*$H$1</f>
        <v>0</v>
      </c>
      <c r="I211" s="29">
        <f>'По платам'!G213*$I$1</f>
        <v>0</v>
      </c>
      <c r="J211" s="29">
        <f>'По платам'!H213*$J$1</f>
        <v>0</v>
      </c>
      <c r="K211" s="29">
        <f>'По платам'!I213*$K$1</f>
        <v>0</v>
      </c>
      <c r="L211" s="29">
        <f>'По платам'!J213*$L$1</f>
        <v>2</v>
      </c>
      <c r="M211" s="29">
        <f>'По платам'!K213*$M$1</f>
        <v>0</v>
      </c>
      <c r="N211" s="29">
        <f>'По платам'!L213*'Состав прибора'!$B$16</f>
        <v>0</v>
      </c>
    </row>
    <row r="212" spans="1:14">
      <c r="A212" s="16" t="s">
        <v>151</v>
      </c>
      <c r="C212" s="18" t="s">
        <v>802</v>
      </c>
      <c r="D212" s="25">
        <f t="shared" si="3"/>
        <v>2</v>
      </c>
      <c r="E212" s="29">
        <f>'По платам'!C214*$E$1</f>
        <v>0</v>
      </c>
      <c r="F212" s="29">
        <f>'По платам'!D214*$F$1</f>
        <v>0</v>
      </c>
      <c r="G212" s="29">
        <f>'По платам'!E214*$G$1</f>
        <v>0</v>
      </c>
      <c r="H212" s="29">
        <f>'По платам'!F214*$H$1</f>
        <v>0</v>
      </c>
      <c r="I212" s="29">
        <f>'По платам'!G214*$I$1</f>
        <v>0</v>
      </c>
      <c r="J212" s="29">
        <f>'По платам'!H214*$J$1</f>
        <v>0</v>
      </c>
      <c r="K212" s="29">
        <f>'По платам'!I214*$K$1</f>
        <v>2</v>
      </c>
      <c r="L212" s="29">
        <f>'По платам'!J214*$L$1</f>
        <v>0</v>
      </c>
      <c r="M212" s="29">
        <f>'По платам'!K214*$M$1</f>
        <v>0</v>
      </c>
      <c r="N212" s="29">
        <f>'По платам'!L214*'Состав прибора'!$B$16</f>
        <v>0</v>
      </c>
    </row>
    <row r="213" spans="1:14">
      <c r="A213" s="16" t="s">
        <v>151</v>
      </c>
      <c r="C213" s="18" t="s">
        <v>1692</v>
      </c>
      <c r="D213" s="25">
        <f t="shared" si="3"/>
        <v>0</v>
      </c>
      <c r="E213" s="29">
        <f>'По платам'!C215*$E$1</f>
        <v>0</v>
      </c>
      <c r="F213" s="29">
        <f>'По платам'!D215*$F$1</f>
        <v>0</v>
      </c>
      <c r="G213" s="29">
        <f>'По платам'!E215*$G$1</f>
        <v>0</v>
      </c>
      <c r="H213" s="29">
        <f>'По платам'!F215*$H$1</f>
        <v>0</v>
      </c>
      <c r="I213" s="29">
        <f>'По платам'!G215*$I$1</f>
        <v>0</v>
      </c>
      <c r="J213" s="29">
        <f>'По платам'!H215*$J$1</f>
        <v>0</v>
      </c>
      <c r="K213" s="29">
        <f>'По платам'!I215*$K$1</f>
        <v>0</v>
      </c>
      <c r="L213" s="29">
        <f>'По платам'!J215*$L$1</f>
        <v>0</v>
      </c>
      <c r="M213" s="29">
        <f>'По платам'!K215*$M$1</f>
        <v>0</v>
      </c>
      <c r="N213" s="29">
        <f>'По платам'!L215*'Состав прибора'!$B$16</f>
        <v>0</v>
      </c>
    </row>
    <row r="214" spans="1:14">
      <c r="A214" s="16" t="s">
        <v>151</v>
      </c>
      <c r="C214" s="18" t="s">
        <v>1544</v>
      </c>
      <c r="D214" s="25">
        <f t="shared" si="3"/>
        <v>0</v>
      </c>
      <c r="E214" s="29">
        <f>'По платам'!C216*$E$1</f>
        <v>0</v>
      </c>
      <c r="F214" s="29">
        <f>'По платам'!D216*$F$1</f>
        <v>0</v>
      </c>
      <c r="G214" s="29">
        <f>'По платам'!E216*$G$1</f>
        <v>0</v>
      </c>
      <c r="H214" s="29">
        <f>'По платам'!F216*$H$1</f>
        <v>0</v>
      </c>
      <c r="I214" s="29">
        <f>'По платам'!G216*$I$1</f>
        <v>0</v>
      </c>
      <c r="J214" s="29">
        <f>'По платам'!H216*$J$1</f>
        <v>0</v>
      </c>
      <c r="K214" s="29">
        <f>'По платам'!I216*$K$1</f>
        <v>0</v>
      </c>
      <c r="L214" s="29">
        <f>'По платам'!J216*$L$1</f>
        <v>0</v>
      </c>
      <c r="M214" s="29">
        <f>'По платам'!K216*$M$1</f>
        <v>0</v>
      </c>
      <c r="N214" s="29">
        <f>'По платам'!L216*'Состав прибора'!$B$16</f>
        <v>0</v>
      </c>
    </row>
    <row r="215" spans="1:14">
      <c r="A215" s="16" t="s">
        <v>151</v>
      </c>
      <c r="C215" s="18" t="s">
        <v>1564</v>
      </c>
      <c r="D215" s="25">
        <f t="shared" si="3"/>
        <v>0</v>
      </c>
      <c r="E215" s="29">
        <f>'По платам'!C217*$E$1</f>
        <v>0</v>
      </c>
      <c r="F215" s="29">
        <f>'По платам'!D217*$F$1</f>
        <v>0</v>
      </c>
      <c r="G215" s="29">
        <f>'По платам'!E217*$G$1</f>
        <v>0</v>
      </c>
      <c r="H215" s="29">
        <f>'По платам'!F217*$H$1</f>
        <v>0</v>
      </c>
      <c r="I215" s="29">
        <f>'По платам'!G217*$I$1</f>
        <v>0</v>
      </c>
      <c r="J215" s="29">
        <f>'По платам'!H217*$J$1</f>
        <v>0</v>
      </c>
      <c r="K215" s="29">
        <f>'По платам'!I217*$K$1</f>
        <v>0</v>
      </c>
      <c r="L215" s="29">
        <f>'По платам'!J217*$L$1</f>
        <v>0</v>
      </c>
      <c r="M215" s="29">
        <f>'По платам'!K217*$M$1</f>
        <v>0</v>
      </c>
      <c r="N215" s="29">
        <f>'По платам'!L217*'Состав прибора'!$B$16</f>
        <v>0</v>
      </c>
    </row>
    <row r="216" spans="1:14">
      <c r="A216" s="16" t="s">
        <v>151</v>
      </c>
      <c r="C216" s="18" t="s">
        <v>1536</v>
      </c>
      <c r="D216" s="25">
        <f t="shared" si="3"/>
        <v>0</v>
      </c>
      <c r="E216" s="29">
        <f>'По платам'!C218*$E$1</f>
        <v>0</v>
      </c>
      <c r="F216" s="29">
        <f>'По платам'!D218*$F$1</f>
        <v>0</v>
      </c>
      <c r="G216" s="29">
        <f>'По платам'!E218*$G$1</f>
        <v>0</v>
      </c>
      <c r="H216" s="29">
        <f>'По платам'!F218*$H$1</f>
        <v>0</v>
      </c>
      <c r="I216" s="29">
        <f>'По платам'!G218*$I$1</f>
        <v>0</v>
      </c>
      <c r="J216" s="29">
        <f>'По платам'!H218*$J$1</f>
        <v>0</v>
      </c>
      <c r="K216" s="29">
        <f>'По платам'!I218*$K$1</f>
        <v>0</v>
      </c>
      <c r="L216" s="29">
        <f>'По платам'!J218*$L$1</f>
        <v>0</v>
      </c>
      <c r="M216" s="29">
        <f>'По платам'!K218*$M$1</f>
        <v>0</v>
      </c>
      <c r="N216" s="29">
        <f>'По платам'!L218*'Состав прибора'!$B$16</f>
        <v>0</v>
      </c>
    </row>
    <row r="217" spans="1:14">
      <c r="A217" s="16" t="s">
        <v>151</v>
      </c>
      <c r="C217" s="18" t="s">
        <v>1528</v>
      </c>
      <c r="D217" s="25">
        <f t="shared" si="3"/>
        <v>0</v>
      </c>
      <c r="E217" s="29">
        <f>'По платам'!C219*$E$1</f>
        <v>0</v>
      </c>
      <c r="F217" s="29">
        <f>'По платам'!D219*$F$1</f>
        <v>0</v>
      </c>
      <c r="G217" s="29">
        <f>'По платам'!E219*$G$1</f>
        <v>0</v>
      </c>
      <c r="H217" s="29">
        <f>'По платам'!F219*$H$1</f>
        <v>0</v>
      </c>
      <c r="I217" s="29">
        <f>'По платам'!G219*$I$1</f>
        <v>0</v>
      </c>
      <c r="J217" s="29">
        <f>'По платам'!H219*$J$1</f>
        <v>0</v>
      </c>
      <c r="K217" s="29">
        <f>'По платам'!I219*$K$1</f>
        <v>0</v>
      </c>
      <c r="L217" s="29">
        <f>'По платам'!J219*$L$1</f>
        <v>0</v>
      </c>
      <c r="M217" s="29">
        <f>'По платам'!K219*$M$1</f>
        <v>0</v>
      </c>
      <c r="N217" s="29">
        <f>'По платам'!L219*'Состав прибора'!$B$16</f>
        <v>0</v>
      </c>
    </row>
    <row r="218" spans="1:14">
      <c r="A218" s="16" t="s">
        <v>151</v>
      </c>
      <c r="C218" s="18" t="s">
        <v>1515</v>
      </c>
      <c r="D218" s="25">
        <f t="shared" si="3"/>
        <v>0</v>
      </c>
      <c r="E218" s="29">
        <f>'По платам'!C220*$E$1</f>
        <v>0</v>
      </c>
      <c r="F218" s="29">
        <f>'По платам'!D220*$F$1</f>
        <v>0</v>
      </c>
      <c r="G218" s="29">
        <f>'По платам'!E220*$G$1</f>
        <v>0</v>
      </c>
      <c r="H218" s="29">
        <f>'По платам'!F220*$H$1</f>
        <v>0</v>
      </c>
      <c r="I218" s="29">
        <f>'По платам'!G220*$I$1</f>
        <v>0</v>
      </c>
      <c r="J218" s="29">
        <f>'По платам'!H220*$J$1</f>
        <v>0</v>
      </c>
      <c r="K218" s="29">
        <f>'По платам'!I220*$K$1</f>
        <v>0</v>
      </c>
      <c r="L218" s="29">
        <f>'По платам'!J220*$L$1</f>
        <v>0</v>
      </c>
      <c r="M218" s="29">
        <f>'По платам'!K220*$M$1</f>
        <v>0</v>
      </c>
      <c r="N218" s="29">
        <f>'По платам'!L220*'Состав прибора'!$B$16</f>
        <v>0</v>
      </c>
    </row>
    <row r="219" spans="1:14">
      <c r="A219" s="16" t="s">
        <v>151</v>
      </c>
      <c r="C219" s="18" t="s">
        <v>1540</v>
      </c>
      <c r="D219" s="25">
        <f t="shared" si="3"/>
        <v>0</v>
      </c>
      <c r="E219" s="29">
        <f>'По платам'!C221*$E$1</f>
        <v>0</v>
      </c>
      <c r="F219" s="29">
        <f>'По платам'!D221*$F$1</f>
        <v>0</v>
      </c>
      <c r="G219" s="29">
        <f>'По платам'!E221*$G$1</f>
        <v>0</v>
      </c>
      <c r="H219" s="29">
        <f>'По платам'!F221*$H$1</f>
        <v>0</v>
      </c>
      <c r="I219" s="29">
        <f>'По платам'!G221*$I$1</f>
        <v>0</v>
      </c>
      <c r="J219" s="29">
        <f>'По платам'!H221*$J$1</f>
        <v>0</v>
      </c>
      <c r="K219" s="29">
        <f>'По платам'!I221*$K$1</f>
        <v>0</v>
      </c>
      <c r="L219" s="29">
        <f>'По платам'!J221*$L$1</f>
        <v>0</v>
      </c>
      <c r="M219" s="29">
        <f>'По платам'!K221*$M$1</f>
        <v>0</v>
      </c>
      <c r="N219" s="29">
        <f>'По платам'!L221*'Состав прибора'!$B$16</f>
        <v>0</v>
      </c>
    </row>
    <row r="220" spans="1:14">
      <c r="A220" s="16" t="s">
        <v>151</v>
      </c>
      <c r="C220" s="18" t="s">
        <v>1552</v>
      </c>
      <c r="D220" s="25">
        <f t="shared" si="3"/>
        <v>0</v>
      </c>
      <c r="E220" s="29">
        <f>'По платам'!C222*$E$1</f>
        <v>0</v>
      </c>
      <c r="F220" s="29">
        <f>'По платам'!D222*$F$1</f>
        <v>0</v>
      </c>
      <c r="G220" s="29">
        <f>'По платам'!E222*$G$1</f>
        <v>0</v>
      </c>
      <c r="H220" s="29">
        <f>'По платам'!F222*$H$1</f>
        <v>0</v>
      </c>
      <c r="I220" s="29">
        <f>'По платам'!G222*$I$1</f>
        <v>0</v>
      </c>
      <c r="J220" s="29">
        <f>'По платам'!H222*$J$1</f>
        <v>0</v>
      </c>
      <c r="K220" s="29">
        <f>'По платам'!I222*$K$1</f>
        <v>0</v>
      </c>
      <c r="L220" s="29">
        <f>'По платам'!J222*$L$1</f>
        <v>0</v>
      </c>
      <c r="M220" s="29">
        <f>'По платам'!K222*$M$1</f>
        <v>0</v>
      </c>
      <c r="N220" s="29">
        <f>'По платам'!L222*'Состав прибора'!$B$16</f>
        <v>0</v>
      </c>
    </row>
    <row r="221" spans="1:14">
      <c r="A221" s="16" t="s">
        <v>151</v>
      </c>
      <c r="C221" s="18" t="s">
        <v>2858</v>
      </c>
      <c r="D221" s="25">
        <f t="shared" si="3"/>
        <v>0</v>
      </c>
      <c r="E221" s="29">
        <f>'По платам'!C223*$E$1</f>
        <v>0</v>
      </c>
      <c r="F221" s="29">
        <f>'По платам'!D223*$F$1</f>
        <v>0</v>
      </c>
      <c r="G221" s="29">
        <f>'По платам'!E223*$G$1</f>
        <v>0</v>
      </c>
      <c r="H221" s="29">
        <f>'По платам'!F223*$H$1</f>
        <v>0</v>
      </c>
      <c r="I221" s="29">
        <f>'По платам'!G223*$I$1</f>
        <v>0</v>
      </c>
      <c r="J221" s="29">
        <f>'По платам'!H223*$J$1</f>
        <v>0</v>
      </c>
      <c r="K221" s="29">
        <f>'По платам'!I223*$K$1</f>
        <v>0</v>
      </c>
      <c r="L221" s="29">
        <f>'По платам'!J223*$L$1</f>
        <v>0</v>
      </c>
      <c r="M221" s="29">
        <f>'По платам'!K223*$M$1</f>
        <v>0</v>
      </c>
      <c r="N221" s="29">
        <f>'По платам'!L223*'Состав прибора'!$B$16</f>
        <v>0</v>
      </c>
    </row>
    <row r="222" spans="1:14">
      <c r="A222" s="16" t="s">
        <v>151</v>
      </c>
      <c r="C222" s="18" t="s">
        <v>2596</v>
      </c>
      <c r="D222" s="25">
        <f t="shared" si="3"/>
        <v>0</v>
      </c>
      <c r="E222" s="29">
        <f>'По платам'!C224*$E$1</f>
        <v>0</v>
      </c>
      <c r="F222" s="29">
        <f>'По платам'!D224*$F$1</f>
        <v>0</v>
      </c>
      <c r="G222" s="29">
        <f>'По платам'!E224*$G$1</f>
        <v>0</v>
      </c>
      <c r="H222" s="29">
        <f>'По платам'!F224*$H$1</f>
        <v>0</v>
      </c>
      <c r="I222" s="29">
        <f>'По платам'!G224*$I$1</f>
        <v>0</v>
      </c>
      <c r="J222" s="29">
        <f>'По платам'!H224*$J$1</f>
        <v>0</v>
      </c>
      <c r="K222" s="29">
        <f>'По платам'!I224*$K$1</f>
        <v>0</v>
      </c>
      <c r="L222" s="29">
        <f>'По платам'!J224*$L$1</f>
        <v>0</v>
      </c>
      <c r="M222" s="29">
        <f>'По платам'!K224*$M$1</f>
        <v>0</v>
      </c>
      <c r="N222" s="29">
        <f>'По платам'!L224*'Состав прибора'!$B$16</f>
        <v>0</v>
      </c>
    </row>
    <row r="223" spans="1:14">
      <c r="A223" s="16" t="s">
        <v>151</v>
      </c>
      <c r="C223" s="18" t="s">
        <v>1136</v>
      </c>
      <c r="D223" s="25">
        <f t="shared" si="3"/>
        <v>1</v>
      </c>
      <c r="E223" s="29">
        <f>'По платам'!C225*$E$1</f>
        <v>0</v>
      </c>
      <c r="F223" s="29">
        <f>'По платам'!D225*$F$1</f>
        <v>0</v>
      </c>
      <c r="G223" s="29">
        <f>'По платам'!E225*$G$1</f>
        <v>0</v>
      </c>
      <c r="H223" s="29">
        <f>'По платам'!F225*$H$1</f>
        <v>0</v>
      </c>
      <c r="I223" s="29">
        <f>'По платам'!G225*$I$1</f>
        <v>0</v>
      </c>
      <c r="J223" s="29">
        <f>'По платам'!H225*$J$1</f>
        <v>1</v>
      </c>
      <c r="K223" s="29">
        <f>'По платам'!I225*$K$1</f>
        <v>0</v>
      </c>
      <c r="L223" s="29">
        <f>'По платам'!J225*$L$1</f>
        <v>0</v>
      </c>
      <c r="M223" s="29">
        <f>'По платам'!K225*$M$1</f>
        <v>0</v>
      </c>
      <c r="N223" s="29">
        <f>'По платам'!L225*'Состав прибора'!$B$16</f>
        <v>0</v>
      </c>
    </row>
    <row r="224" spans="1:14">
      <c r="A224" s="16" t="s">
        <v>2080</v>
      </c>
      <c r="C224" s="18" t="s">
        <v>2079</v>
      </c>
      <c r="D224" s="25">
        <f t="shared" si="3"/>
        <v>0</v>
      </c>
      <c r="E224" s="29">
        <f>'По платам'!C226*$E$1</f>
        <v>0</v>
      </c>
      <c r="F224" s="29">
        <f>'По платам'!D226*$F$1</f>
        <v>0</v>
      </c>
      <c r="G224" s="29">
        <f>'По платам'!E226*$G$1</f>
        <v>0</v>
      </c>
      <c r="H224" s="29">
        <f>'По платам'!F226*$H$1</f>
        <v>0</v>
      </c>
      <c r="I224" s="29">
        <f>'По платам'!G226*$I$1</f>
        <v>0</v>
      </c>
      <c r="J224" s="29">
        <f>'По платам'!H226*$J$1</f>
        <v>0</v>
      </c>
      <c r="K224" s="29">
        <f>'По платам'!I226*$K$1</f>
        <v>0</v>
      </c>
      <c r="L224" s="29">
        <f>'По платам'!J226*$L$1</f>
        <v>0</v>
      </c>
      <c r="M224" s="29">
        <f>'По платам'!K226*$M$1</f>
        <v>0</v>
      </c>
      <c r="N224" s="29">
        <f>'По платам'!L226*'Состав прибора'!$B$16</f>
        <v>0</v>
      </c>
    </row>
    <row r="225" spans="1:14">
      <c r="A225" s="16" t="s">
        <v>499</v>
      </c>
      <c r="C225" s="18" t="s">
        <v>736</v>
      </c>
      <c r="D225" s="25">
        <f t="shared" si="3"/>
        <v>3</v>
      </c>
      <c r="E225" s="29">
        <f>'По платам'!C227*$E$1</f>
        <v>0</v>
      </c>
      <c r="F225" s="29">
        <f>'По платам'!D227*$F$1</f>
        <v>0</v>
      </c>
      <c r="G225" s="29">
        <f>'По платам'!E227*$G$1</f>
        <v>0</v>
      </c>
      <c r="H225" s="29">
        <f>'По платам'!F227*$H$1</f>
        <v>2</v>
      </c>
      <c r="I225" s="29">
        <f>'По платам'!G227*$I$1</f>
        <v>0</v>
      </c>
      <c r="J225" s="29">
        <f>'По платам'!H227*$J$1</f>
        <v>0</v>
      </c>
      <c r="K225" s="29">
        <f>'По платам'!I227*$K$1</f>
        <v>1</v>
      </c>
      <c r="L225" s="29">
        <f>'По платам'!J227*$L$1</f>
        <v>0</v>
      </c>
      <c r="M225" s="29">
        <f>'По платам'!K227*$M$1</f>
        <v>0</v>
      </c>
      <c r="N225" s="29">
        <f>'По платам'!L227*'Состав прибора'!$B$16</f>
        <v>0</v>
      </c>
    </row>
    <row r="226" spans="1:14">
      <c r="A226" s="16" t="s">
        <v>499</v>
      </c>
      <c r="C226" s="18" t="s">
        <v>1445</v>
      </c>
      <c r="D226" s="25">
        <f t="shared" si="3"/>
        <v>1</v>
      </c>
      <c r="E226" s="29">
        <f>'По платам'!C228*$E$1</f>
        <v>0</v>
      </c>
      <c r="F226" s="29">
        <f>'По платам'!D228*$F$1</f>
        <v>0</v>
      </c>
      <c r="G226" s="29">
        <f>'По платам'!E228*$G$1</f>
        <v>0</v>
      </c>
      <c r="H226" s="29">
        <f>'По платам'!F228*$H$1</f>
        <v>1</v>
      </c>
      <c r="I226" s="29">
        <f>'По платам'!G228*$I$1</f>
        <v>0</v>
      </c>
      <c r="J226" s="29">
        <f>'По платам'!H228*$J$1</f>
        <v>0</v>
      </c>
      <c r="K226" s="29">
        <f>'По платам'!I228*$K$1</f>
        <v>0</v>
      </c>
      <c r="L226" s="29">
        <f>'По платам'!J228*$L$1</f>
        <v>0</v>
      </c>
      <c r="M226" s="29">
        <f>'По платам'!K228*$M$1</f>
        <v>0</v>
      </c>
      <c r="N226" s="29">
        <f>'По платам'!L228*'Состав прибора'!$B$16</f>
        <v>0</v>
      </c>
    </row>
    <row r="227" spans="1:14">
      <c r="A227" s="16" t="s">
        <v>499</v>
      </c>
      <c r="C227" s="18" t="s">
        <v>3014</v>
      </c>
      <c r="D227" s="25">
        <f t="shared" si="3"/>
        <v>3</v>
      </c>
      <c r="E227" s="29">
        <f>'По платам'!C229*$E$1</f>
        <v>0</v>
      </c>
      <c r="F227" s="29">
        <f>'По платам'!D229*$F$1</f>
        <v>0</v>
      </c>
      <c r="G227" s="29">
        <f>'По платам'!E229*$G$1</f>
        <v>0</v>
      </c>
      <c r="H227" s="29">
        <f>'По платам'!F229*$H$1</f>
        <v>0</v>
      </c>
      <c r="I227" s="29">
        <f>'По платам'!G229*$I$1</f>
        <v>0</v>
      </c>
      <c r="J227" s="29">
        <f>'По платам'!H229*$J$1</f>
        <v>0</v>
      </c>
      <c r="K227" s="29">
        <f>'По платам'!I229*$K$1</f>
        <v>0</v>
      </c>
      <c r="L227" s="29">
        <f>'По платам'!J229*$L$1</f>
        <v>3</v>
      </c>
      <c r="M227" s="29">
        <f>'По платам'!K229*$M$1</f>
        <v>0</v>
      </c>
      <c r="N227" s="29">
        <f>'По платам'!L229*'Состав прибора'!$B$16</f>
        <v>0</v>
      </c>
    </row>
    <row r="228" spans="1:14">
      <c r="A228" s="16" t="s">
        <v>499</v>
      </c>
      <c r="C228" s="18" t="s">
        <v>1647</v>
      </c>
      <c r="D228" s="25">
        <f t="shared" si="3"/>
        <v>0</v>
      </c>
      <c r="E228" s="29">
        <f>'По платам'!C230*$E$1</f>
        <v>0</v>
      </c>
      <c r="F228" s="29">
        <f>'По платам'!D230*$F$1</f>
        <v>0</v>
      </c>
      <c r="G228" s="29">
        <f>'По платам'!E230*$G$1</f>
        <v>0</v>
      </c>
      <c r="H228" s="29">
        <f>'По платам'!F230*$H$1</f>
        <v>0</v>
      </c>
      <c r="I228" s="29">
        <f>'По платам'!G230*$I$1</f>
        <v>0</v>
      </c>
      <c r="J228" s="29">
        <f>'По платам'!H230*$J$1</f>
        <v>0</v>
      </c>
      <c r="K228" s="29">
        <f>'По платам'!I230*$K$1</f>
        <v>0</v>
      </c>
      <c r="L228" s="29">
        <f>'По платам'!J230*$L$1</f>
        <v>0</v>
      </c>
      <c r="M228" s="29">
        <f>'По платам'!K230*$M$1</f>
        <v>0</v>
      </c>
      <c r="N228" s="29">
        <f>'По платам'!L230*'Состав прибора'!$B$16</f>
        <v>0</v>
      </c>
    </row>
    <row r="229" spans="1:14">
      <c r="A229" s="16" t="s">
        <v>499</v>
      </c>
      <c r="C229" s="18" t="s">
        <v>1035</v>
      </c>
      <c r="D229" s="25">
        <f t="shared" si="3"/>
        <v>2</v>
      </c>
      <c r="E229" s="29">
        <f>'По платам'!C231*$E$1</f>
        <v>0</v>
      </c>
      <c r="F229" s="29">
        <f>'По платам'!D231*$F$1</f>
        <v>0</v>
      </c>
      <c r="G229" s="29">
        <f>'По платам'!E231*$G$1</f>
        <v>0</v>
      </c>
      <c r="H229" s="29">
        <f>'По платам'!F231*$H$1</f>
        <v>0</v>
      </c>
      <c r="I229" s="29">
        <f>'По платам'!G231*$I$1</f>
        <v>0</v>
      </c>
      <c r="J229" s="29">
        <f>'По платам'!H231*$J$1</f>
        <v>0</v>
      </c>
      <c r="K229" s="29">
        <f>'По платам'!I231*$K$1</f>
        <v>2</v>
      </c>
      <c r="L229" s="29">
        <f>'По платам'!J231*$L$1</f>
        <v>0</v>
      </c>
      <c r="M229" s="29">
        <f>'По платам'!K231*$M$1</f>
        <v>0</v>
      </c>
      <c r="N229" s="29">
        <f>'По платам'!L231*'Состав прибора'!$B$16</f>
        <v>0</v>
      </c>
    </row>
    <row r="230" spans="1:14">
      <c r="A230" s="16" t="s">
        <v>499</v>
      </c>
      <c r="C230" s="18" t="s">
        <v>498</v>
      </c>
      <c r="D230" s="25">
        <f t="shared" si="3"/>
        <v>3</v>
      </c>
      <c r="E230" s="29">
        <f>'По платам'!C232*$E$1</f>
        <v>0</v>
      </c>
      <c r="F230" s="29">
        <f>'По платам'!D232*$F$1</f>
        <v>0</v>
      </c>
      <c r="G230" s="29">
        <f>'По платам'!E232*$G$1</f>
        <v>0</v>
      </c>
      <c r="H230" s="29">
        <f>'По платам'!F232*$H$1</f>
        <v>0</v>
      </c>
      <c r="I230" s="29">
        <f>'По платам'!G232*$I$1</f>
        <v>0</v>
      </c>
      <c r="J230" s="29">
        <f>'По платам'!H232*$J$1</f>
        <v>0</v>
      </c>
      <c r="K230" s="29">
        <f>'По платам'!I232*$K$1</f>
        <v>2</v>
      </c>
      <c r="L230" s="29">
        <f>'По платам'!J232*$L$1</f>
        <v>1</v>
      </c>
      <c r="M230" s="29">
        <f>'По платам'!K232*$M$1</f>
        <v>0</v>
      </c>
      <c r="N230" s="29">
        <f>'По платам'!L232*'Состав прибора'!$B$16</f>
        <v>0</v>
      </c>
    </row>
    <row r="231" spans="1:14">
      <c r="A231" s="16" t="s">
        <v>1633</v>
      </c>
      <c r="C231" s="18" t="s">
        <v>1632</v>
      </c>
      <c r="D231" s="25">
        <f t="shared" si="3"/>
        <v>0</v>
      </c>
      <c r="E231" s="29">
        <f>'По платам'!C233*$E$1</f>
        <v>0</v>
      </c>
      <c r="F231" s="29">
        <f>'По платам'!D233*$F$1</f>
        <v>0</v>
      </c>
      <c r="G231" s="29">
        <f>'По платам'!E233*$G$1</f>
        <v>0</v>
      </c>
      <c r="H231" s="29">
        <f>'По платам'!F233*$H$1</f>
        <v>0</v>
      </c>
      <c r="I231" s="29">
        <f>'По платам'!G233*$I$1</f>
        <v>0</v>
      </c>
      <c r="J231" s="29">
        <f>'По платам'!H233*$J$1</f>
        <v>0</v>
      </c>
      <c r="K231" s="29">
        <f>'По платам'!I233*$K$1</f>
        <v>0</v>
      </c>
      <c r="L231" s="29">
        <f>'По платам'!J233*$L$1</f>
        <v>0</v>
      </c>
      <c r="M231" s="29">
        <f>'По платам'!K233*$M$1</f>
        <v>0</v>
      </c>
      <c r="N231" s="29">
        <f>'По платам'!L233*'Состав прибора'!$B$16</f>
        <v>0</v>
      </c>
    </row>
    <row r="232" spans="1:14">
      <c r="A232" s="16" t="s">
        <v>2240</v>
      </c>
      <c r="C232" s="18" t="s">
        <v>2239</v>
      </c>
      <c r="D232" s="25">
        <f t="shared" si="3"/>
        <v>0</v>
      </c>
      <c r="E232" s="29">
        <f>'По платам'!C234*$E$1</f>
        <v>0</v>
      </c>
      <c r="F232" s="29">
        <f>'По платам'!D234*$F$1</f>
        <v>0</v>
      </c>
      <c r="G232" s="29">
        <f>'По платам'!E234*$G$1</f>
        <v>0</v>
      </c>
      <c r="H232" s="29">
        <f>'По платам'!F234*$H$1</f>
        <v>0</v>
      </c>
      <c r="I232" s="29">
        <f>'По платам'!G234*$I$1</f>
        <v>0</v>
      </c>
      <c r="J232" s="29">
        <f>'По платам'!H234*$J$1</f>
        <v>0</v>
      </c>
      <c r="K232" s="29">
        <f>'По платам'!I234*$K$1</f>
        <v>0</v>
      </c>
      <c r="L232" s="29">
        <f>'По платам'!J234*$L$1</f>
        <v>0</v>
      </c>
      <c r="M232" s="29">
        <f>'По платам'!K234*$M$1</f>
        <v>0</v>
      </c>
      <c r="N232" s="29">
        <f>'По платам'!L234*'Состав прибора'!$B$16</f>
        <v>0</v>
      </c>
    </row>
    <row r="233" spans="1:14">
      <c r="A233" s="16" t="s">
        <v>182</v>
      </c>
      <c r="C233" s="18" t="s">
        <v>181</v>
      </c>
      <c r="D233" s="25">
        <f t="shared" si="3"/>
        <v>0</v>
      </c>
      <c r="E233" s="29">
        <f>'По платам'!C235*$E$1</f>
        <v>0</v>
      </c>
      <c r="F233" s="29">
        <f>'По платам'!D235*$F$1</f>
        <v>0</v>
      </c>
      <c r="G233" s="29">
        <f>'По платам'!E235*$G$1</f>
        <v>0</v>
      </c>
      <c r="H233" s="29">
        <f>'По платам'!F235*$H$1</f>
        <v>0</v>
      </c>
      <c r="I233" s="29">
        <f>'По платам'!G235*$I$1</f>
        <v>0</v>
      </c>
      <c r="J233" s="29">
        <f>'По платам'!H235*$J$1</f>
        <v>0</v>
      </c>
      <c r="K233" s="29">
        <f>'По платам'!I235*$K$1</f>
        <v>0</v>
      </c>
      <c r="L233" s="29">
        <f>'По платам'!J235*$L$1</f>
        <v>0</v>
      </c>
      <c r="M233" s="29">
        <f>'По платам'!K235*$M$1</f>
        <v>0</v>
      </c>
      <c r="N233" s="29">
        <f>'По платам'!L235*'Состав прибора'!$B$16</f>
        <v>0</v>
      </c>
    </row>
    <row r="234" spans="1:14">
      <c r="A234" s="16" t="s">
        <v>182</v>
      </c>
      <c r="C234" s="18" t="s">
        <v>2297</v>
      </c>
      <c r="D234" s="25">
        <f t="shared" si="3"/>
        <v>0</v>
      </c>
      <c r="E234" s="29">
        <f>'По платам'!C236*$E$1</f>
        <v>0</v>
      </c>
      <c r="F234" s="29">
        <f>'По платам'!D236*$F$1</f>
        <v>0</v>
      </c>
      <c r="G234" s="29">
        <f>'По платам'!E236*$G$1</f>
        <v>0</v>
      </c>
      <c r="H234" s="29">
        <f>'По платам'!F236*$H$1</f>
        <v>0</v>
      </c>
      <c r="I234" s="29">
        <f>'По платам'!G236*$I$1</f>
        <v>0</v>
      </c>
      <c r="J234" s="29">
        <f>'По платам'!H236*$J$1</f>
        <v>0</v>
      </c>
      <c r="K234" s="29">
        <f>'По платам'!I236*$K$1</f>
        <v>0</v>
      </c>
      <c r="L234" s="29">
        <f>'По платам'!J236*$L$1</f>
        <v>0</v>
      </c>
      <c r="M234" s="29">
        <f>'По платам'!K236*$M$1</f>
        <v>0</v>
      </c>
      <c r="N234" s="29">
        <f>'По платам'!L236*'Состав прибора'!$B$16</f>
        <v>0</v>
      </c>
    </row>
    <row r="235" spans="1:14">
      <c r="A235" s="16" t="s">
        <v>182</v>
      </c>
      <c r="C235" s="18" t="s">
        <v>2248</v>
      </c>
      <c r="D235" s="25">
        <f t="shared" si="3"/>
        <v>0</v>
      </c>
      <c r="E235" s="29">
        <f>'По платам'!C237*$E$1</f>
        <v>0</v>
      </c>
      <c r="F235" s="29">
        <f>'По платам'!D237*$F$1</f>
        <v>0</v>
      </c>
      <c r="G235" s="29">
        <f>'По платам'!E237*$G$1</f>
        <v>0</v>
      </c>
      <c r="H235" s="29">
        <f>'По платам'!F237*$H$1</f>
        <v>0</v>
      </c>
      <c r="I235" s="29">
        <f>'По платам'!G237*$I$1</f>
        <v>0</v>
      </c>
      <c r="J235" s="29">
        <f>'По платам'!H237*$J$1</f>
        <v>0</v>
      </c>
      <c r="K235" s="29">
        <f>'По платам'!I237*$K$1</f>
        <v>0</v>
      </c>
      <c r="L235" s="29">
        <f>'По платам'!J237*$L$1</f>
        <v>0</v>
      </c>
      <c r="M235" s="29">
        <f>'По платам'!K237*$M$1</f>
        <v>0</v>
      </c>
      <c r="N235" s="29">
        <f>'По платам'!L237*'Состав прибора'!$B$16</f>
        <v>0</v>
      </c>
    </row>
    <row r="236" spans="1:14">
      <c r="A236" s="16" t="s">
        <v>182</v>
      </c>
      <c r="C236" s="18" t="s">
        <v>2942</v>
      </c>
      <c r="D236" s="25">
        <f t="shared" si="3"/>
        <v>1</v>
      </c>
      <c r="E236" s="29">
        <f>'По платам'!C238*$E$1</f>
        <v>0</v>
      </c>
      <c r="F236" s="29">
        <f>'По платам'!D238*$F$1</f>
        <v>0</v>
      </c>
      <c r="G236" s="29">
        <f>'По платам'!E238*$G$1</f>
        <v>0</v>
      </c>
      <c r="H236" s="29">
        <f>'По платам'!F238*$H$1</f>
        <v>0</v>
      </c>
      <c r="I236" s="29">
        <f>'По платам'!G238*$I$1</f>
        <v>0</v>
      </c>
      <c r="J236" s="29">
        <f>'По платам'!H238*$J$1</f>
        <v>0</v>
      </c>
      <c r="K236" s="29">
        <f>'По платам'!I238*$K$1</f>
        <v>0</v>
      </c>
      <c r="L236" s="29">
        <f>'По платам'!J238*$L$1</f>
        <v>1</v>
      </c>
      <c r="M236" s="29">
        <f>'По платам'!K238*$M$1</f>
        <v>0</v>
      </c>
      <c r="N236" s="29">
        <f>'По платам'!L238*'Состав прибора'!$B$16</f>
        <v>0</v>
      </c>
    </row>
    <row r="237" spans="1:14">
      <c r="A237" s="16" t="s">
        <v>122</v>
      </c>
      <c r="C237" s="18" t="s">
        <v>2201</v>
      </c>
      <c r="D237" s="25">
        <f t="shared" si="3"/>
        <v>0</v>
      </c>
      <c r="E237" s="29">
        <f>'По платам'!C239*$E$1</f>
        <v>0</v>
      </c>
      <c r="F237" s="29">
        <f>'По платам'!D239*$F$1</f>
        <v>0</v>
      </c>
      <c r="G237" s="29">
        <f>'По платам'!E239*$G$1</f>
        <v>0</v>
      </c>
      <c r="H237" s="29">
        <f>'По платам'!F239*$H$1</f>
        <v>0</v>
      </c>
      <c r="I237" s="29">
        <f>'По платам'!G239*$I$1</f>
        <v>0</v>
      </c>
      <c r="J237" s="29">
        <f>'По платам'!H239*$J$1</f>
        <v>0</v>
      </c>
      <c r="K237" s="29">
        <f>'По платам'!I239*$K$1</f>
        <v>0</v>
      </c>
      <c r="L237" s="29">
        <f>'По платам'!J239*$L$1</f>
        <v>0</v>
      </c>
      <c r="M237" s="29">
        <f>'По платам'!K239*$M$1</f>
        <v>0</v>
      </c>
      <c r="N237" s="29">
        <f>'По платам'!L239*'Состав прибора'!$B$16</f>
        <v>0</v>
      </c>
    </row>
    <row r="238" spans="1:14">
      <c r="A238" s="16" t="s">
        <v>122</v>
      </c>
      <c r="C238" s="18" t="s">
        <v>121</v>
      </c>
      <c r="D238" s="25">
        <f t="shared" si="3"/>
        <v>24</v>
      </c>
      <c r="E238" s="29">
        <f>'По платам'!C240*$E$1</f>
        <v>0</v>
      </c>
      <c r="F238" s="29">
        <f>'По платам'!D240*$F$1</f>
        <v>0</v>
      </c>
      <c r="G238" s="29">
        <f>'По платам'!E240*$G$1</f>
        <v>0</v>
      </c>
      <c r="H238" s="29">
        <f>'По платам'!F240*$H$1</f>
        <v>1</v>
      </c>
      <c r="I238" s="29">
        <f>'По платам'!G240*$I$1</f>
        <v>4</v>
      </c>
      <c r="J238" s="29">
        <f>'По платам'!H240*$J$1</f>
        <v>5</v>
      </c>
      <c r="K238" s="29">
        <f>'По платам'!I240*$K$1</f>
        <v>7</v>
      </c>
      <c r="L238" s="29">
        <f>'По платам'!J240*$L$1</f>
        <v>7</v>
      </c>
      <c r="M238" s="29">
        <f>'По платам'!K240*$M$1</f>
        <v>0</v>
      </c>
      <c r="N238" s="29">
        <f>'По платам'!L240*'Состав прибора'!$B$16</f>
        <v>0</v>
      </c>
    </row>
    <row r="239" spans="1:14">
      <c r="A239" s="16" t="s">
        <v>122</v>
      </c>
      <c r="C239" s="18" t="s">
        <v>2604</v>
      </c>
      <c r="D239" s="25">
        <f t="shared" si="3"/>
        <v>0</v>
      </c>
      <c r="E239" s="29">
        <f>'По платам'!C241*$E$1</f>
        <v>0</v>
      </c>
      <c r="F239" s="29">
        <f>'По платам'!D241*$F$1</f>
        <v>0</v>
      </c>
      <c r="G239" s="29">
        <f>'По платам'!E241*$G$1</f>
        <v>0</v>
      </c>
      <c r="H239" s="29">
        <f>'По платам'!F241*$H$1</f>
        <v>0</v>
      </c>
      <c r="I239" s="29">
        <f>'По платам'!G241*$I$1</f>
        <v>0</v>
      </c>
      <c r="J239" s="29">
        <f>'По платам'!H241*$J$1</f>
        <v>0</v>
      </c>
      <c r="K239" s="29">
        <f>'По платам'!I241*$K$1</f>
        <v>0</v>
      </c>
      <c r="L239" s="29">
        <f>'По платам'!J241*$L$1</f>
        <v>0</v>
      </c>
      <c r="M239" s="29">
        <f>'По платам'!K241*$M$1</f>
        <v>0</v>
      </c>
      <c r="N239" s="29">
        <f>'По платам'!L241*'Состав прибора'!$B$16</f>
        <v>0</v>
      </c>
    </row>
    <row r="240" spans="1:14">
      <c r="A240" s="16" t="s">
        <v>122</v>
      </c>
      <c r="C240" s="18" t="s">
        <v>2646</v>
      </c>
      <c r="D240" s="25">
        <f t="shared" si="3"/>
        <v>0</v>
      </c>
      <c r="E240" s="29">
        <f>'По платам'!C242*$E$1</f>
        <v>0</v>
      </c>
      <c r="F240" s="29">
        <f>'По платам'!D242*$F$1</f>
        <v>0</v>
      </c>
      <c r="G240" s="29">
        <f>'По платам'!E242*$G$1</f>
        <v>0</v>
      </c>
      <c r="H240" s="29">
        <f>'По платам'!F242*$H$1</f>
        <v>0</v>
      </c>
      <c r="I240" s="29">
        <f>'По платам'!G242*$I$1</f>
        <v>0</v>
      </c>
      <c r="J240" s="29">
        <f>'По платам'!H242*$J$1</f>
        <v>0</v>
      </c>
      <c r="K240" s="29">
        <f>'По платам'!I242*$K$1</f>
        <v>0</v>
      </c>
      <c r="L240" s="29">
        <f>'По платам'!J242*$L$1</f>
        <v>0</v>
      </c>
      <c r="M240" s="29">
        <f>'По платам'!K242*$M$1</f>
        <v>0</v>
      </c>
      <c r="N240" s="29">
        <f>'По платам'!L242*'Состав прибора'!$B$16</f>
        <v>0</v>
      </c>
    </row>
    <row r="241" spans="1:14">
      <c r="A241" s="16" t="s">
        <v>122</v>
      </c>
      <c r="C241" s="18" t="s">
        <v>2252</v>
      </c>
      <c r="D241" s="25">
        <f t="shared" si="3"/>
        <v>0</v>
      </c>
      <c r="E241" s="29">
        <f>'По платам'!C243*$E$1</f>
        <v>0</v>
      </c>
      <c r="F241" s="29">
        <f>'По платам'!D243*$F$1</f>
        <v>0</v>
      </c>
      <c r="G241" s="29">
        <f>'По платам'!E243*$G$1</f>
        <v>0</v>
      </c>
      <c r="H241" s="29">
        <f>'По платам'!F243*$H$1</f>
        <v>0</v>
      </c>
      <c r="I241" s="29">
        <f>'По платам'!G243*$I$1</f>
        <v>0</v>
      </c>
      <c r="J241" s="29">
        <f>'По платам'!H243*$J$1</f>
        <v>0</v>
      </c>
      <c r="K241" s="29">
        <f>'По платам'!I243*$K$1</f>
        <v>0</v>
      </c>
      <c r="L241" s="29">
        <f>'По платам'!J243*$L$1</f>
        <v>0</v>
      </c>
      <c r="M241" s="29">
        <f>'По платам'!K243*$M$1</f>
        <v>0</v>
      </c>
      <c r="N241" s="29">
        <f>'По платам'!L243*'Состав прибора'!$B$16</f>
        <v>0</v>
      </c>
    </row>
    <row r="242" spans="1:14">
      <c r="A242" s="16" t="s">
        <v>122</v>
      </c>
      <c r="C242" s="18" t="s">
        <v>2217</v>
      </c>
      <c r="D242" s="25">
        <f t="shared" si="3"/>
        <v>0</v>
      </c>
      <c r="E242" s="29">
        <f>'По платам'!C244*$E$1</f>
        <v>0</v>
      </c>
      <c r="F242" s="29">
        <f>'По платам'!D244*$F$1</f>
        <v>0</v>
      </c>
      <c r="G242" s="29">
        <f>'По платам'!E244*$G$1</f>
        <v>0</v>
      </c>
      <c r="H242" s="29">
        <f>'По платам'!F244*$H$1</f>
        <v>0</v>
      </c>
      <c r="I242" s="29">
        <f>'По платам'!G244*$I$1</f>
        <v>0</v>
      </c>
      <c r="J242" s="29">
        <f>'По платам'!H244*$J$1</f>
        <v>0</v>
      </c>
      <c r="K242" s="29">
        <f>'По платам'!I244*$K$1</f>
        <v>0</v>
      </c>
      <c r="L242" s="29">
        <f>'По платам'!J244*$L$1</f>
        <v>0</v>
      </c>
      <c r="M242" s="29">
        <f>'По платам'!K244*$M$1</f>
        <v>0</v>
      </c>
      <c r="N242" s="29">
        <f>'По платам'!L244*'Состав прибора'!$B$16</f>
        <v>0</v>
      </c>
    </row>
    <row r="243" spans="1:14">
      <c r="A243" s="16" t="s">
        <v>122</v>
      </c>
      <c r="C243" s="18" t="s">
        <v>2630</v>
      </c>
      <c r="D243" s="25">
        <f t="shared" si="3"/>
        <v>0</v>
      </c>
      <c r="E243" s="29">
        <f>'По платам'!C245*$E$1</f>
        <v>0</v>
      </c>
      <c r="F243" s="29">
        <f>'По платам'!D245*$F$1</f>
        <v>0</v>
      </c>
      <c r="G243" s="29">
        <f>'По платам'!E245*$G$1</f>
        <v>0</v>
      </c>
      <c r="H243" s="29">
        <f>'По платам'!F245*$H$1</f>
        <v>0</v>
      </c>
      <c r="I243" s="29">
        <f>'По платам'!G245*$I$1</f>
        <v>0</v>
      </c>
      <c r="J243" s="29">
        <f>'По платам'!H245*$J$1</f>
        <v>0</v>
      </c>
      <c r="K243" s="29">
        <f>'По платам'!I245*$K$1</f>
        <v>0</v>
      </c>
      <c r="L243" s="29">
        <f>'По платам'!J245*$L$1</f>
        <v>0</v>
      </c>
      <c r="M243" s="29">
        <f>'По платам'!K245*$M$1</f>
        <v>0</v>
      </c>
      <c r="N243" s="29">
        <f>'По платам'!L245*'Состав прибора'!$B$16</f>
        <v>0</v>
      </c>
    </row>
    <row r="244" spans="1:14">
      <c r="A244" s="16" t="s">
        <v>122</v>
      </c>
      <c r="C244" s="18" t="s">
        <v>721</v>
      </c>
      <c r="D244" s="25">
        <f t="shared" si="3"/>
        <v>1</v>
      </c>
      <c r="E244" s="29">
        <f>'По платам'!C246*$E$1</f>
        <v>0</v>
      </c>
      <c r="F244" s="29">
        <f>'По платам'!D246*$F$1</f>
        <v>0</v>
      </c>
      <c r="G244" s="29">
        <f>'По платам'!E246*$G$1</f>
        <v>0</v>
      </c>
      <c r="H244" s="29">
        <f>'По платам'!F246*$H$1</f>
        <v>0</v>
      </c>
      <c r="I244" s="29">
        <f>'По платам'!G246*$I$1</f>
        <v>0</v>
      </c>
      <c r="J244" s="29">
        <f>'По платам'!H246*$J$1</f>
        <v>0</v>
      </c>
      <c r="K244" s="29">
        <f>'По платам'!I246*$K$1</f>
        <v>1</v>
      </c>
      <c r="L244" s="29">
        <f>'По платам'!J246*$L$1</f>
        <v>0</v>
      </c>
      <c r="M244" s="29">
        <f>'По платам'!K246*$M$1</f>
        <v>0</v>
      </c>
      <c r="N244" s="29">
        <f>'По платам'!L246*'Состав прибора'!$B$16</f>
        <v>0</v>
      </c>
    </row>
    <row r="245" spans="1:14">
      <c r="A245" s="16" t="s">
        <v>122</v>
      </c>
      <c r="C245" s="18" t="s">
        <v>746</v>
      </c>
      <c r="D245" s="25">
        <f t="shared" si="3"/>
        <v>1</v>
      </c>
      <c r="E245" s="29">
        <f>'По платам'!C247*$E$1</f>
        <v>0</v>
      </c>
      <c r="F245" s="29">
        <f>'По платам'!D247*$F$1</f>
        <v>0</v>
      </c>
      <c r="G245" s="29">
        <f>'По платам'!E247*$G$1</f>
        <v>0</v>
      </c>
      <c r="H245" s="29">
        <f>'По платам'!F247*$H$1</f>
        <v>0</v>
      </c>
      <c r="I245" s="29">
        <f>'По платам'!G247*$I$1</f>
        <v>0</v>
      </c>
      <c r="J245" s="29">
        <f>'По платам'!H247*$J$1</f>
        <v>0</v>
      </c>
      <c r="K245" s="29">
        <f>'По платам'!I247*$K$1</f>
        <v>1</v>
      </c>
      <c r="L245" s="29">
        <f>'По платам'!J247*$L$1</f>
        <v>0</v>
      </c>
      <c r="M245" s="29">
        <f>'По платам'!K247*$M$1</f>
        <v>0</v>
      </c>
      <c r="N245" s="29">
        <f>'По платам'!L247*'Состав прибора'!$B$16</f>
        <v>0</v>
      </c>
    </row>
    <row r="246" spans="1:14">
      <c r="A246" s="16" t="s">
        <v>122</v>
      </c>
      <c r="C246" s="18" t="s">
        <v>2281</v>
      </c>
      <c r="D246" s="25">
        <f t="shared" si="3"/>
        <v>0</v>
      </c>
      <c r="E246" s="29">
        <f>'По платам'!C248*$E$1</f>
        <v>0</v>
      </c>
      <c r="F246" s="29">
        <f>'По платам'!D248*$F$1</f>
        <v>0</v>
      </c>
      <c r="G246" s="29">
        <f>'По платам'!E248*$G$1</f>
        <v>0</v>
      </c>
      <c r="H246" s="29">
        <f>'По платам'!F248*$H$1</f>
        <v>0</v>
      </c>
      <c r="I246" s="29">
        <f>'По платам'!G248*$I$1</f>
        <v>0</v>
      </c>
      <c r="J246" s="29">
        <f>'По платам'!H248*$J$1</f>
        <v>0</v>
      </c>
      <c r="K246" s="29">
        <f>'По платам'!I248*$K$1</f>
        <v>0</v>
      </c>
      <c r="L246" s="29">
        <f>'По платам'!J248*$L$1</f>
        <v>0</v>
      </c>
      <c r="M246" s="29">
        <f>'По платам'!K248*$M$1</f>
        <v>0</v>
      </c>
      <c r="N246" s="29">
        <f>'По платам'!L248*'Состав прибора'!$B$16</f>
        <v>0</v>
      </c>
    </row>
    <row r="247" spans="1:14">
      <c r="A247" s="16" t="s">
        <v>122</v>
      </c>
      <c r="C247" s="18" t="s">
        <v>2293</v>
      </c>
      <c r="D247" s="25">
        <f t="shared" si="3"/>
        <v>0</v>
      </c>
      <c r="E247" s="29">
        <f>'По платам'!C249*$E$1</f>
        <v>0</v>
      </c>
      <c r="F247" s="29">
        <f>'По платам'!D249*$F$1</f>
        <v>0</v>
      </c>
      <c r="G247" s="29">
        <f>'По платам'!E249*$G$1</f>
        <v>0</v>
      </c>
      <c r="H247" s="29">
        <f>'По платам'!F249*$H$1</f>
        <v>0</v>
      </c>
      <c r="I247" s="29">
        <f>'По платам'!G249*$I$1</f>
        <v>0</v>
      </c>
      <c r="J247" s="29">
        <f>'По платам'!H249*$J$1</f>
        <v>0</v>
      </c>
      <c r="K247" s="29">
        <f>'По платам'!I249*$K$1</f>
        <v>0</v>
      </c>
      <c r="L247" s="29">
        <f>'По платам'!J249*$L$1</f>
        <v>0</v>
      </c>
      <c r="M247" s="29">
        <f>'По платам'!K249*$M$1</f>
        <v>0</v>
      </c>
      <c r="N247" s="29">
        <f>'По платам'!L249*'Состав прибора'!$B$16</f>
        <v>0</v>
      </c>
    </row>
    <row r="248" spans="1:14">
      <c r="A248" s="16" t="s">
        <v>122</v>
      </c>
      <c r="C248" s="18" t="s">
        <v>2289</v>
      </c>
      <c r="D248" s="25">
        <f t="shared" si="3"/>
        <v>0</v>
      </c>
      <c r="E248" s="29">
        <f>'По платам'!C250*$E$1</f>
        <v>0</v>
      </c>
      <c r="F248" s="29">
        <f>'По платам'!D250*$F$1</f>
        <v>0</v>
      </c>
      <c r="G248" s="29">
        <f>'По платам'!E250*$G$1</f>
        <v>0</v>
      </c>
      <c r="H248" s="29">
        <f>'По платам'!F250*$H$1</f>
        <v>0</v>
      </c>
      <c r="I248" s="29">
        <f>'По платам'!G250*$I$1</f>
        <v>0</v>
      </c>
      <c r="J248" s="29">
        <f>'По платам'!H250*$J$1</f>
        <v>0</v>
      </c>
      <c r="K248" s="29">
        <f>'По платам'!I250*$K$1</f>
        <v>0</v>
      </c>
      <c r="L248" s="29">
        <f>'По платам'!J250*$L$1</f>
        <v>0</v>
      </c>
      <c r="M248" s="29">
        <f>'По платам'!K250*$M$1</f>
        <v>0</v>
      </c>
      <c r="N248" s="29">
        <f>'По платам'!L250*'Состав прибора'!$B$16</f>
        <v>0</v>
      </c>
    </row>
    <row r="249" spans="1:14">
      <c r="A249" s="16" t="s">
        <v>122</v>
      </c>
      <c r="C249" s="18" t="s">
        <v>2285</v>
      </c>
      <c r="D249" s="25">
        <f t="shared" si="3"/>
        <v>0</v>
      </c>
      <c r="E249" s="29">
        <f>'По платам'!C251*$E$1</f>
        <v>0</v>
      </c>
      <c r="F249" s="29">
        <f>'По платам'!D251*$F$1</f>
        <v>0</v>
      </c>
      <c r="G249" s="29">
        <f>'По платам'!E251*$G$1</f>
        <v>0</v>
      </c>
      <c r="H249" s="29">
        <f>'По платам'!F251*$H$1</f>
        <v>0</v>
      </c>
      <c r="I249" s="29">
        <f>'По платам'!G251*$I$1</f>
        <v>0</v>
      </c>
      <c r="J249" s="29">
        <f>'По платам'!H251*$J$1</f>
        <v>0</v>
      </c>
      <c r="K249" s="29">
        <f>'По платам'!I251*$K$1</f>
        <v>0</v>
      </c>
      <c r="L249" s="29">
        <f>'По платам'!J251*$L$1</f>
        <v>0</v>
      </c>
      <c r="M249" s="29">
        <f>'По платам'!K251*$M$1</f>
        <v>0</v>
      </c>
      <c r="N249" s="29">
        <f>'По платам'!L251*'Состав прибора'!$B$16</f>
        <v>0</v>
      </c>
    </row>
    <row r="250" spans="1:14">
      <c r="A250" s="16" t="s">
        <v>122</v>
      </c>
      <c r="C250" s="18" t="s">
        <v>2269</v>
      </c>
      <c r="D250" s="25">
        <f t="shared" si="3"/>
        <v>0</v>
      </c>
      <c r="E250" s="29">
        <f>'По платам'!C252*$E$1</f>
        <v>0</v>
      </c>
      <c r="F250" s="29">
        <f>'По платам'!D252*$F$1</f>
        <v>0</v>
      </c>
      <c r="G250" s="29">
        <f>'По платам'!E252*$G$1</f>
        <v>0</v>
      </c>
      <c r="H250" s="29">
        <f>'По платам'!F252*$H$1</f>
        <v>0</v>
      </c>
      <c r="I250" s="29">
        <f>'По платам'!G252*$I$1</f>
        <v>0</v>
      </c>
      <c r="J250" s="29">
        <f>'По платам'!H252*$J$1</f>
        <v>0</v>
      </c>
      <c r="K250" s="29">
        <f>'По платам'!I252*$K$1</f>
        <v>0</v>
      </c>
      <c r="L250" s="29">
        <f>'По платам'!J252*$L$1</f>
        <v>0</v>
      </c>
      <c r="M250" s="29">
        <f>'По платам'!K252*$M$1</f>
        <v>0</v>
      </c>
      <c r="N250" s="29">
        <f>'По платам'!L252*'Состав прибора'!$B$16</f>
        <v>0</v>
      </c>
    </row>
    <row r="251" spans="1:14">
      <c r="A251" s="16" t="s">
        <v>122</v>
      </c>
      <c r="C251" s="18" t="s">
        <v>1044</v>
      </c>
      <c r="D251" s="25">
        <f t="shared" si="3"/>
        <v>4</v>
      </c>
      <c r="E251" s="29">
        <f>'По платам'!C253*$E$1</f>
        <v>0</v>
      </c>
      <c r="F251" s="29">
        <f>'По платам'!D253*$F$1</f>
        <v>0</v>
      </c>
      <c r="G251" s="29">
        <f>'По платам'!E253*$G$1</f>
        <v>0</v>
      </c>
      <c r="H251" s="29">
        <f>'По платам'!F253*$H$1</f>
        <v>0</v>
      </c>
      <c r="I251" s="29">
        <f>'По платам'!G253*$I$1</f>
        <v>0</v>
      </c>
      <c r="J251" s="29">
        <f>'По платам'!H253*$J$1</f>
        <v>0</v>
      </c>
      <c r="K251" s="29">
        <f>'По платам'!I253*$K$1</f>
        <v>4</v>
      </c>
      <c r="L251" s="29">
        <f>'По платам'!J253*$L$1</f>
        <v>0</v>
      </c>
      <c r="M251" s="29">
        <f>'По платам'!K253*$M$1</f>
        <v>0</v>
      </c>
      <c r="N251" s="29">
        <f>'По платам'!L253*'Состав прибора'!$B$16</f>
        <v>0</v>
      </c>
    </row>
    <row r="252" spans="1:14">
      <c r="A252" s="16" t="s">
        <v>122</v>
      </c>
      <c r="C252" s="18" t="s">
        <v>2600</v>
      </c>
      <c r="D252" s="25">
        <f t="shared" si="3"/>
        <v>0</v>
      </c>
      <c r="E252" s="29">
        <f>'По платам'!C254*$E$1</f>
        <v>0</v>
      </c>
      <c r="F252" s="29">
        <f>'По платам'!D254*$F$1</f>
        <v>0</v>
      </c>
      <c r="G252" s="29">
        <f>'По платам'!E254*$G$1</f>
        <v>0</v>
      </c>
      <c r="H252" s="29">
        <f>'По платам'!F254*$H$1</f>
        <v>0</v>
      </c>
      <c r="I252" s="29">
        <f>'По платам'!G254*$I$1</f>
        <v>0</v>
      </c>
      <c r="J252" s="29">
        <f>'По платам'!H254*$J$1</f>
        <v>0</v>
      </c>
      <c r="K252" s="29">
        <f>'По платам'!I254*$K$1</f>
        <v>0</v>
      </c>
      <c r="L252" s="29">
        <f>'По платам'!J254*$L$1</f>
        <v>0</v>
      </c>
      <c r="M252" s="29">
        <f>'По платам'!K254*$M$1</f>
        <v>0</v>
      </c>
      <c r="N252" s="29">
        <f>'По платам'!L254*'Состав прибора'!$B$16</f>
        <v>0</v>
      </c>
    </row>
    <row r="253" spans="1:14">
      <c r="A253" s="16" t="s">
        <v>122</v>
      </c>
      <c r="C253" s="18" t="s">
        <v>2642</v>
      </c>
      <c r="D253" s="25">
        <f t="shared" si="3"/>
        <v>0</v>
      </c>
      <c r="E253" s="29">
        <f>'По платам'!C255*$E$1</f>
        <v>0</v>
      </c>
      <c r="F253" s="29">
        <f>'По платам'!D255*$F$1</f>
        <v>0</v>
      </c>
      <c r="G253" s="29">
        <f>'По платам'!E255*$G$1</f>
        <v>0</v>
      </c>
      <c r="H253" s="29">
        <f>'По платам'!F255*$H$1</f>
        <v>0</v>
      </c>
      <c r="I253" s="29">
        <f>'По платам'!G255*$I$1</f>
        <v>0</v>
      </c>
      <c r="J253" s="29">
        <f>'По платам'!H255*$J$1</f>
        <v>0</v>
      </c>
      <c r="K253" s="29">
        <f>'По платам'!I255*$K$1</f>
        <v>0</v>
      </c>
      <c r="L253" s="29">
        <f>'По платам'!J255*$L$1</f>
        <v>0</v>
      </c>
      <c r="M253" s="29">
        <f>'По платам'!K255*$M$1</f>
        <v>0</v>
      </c>
      <c r="N253" s="29">
        <f>'По платам'!L255*'Состав прибора'!$B$16</f>
        <v>0</v>
      </c>
    </row>
    <row r="254" spans="1:14">
      <c r="A254" s="16" t="s">
        <v>122</v>
      </c>
      <c r="C254" s="18" t="s">
        <v>1945</v>
      </c>
      <c r="D254" s="25">
        <f t="shared" si="3"/>
        <v>0</v>
      </c>
      <c r="E254" s="29">
        <f>'По платам'!C256*$E$1</f>
        <v>0</v>
      </c>
      <c r="F254" s="29">
        <f>'По платам'!D256*$F$1</f>
        <v>0</v>
      </c>
      <c r="G254" s="29">
        <f>'По платам'!E256*$G$1</f>
        <v>0</v>
      </c>
      <c r="H254" s="29">
        <f>'По платам'!F256*$H$1</f>
        <v>0</v>
      </c>
      <c r="I254" s="29">
        <f>'По платам'!G256*$I$1</f>
        <v>0</v>
      </c>
      <c r="J254" s="29">
        <f>'По платам'!H256*$J$1</f>
        <v>0</v>
      </c>
      <c r="K254" s="29">
        <f>'По платам'!I256*$K$1</f>
        <v>0</v>
      </c>
      <c r="L254" s="29">
        <f>'По платам'!J256*$L$1</f>
        <v>0</v>
      </c>
      <c r="M254" s="29">
        <f>'По платам'!K256*$M$1</f>
        <v>0</v>
      </c>
      <c r="N254" s="29">
        <f>'По платам'!L256*'Состав прибора'!$B$16</f>
        <v>0</v>
      </c>
    </row>
    <row r="255" spans="1:14">
      <c r="A255" s="16" t="s">
        <v>122</v>
      </c>
      <c r="C255" s="18" t="s">
        <v>2654</v>
      </c>
      <c r="D255" s="25">
        <f t="shared" si="3"/>
        <v>0</v>
      </c>
      <c r="E255" s="29">
        <f>'По платам'!C257*$E$1</f>
        <v>0</v>
      </c>
      <c r="F255" s="29">
        <f>'По платам'!D257*$F$1</f>
        <v>0</v>
      </c>
      <c r="G255" s="29">
        <f>'По платам'!E257*$G$1</f>
        <v>0</v>
      </c>
      <c r="H255" s="29">
        <f>'По платам'!F257*$H$1</f>
        <v>0</v>
      </c>
      <c r="I255" s="29">
        <f>'По платам'!G257*$I$1</f>
        <v>0</v>
      </c>
      <c r="J255" s="29">
        <f>'По платам'!H257*$J$1</f>
        <v>0</v>
      </c>
      <c r="K255" s="29">
        <f>'По платам'!I257*$K$1</f>
        <v>0</v>
      </c>
      <c r="L255" s="29">
        <f>'По платам'!J257*$L$1</f>
        <v>0</v>
      </c>
      <c r="M255" s="29">
        <f>'По платам'!K257*$M$1</f>
        <v>0</v>
      </c>
      <c r="N255" s="29">
        <f>'По платам'!L257*'Состав прибора'!$B$16</f>
        <v>0</v>
      </c>
    </row>
    <row r="256" spans="1:14">
      <c r="A256" s="16" t="s">
        <v>122</v>
      </c>
      <c r="C256" s="18" t="s">
        <v>2634</v>
      </c>
      <c r="D256" s="25">
        <f t="shared" si="3"/>
        <v>0</v>
      </c>
      <c r="E256" s="29">
        <f>'По платам'!C258*$E$1</f>
        <v>0</v>
      </c>
      <c r="F256" s="29">
        <f>'По платам'!D258*$F$1</f>
        <v>0</v>
      </c>
      <c r="G256" s="29">
        <f>'По платам'!E258*$G$1</f>
        <v>0</v>
      </c>
      <c r="H256" s="29">
        <f>'По платам'!F258*$H$1</f>
        <v>0</v>
      </c>
      <c r="I256" s="29">
        <f>'По платам'!G258*$I$1</f>
        <v>0</v>
      </c>
      <c r="J256" s="29">
        <f>'По платам'!H258*$J$1</f>
        <v>0</v>
      </c>
      <c r="K256" s="29">
        <f>'По платам'!I258*$K$1</f>
        <v>0</v>
      </c>
      <c r="L256" s="29">
        <f>'По платам'!J258*$L$1</f>
        <v>0</v>
      </c>
      <c r="M256" s="29">
        <f>'По платам'!K258*$M$1</f>
        <v>0</v>
      </c>
      <c r="N256" s="29">
        <f>'По платам'!L258*'Состав прибора'!$B$16</f>
        <v>0</v>
      </c>
    </row>
    <row r="257" spans="1:14">
      <c r="A257" s="16" t="s">
        <v>122</v>
      </c>
      <c r="C257" s="18" t="s">
        <v>2613</v>
      </c>
      <c r="D257" s="25">
        <f t="shared" si="3"/>
        <v>0</v>
      </c>
      <c r="E257" s="29">
        <f>'По платам'!C259*$E$1</f>
        <v>0</v>
      </c>
      <c r="F257" s="29">
        <f>'По платам'!D259*$F$1</f>
        <v>0</v>
      </c>
      <c r="G257" s="29">
        <f>'По платам'!E259*$G$1</f>
        <v>0</v>
      </c>
      <c r="H257" s="29">
        <f>'По платам'!F259*$H$1</f>
        <v>0</v>
      </c>
      <c r="I257" s="29">
        <f>'По платам'!G259*$I$1</f>
        <v>0</v>
      </c>
      <c r="J257" s="29">
        <f>'По платам'!H259*$J$1</f>
        <v>0</v>
      </c>
      <c r="K257" s="29">
        <f>'По платам'!I259*$K$1</f>
        <v>0</v>
      </c>
      <c r="L257" s="29">
        <f>'По платам'!J259*$L$1</f>
        <v>0</v>
      </c>
      <c r="M257" s="29">
        <f>'По платам'!K259*$M$1</f>
        <v>0</v>
      </c>
      <c r="N257" s="29">
        <f>'По платам'!L259*'Состав прибора'!$B$16</f>
        <v>0</v>
      </c>
    </row>
    <row r="258" spans="1:14">
      <c r="A258" s="16" t="s">
        <v>122</v>
      </c>
      <c r="C258" s="18" t="s">
        <v>2638</v>
      </c>
      <c r="D258" s="25">
        <f t="shared" ref="D258:D321" si="4">SUM(E258:N258)</f>
        <v>0</v>
      </c>
      <c r="E258" s="29">
        <f>'По платам'!C260*$E$1</f>
        <v>0</v>
      </c>
      <c r="F258" s="29">
        <f>'По платам'!D260*$F$1</f>
        <v>0</v>
      </c>
      <c r="G258" s="29">
        <f>'По платам'!E260*$G$1</f>
        <v>0</v>
      </c>
      <c r="H258" s="29">
        <f>'По платам'!F260*$H$1</f>
        <v>0</v>
      </c>
      <c r="I258" s="29">
        <f>'По платам'!G260*$I$1</f>
        <v>0</v>
      </c>
      <c r="J258" s="29">
        <f>'По платам'!H260*$J$1</f>
        <v>0</v>
      </c>
      <c r="K258" s="29">
        <f>'По платам'!I260*$K$1</f>
        <v>0</v>
      </c>
      <c r="L258" s="29">
        <f>'По платам'!J260*$L$1</f>
        <v>0</v>
      </c>
      <c r="M258" s="29">
        <f>'По платам'!K260*$M$1</f>
        <v>0</v>
      </c>
      <c r="N258" s="29">
        <f>'По платам'!L260*'Состав прибора'!$B$16</f>
        <v>0</v>
      </c>
    </row>
    <row r="259" spans="1:14">
      <c r="A259" s="16" t="s">
        <v>122</v>
      </c>
      <c r="C259" s="18" t="s">
        <v>2650</v>
      </c>
      <c r="D259" s="25">
        <f t="shared" si="4"/>
        <v>0</v>
      </c>
      <c r="E259" s="29">
        <f>'По платам'!C261*$E$1</f>
        <v>0</v>
      </c>
      <c r="F259" s="29">
        <f>'По платам'!D261*$F$1</f>
        <v>0</v>
      </c>
      <c r="G259" s="29">
        <f>'По платам'!E261*$G$1</f>
        <v>0</v>
      </c>
      <c r="H259" s="29">
        <f>'По платам'!F261*$H$1</f>
        <v>0</v>
      </c>
      <c r="I259" s="29">
        <f>'По платам'!G261*$I$1</f>
        <v>0</v>
      </c>
      <c r="J259" s="29">
        <f>'По платам'!H261*$J$1</f>
        <v>0</v>
      </c>
      <c r="K259" s="29">
        <f>'По платам'!I261*$K$1</f>
        <v>0</v>
      </c>
      <c r="L259" s="29">
        <f>'По платам'!J261*$L$1</f>
        <v>0</v>
      </c>
      <c r="M259" s="29">
        <f>'По платам'!K261*$M$1</f>
        <v>0</v>
      </c>
      <c r="N259" s="29">
        <f>'По платам'!L261*'Состав прибора'!$B$16</f>
        <v>0</v>
      </c>
    </row>
    <row r="260" spans="1:14">
      <c r="A260" s="16" t="s">
        <v>122</v>
      </c>
      <c r="C260" s="18" t="s">
        <v>2626</v>
      </c>
      <c r="D260" s="25">
        <f t="shared" si="4"/>
        <v>0</v>
      </c>
      <c r="E260" s="29">
        <f>'По платам'!C262*$E$1</f>
        <v>0</v>
      </c>
      <c r="F260" s="29">
        <f>'По платам'!D262*$F$1</f>
        <v>0</v>
      </c>
      <c r="G260" s="29">
        <f>'По платам'!E262*$G$1</f>
        <v>0</v>
      </c>
      <c r="H260" s="29">
        <f>'По платам'!F262*$H$1</f>
        <v>0</v>
      </c>
      <c r="I260" s="29">
        <f>'По платам'!G262*$I$1</f>
        <v>0</v>
      </c>
      <c r="J260" s="29">
        <f>'По платам'!H262*$J$1</f>
        <v>0</v>
      </c>
      <c r="K260" s="29">
        <f>'По платам'!I262*$K$1</f>
        <v>0</v>
      </c>
      <c r="L260" s="29">
        <f>'По платам'!J262*$L$1</f>
        <v>0</v>
      </c>
      <c r="M260" s="29">
        <f>'По платам'!K262*$M$1</f>
        <v>0</v>
      </c>
      <c r="N260" s="29">
        <f>'По платам'!L262*'Состав прибора'!$B$16</f>
        <v>0</v>
      </c>
    </row>
    <row r="261" spans="1:14">
      <c r="A261" s="16" t="s">
        <v>451</v>
      </c>
      <c r="C261" s="18" t="s">
        <v>450</v>
      </c>
      <c r="D261" s="25">
        <f t="shared" si="4"/>
        <v>3</v>
      </c>
      <c r="E261" s="29">
        <f>'По платам'!C263*$E$1</f>
        <v>0</v>
      </c>
      <c r="F261" s="29">
        <f>'По платам'!D263*$F$1</f>
        <v>0</v>
      </c>
      <c r="G261" s="29">
        <f>'По платам'!E263*$G$1</f>
        <v>0</v>
      </c>
      <c r="H261" s="29">
        <f>'По платам'!F263*$H$1</f>
        <v>0</v>
      </c>
      <c r="I261" s="29">
        <f>'По платам'!G263*$I$1</f>
        <v>0</v>
      </c>
      <c r="J261" s="29">
        <f>'По платам'!H263*$J$1</f>
        <v>0</v>
      </c>
      <c r="K261" s="29">
        <f>'По платам'!I263*$K$1</f>
        <v>1</v>
      </c>
      <c r="L261" s="29">
        <f>'По платам'!J263*$L$1</f>
        <v>2</v>
      </c>
      <c r="M261" s="29">
        <f>'По платам'!K263*$M$1</f>
        <v>0</v>
      </c>
      <c r="N261" s="29">
        <f>'По платам'!L263*'Состав прибора'!$B$16</f>
        <v>0</v>
      </c>
    </row>
    <row r="262" spans="1:14">
      <c r="A262" s="16" t="s">
        <v>451</v>
      </c>
      <c r="C262" s="18" t="s">
        <v>2458</v>
      </c>
      <c r="D262" s="25">
        <f t="shared" si="4"/>
        <v>0</v>
      </c>
      <c r="E262" s="29">
        <f>'По платам'!C264*$E$1</f>
        <v>0</v>
      </c>
      <c r="F262" s="29">
        <f>'По платам'!D264*$F$1</f>
        <v>0</v>
      </c>
      <c r="G262" s="29">
        <f>'По платам'!E264*$G$1</f>
        <v>0</v>
      </c>
      <c r="H262" s="29">
        <f>'По платам'!F264*$H$1</f>
        <v>0</v>
      </c>
      <c r="I262" s="29">
        <f>'По платам'!G264*$I$1</f>
        <v>0</v>
      </c>
      <c r="J262" s="29">
        <f>'По платам'!H264*$J$1</f>
        <v>0</v>
      </c>
      <c r="K262" s="29">
        <f>'По платам'!I264*$K$1</f>
        <v>0</v>
      </c>
      <c r="L262" s="29">
        <f>'По платам'!J264*$L$1</f>
        <v>0</v>
      </c>
      <c r="M262" s="29">
        <f>'По платам'!K264*$M$1</f>
        <v>0</v>
      </c>
      <c r="N262" s="29">
        <f>'По платам'!L264*'Состав прибора'!$B$16</f>
        <v>0</v>
      </c>
    </row>
    <row r="263" spans="1:14">
      <c r="A263" s="16" t="s">
        <v>451</v>
      </c>
      <c r="C263" s="18" t="s">
        <v>813</v>
      </c>
      <c r="D263" s="25">
        <f t="shared" si="4"/>
        <v>1</v>
      </c>
      <c r="E263" s="29">
        <f>'По платам'!C265*$E$1</f>
        <v>0</v>
      </c>
      <c r="F263" s="29">
        <f>'По платам'!D265*$F$1</f>
        <v>0</v>
      </c>
      <c r="G263" s="29">
        <f>'По платам'!E265*$G$1</f>
        <v>0</v>
      </c>
      <c r="H263" s="29">
        <f>'По платам'!F265*$H$1</f>
        <v>0</v>
      </c>
      <c r="I263" s="29">
        <f>'По платам'!G265*$I$1</f>
        <v>0</v>
      </c>
      <c r="J263" s="29">
        <f>'По платам'!H265*$J$1</f>
        <v>0</v>
      </c>
      <c r="K263" s="29">
        <f>'По платам'!I265*$K$1</f>
        <v>1</v>
      </c>
      <c r="L263" s="29">
        <f>'По платам'!J265*$L$1</f>
        <v>0</v>
      </c>
      <c r="M263" s="29">
        <f>'По платам'!K265*$M$1</f>
        <v>0</v>
      </c>
      <c r="N263" s="29">
        <f>'По платам'!L265*'Состав прибора'!$B$16</f>
        <v>0</v>
      </c>
    </row>
    <row r="264" spans="1:14">
      <c r="A264" s="16" t="s">
        <v>542</v>
      </c>
      <c r="C264" s="18" t="s">
        <v>541</v>
      </c>
      <c r="D264" s="25">
        <f t="shared" si="4"/>
        <v>3</v>
      </c>
      <c r="E264" s="29">
        <f>'По платам'!C266*$E$1</f>
        <v>0</v>
      </c>
      <c r="F264" s="29">
        <f>'По платам'!D266*$F$1</f>
        <v>0</v>
      </c>
      <c r="G264" s="29">
        <f>'По платам'!E266*$G$1</f>
        <v>0</v>
      </c>
      <c r="H264" s="29">
        <f>'По платам'!F266*$H$1</f>
        <v>0</v>
      </c>
      <c r="I264" s="29">
        <f>'По платам'!G266*$I$1</f>
        <v>0</v>
      </c>
      <c r="J264" s="29">
        <f>'По платам'!H266*$J$1</f>
        <v>1</v>
      </c>
      <c r="K264" s="29">
        <f>'По платам'!I266*$K$1</f>
        <v>0</v>
      </c>
      <c r="L264" s="29">
        <f>'По платам'!J266*$L$1</f>
        <v>2</v>
      </c>
      <c r="M264" s="29">
        <f>'По платам'!K266*$M$1</f>
        <v>0</v>
      </c>
      <c r="N264" s="29">
        <f>'По платам'!L266*'Состав прибора'!$B$16</f>
        <v>0</v>
      </c>
    </row>
    <row r="265" spans="1:14">
      <c r="A265" s="16" t="s">
        <v>702</v>
      </c>
      <c r="C265" s="18" t="s">
        <v>701</v>
      </c>
      <c r="D265" s="25">
        <f t="shared" si="4"/>
        <v>1</v>
      </c>
      <c r="E265" s="29">
        <f>'По платам'!C267*$E$1</f>
        <v>0</v>
      </c>
      <c r="F265" s="29">
        <f>'По платам'!D267*$F$1</f>
        <v>0</v>
      </c>
      <c r="G265" s="29">
        <f>'По платам'!E267*$G$1</f>
        <v>0</v>
      </c>
      <c r="H265" s="29">
        <f>'По платам'!F267*$H$1</f>
        <v>0</v>
      </c>
      <c r="I265" s="29">
        <f>'По платам'!G267*$I$1</f>
        <v>0</v>
      </c>
      <c r="J265" s="29">
        <f>'По платам'!H267*$J$1</f>
        <v>0</v>
      </c>
      <c r="K265" s="29">
        <f>'По платам'!I267*$K$1</f>
        <v>1</v>
      </c>
      <c r="L265" s="29">
        <f>'По платам'!J267*$L$1</f>
        <v>0</v>
      </c>
      <c r="M265" s="29">
        <f>'По платам'!K267*$M$1</f>
        <v>0</v>
      </c>
      <c r="N265" s="29">
        <f>'По платам'!L267*'Состав прибора'!$B$16</f>
        <v>0</v>
      </c>
    </row>
    <row r="266" spans="1:14">
      <c r="A266" s="16" t="s">
        <v>3038</v>
      </c>
      <c r="C266" s="18" t="s">
        <v>1102</v>
      </c>
      <c r="D266" s="25">
        <f t="shared" si="4"/>
        <v>4</v>
      </c>
      <c r="E266" s="29">
        <f>'По платам'!C268*$E$1</f>
        <v>0</v>
      </c>
      <c r="F266" s="29">
        <f>'По платам'!D268*$F$1</f>
        <v>0</v>
      </c>
      <c r="G266" s="29">
        <f>'По платам'!E268*$G$1</f>
        <v>0</v>
      </c>
      <c r="H266" s="29">
        <f>'По платам'!F268*$H$1</f>
        <v>0</v>
      </c>
      <c r="I266" s="29">
        <f>'По платам'!G268*$I$1</f>
        <v>0</v>
      </c>
      <c r="J266" s="29">
        <f>'По платам'!H268*$J$1</f>
        <v>4</v>
      </c>
      <c r="K266" s="29">
        <f>'По платам'!I268*$K$1</f>
        <v>0</v>
      </c>
      <c r="L266" s="29">
        <f>'По платам'!J268*$L$1</f>
        <v>0</v>
      </c>
      <c r="M266" s="29">
        <f>'По платам'!K268*$M$1</f>
        <v>0</v>
      </c>
      <c r="N266" s="29">
        <f>'По платам'!L268*'Состав прибора'!$B$16</f>
        <v>0</v>
      </c>
    </row>
    <row r="267" spans="1:14">
      <c r="A267" s="16" t="s">
        <v>3038</v>
      </c>
      <c r="C267" s="18" t="s">
        <v>1293</v>
      </c>
      <c r="D267" s="25">
        <f t="shared" si="4"/>
        <v>4</v>
      </c>
      <c r="E267" s="29">
        <f>'По платам'!C269*$E$1</f>
        <v>0</v>
      </c>
      <c r="F267" s="29">
        <f>'По платам'!D269*$F$1</f>
        <v>0</v>
      </c>
      <c r="G267" s="29">
        <f>'По платам'!E269*$G$1</f>
        <v>0</v>
      </c>
      <c r="H267" s="29">
        <f>'По платам'!F269*$H$1</f>
        <v>4</v>
      </c>
      <c r="I267" s="29">
        <f>'По платам'!G269*$I$1</f>
        <v>0</v>
      </c>
      <c r="J267" s="29">
        <f>'По платам'!H269*$J$1</f>
        <v>0</v>
      </c>
      <c r="K267" s="29">
        <f>'По платам'!I269*$K$1</f>
        <v>0</v>
      </c>
      <c r="L267" s="29">
        <f>'По платам'!J269*$L$1</f>
        <v>0</v>
      </c>
      <c r="M267" s="29">
        <f>'По платам'!K269*$M$1</f>
        <v>0</v>
      </c>
      <c r="N267" s="29">
        <f>'По платам'!L269*'Состав прибора'!$B$16</f>
        <v>0</v>
      </c>
    </row>
    <row r="268" spans="1:14">
      <c r="A268" s="16" t="s">
        <v>401</v>
      </c>
      <c r="C268" s="18" t="s">
        <v>1703</v>
      </c>
      <c r="D268" s="25">
        <f t="shared" si="4"/>
        <v>0</v>
      </c>
      <c r="E268" s="29">
        <f>'По платам'!C270*$E$1</f>
        <v>0</v>
      </c>
      <c r="F268" s="29">
        <f>'По платам'!D270*$F$1</f>
        <v>0</v>
      </c>
      <c r="G268" s="29">
        <f>'По платам'!E270*$G$1</f>
        <v>0</v>
      </c>
      <c r="H268" s="29">
        <f>'По платам'!F270*$H$1</f>
        <v>0</v>
      </c>
      <c r="I268" s="29">
        <f>'По платам'!G270*$I$1</f>
        <v>0</v>
      </c>
      <c r="J268" s="29">
        <f>'По платам'!H270*$J$1</f>
        <v>0</v>
      </c>
      <c r="K268" s="29">
        <f>'По платам'!I270*$K$1</f>
        <v>0</v>
      </c>
      <c r="L268" s="29">
        <f>'По платам'!J270*$L$1</f>
        <v>0</v>
      </c>
      <c r="M268" s="29">
        <f>'По платам'!K270*$M$1</f>
        <v>0</v>
      </c>
      <c r="N268" s="29">
        <f>'По платам'!L270*'Состав прибора'!$B$16</f>
        <v>0</v>
      </c>
    </row>
    <row r="269" spans="1:14">
      <c r="A269" s="16" t="s">
        <v>401</v>
      </c>
      <c r="C269" s="18" t="s">
        <v>400</v>
      </c>
      <c r="D269" s="25">
        <f t="shared" si="4"/>
        <v>3</v>
      </c>
      <c r="E269" s="29">
        <f>'По платам'!C271*$E$1</f>
        <v>0</v>
      </c>
      <c r="F269" s="29">
        <f>'По платам'!D271*$F$1</f>
        <v>0</v>
      </c>
      <c r="G269" s="29">
        <f>'По платам'!E271*$G$1</f>
        <v>0</v>
      </c>
      <c r="H269" s="29">
        <f>'По платам'!F271*$H$1</f>
        <v>1</v>
      </c>
      <c r="I269" s="29">
        <f>'По платам'!G271*$I$1</f>
        <v>0</v>
      </c>
      <c r="J269" s="29">
        <f>'По платам'!H271*$J$1</f>
        <v>0</v>
      </c>
      <c r="K269" s="29">
        <f>'По платам'!I271*$K$1</f>
        <v>1</v>
      </c>
      <c r="L269" s="29">
        <f>'По платам'!J271*$L$1</f>
        <v>1</v>
      </c>
      <c r="M269" s="29">
        <f>'По платам'!K271*$M$1</f>
        <v>0</v>
      </c>
      <c r="N269" s="29">
        <f>'По платам'!L271*'Состав прибора'!$B$16</f>
        <v>0</v>
      </c>
    </row>
    <row r="270" spans="1:14">
      <c r="A270" s="16" t="s">
        <v>401</v>
      </c>
      <c r="C270" s="18" t="s">
        <v>798</v>
      </c>
      <c r="D270" s="25">
        <f t="shared" si="4"/>
        <v>3</v>
      </c>
      <c r="E270" s="29">
        <f>'По платам'!C272*$E$1</f>
        <v>0</v>
      </c>
      <c r="F270" s="29">
        <f>'По платам'!D272*$F$1</f>
        <v>0</v>
      </c>
      <c r="G270" s="29">
        <f>'По платам'!E272*$G$1</f>
        <v>0</v>
      </c>
      <c r="H270" s="29">
        <f>'По платам'!F272*$H$1</f>
        <v>0</v>
      </c>
      <c r="I270" s="29">
        <f>'По платам'!G272*$I$1</f>
        <v>0</v>
      </c>
      <c r="J270" s="29">
        <f>'По платам'!H272*$J$1</f>
        <v>0</v>
      </c>
      <c r="K270" s="29">
        <f>'По платам'!I272*$K$1</f>
        <v>3</v>
      </c>
      <c r="L270" s="29">
        <f>'По платам'!J272*$L$1</f>
        <v>0</v>
      </c>
      <c r="M270" s="29">
        <f>'По платам'!K272*$M$1</f>
        <v>0</v>
      </c>
      <c r="N270" s="29">
        <f>'По платам'!L272*'Состав прибора'!$B$16</f>
        <v>0</v>
      </c>
    </row>
    <row r="271" spans="1:14">
      <c r="A271" s="16" t="s">
        <v>401</v>
      </c>
      <c r="C271" s="18" t="s">
        <v>1707</v>
      </c>
      <c r="D271" s="25">
        <f t="shared" si="4"/>
        <v>0</v>
      </c>
      <c r="E271" s="29">
        <f>'По платам'!C273*$E$1</f>
        <v>0</v>
      </c>
      <c r="F271" s="29">
        <f>'По платам'!D273*$F$1</f>
        <v>0</v>
      </c>
      <c r="G271" s="29">
        <f>'По платам'!E273*$G$1</f>
        <v>0</v>
      </c>
      <c r="H271" s="29">
        <f>'По платам'!F273*$H$1</f>
        <v>0</v>
      </c>
      <c r="I271" s="29">
        <f>'По платам'!G273*$I$1</f>
        <v>0</v>
      </c>
      <c r="J271" s="29">
        <f>'По платам'!H273*$J$1</f>
        <v>0</v>
      </c>
      <c r="K271" s="29">
        <f>'По платам'!I273*$K$1</f>
        <v>0</v>
      </c>
      <c r="L271" s="29">
        <f>'По платам'!J273*$L$1</f>
        <v>0</v>
      </c>
      <c r="M271" s="29">
        <f>'По платам'!K273*$M$1</f>
        <v>0</v>
      </c>
      <c r="N271" s="29">
        <f>'По платам'!L273*'Состав прибора'!$B$16</f>
        <v>0</v>
      </c>
    </row>
    <row r="272" spans="1:14">
      <c r="A272" s="16" t="s">
        <v>1606</v>
      </c>
      <c r="C272" s="18" t="s">
        <v>678</v>
      </c>
      <c r="D272" s="25">
        <f t="shared" si="4"/>
        <v>2</v>
      </c>
      <c r="E272" s="29">
        <f>'По платам'!C274*$E$1</f>
        <v>0</v>
      </c>
      <c r="F272" s="29">
        <f>'По платам'!D274*$F$1</f>
        <v>0</v>
      </c>
      <c r="G272" s="29">
        <f>'По платам'!E274*$G$1</f>
        <v>0</v>
      </c>
      <c r="H272" s="29">
        <f>'По платам'!F274*$H$1</f>
        <v>0</v>
      </c>
      <c r="I272" s="29">
        <f>'По платам'!G274*$I$1</f>
        <v>0</v>
      </c>
      <c r="J272" s="29">
        <f>'По платам'!H274*$J$1</f>
        <v>0</v>
      </c>
      <c r="K272" s="29">
        <f>'По платам'!I274*$K$1</f>
        <v>2</v>
      </c>
      <c r="L272" s="29">
        <f>'По платам'!J274*$L$1</f>
        <v>0</v>
      </c>
      <c r="M272" s="29">
        <f>'По платам'!K274*$M$1</f>
        <v>0</v>
      </c>
      <c r="N272" s="29">
        <f>'По платам'!L274*'Состав прибора'!$B$16</f>
        <v>0</v>
      </c>
    </row>
    <row r="273" spans="1:14">
      <c r="A273" s="16" t="s">
        <v>358</v>
      </c>
      <c r="C273" s="18" t="s">
        <v>693</v>
      </c>
      <c r="D273" s="25">
        <f t="shared" si="4"/>
        <v>1</v>
      </c>
      <c r="E273" s="29">
        <f>'По платам'!C275*$E$1</f>
        <v>0</v>
      </c>
      <c r="F273" s="29">
        <f>'По платам'!D275*$F$1</f>
        <v>0</v>
      </c>
      <c r="G273" s="29">
        <f>'По платам'!E275*$G$1</f>
        <v>0</v>
      </c>
      <c r="H273" s="29">
        <f>'По платам'!F275*$H$1</f>
        <v>0</v>
      </c>
      <c r="I273" s="29">
        <f>'По платам'!G275*$I$1</f>
        <v>0</v>
      </c>
      <c r="J273" s="29">
        <f>'По платам'!H275*$J$1</f>
        <v>0</v>
      </c>
      <c r="K273" s="29">
        <f>'По платам'!I275*$K$1</f>
        <v>1</v>
      </c>
      <c r="L273" s="29">
        <f>'По платам'!J275*$L$1</f>
        <v>0</v>
      </c>
      <c r="M273" s="29">
        <f>'По платам'!K275*$M$1</f>
        <v>0</v>
      </c>
      <c r="N273" s="29">
        <f>'По платам'!L275*'Состав прибора'!$B$16</f>
        <v>0</v>
      </c>
    </row>
    <row r="274" spans="1:14">
      <c r="A274" s="16" t="s">
        <v>358</v>
      </c>
      <c r="C274" s="18" t="s">
        <v>2931</v>
      </c>
      <c r="D274" s="25">
        <f t="shared" si="4"/>
        <v>4</v>
      </c>
      <c r="E274" s="29">
        <f>'По платам'!C276*$E$1</f>
        <v>0</v>
      </c>
      <c r="F274" s="29">
        <f>'По платам'!D276*$F$1</f>
        <v>0</v>
      </c>
      <c r="G274" s="29">
        <f>'По платам'!E276*$G$1</f>
        <v>0</v>
      </c>
      <c r="H274" s="29">
        <f>'По платам'!F276*$H$1</f>
        <v>0</v>
      </c>
      <c r="I274" s="29">
        <f>'По платам'!G276*$I$1</f>
        <v>0</v>
      </c>
      <c r="J274" s="29">
        <f>'По платам'!H276*$J$1</f>
        <v>0</v>
      </c>
      <c r="K274" s="29">
        <f>'По платам'!I276*$K$1</f>
        <v>0</v>
      </c>
      <c r="L274" s="29">
        <f>'По платам'!J276*$L$1</f>
        <v>4</v>
      </c>
      <c r="M274" s="29">
        <f>'По платам'!K276*$M$1</f>
        <v>0</v>
      </c>
      <c r="N274" s="29">
        <f>'По платам'!L276*'Состав прибора'!$B$16</f>
        <v>0</v>
      </c>
    </row>
    <row r="275" spans="1:14">
      <c r="A275" s="16" t="s">
        <v>358</v>
      </c>
      <c r="C275" s="18" t="s">
        <v>1602</v>
      </c>
      <c r="D275" s="25">
        <f t="shared" si="4"/>
        <v>0</v>
      </c>
      <c r="E275" s="29">
        <f>'По платам'!C277*$E$1</f>
        <v>0</v>
      </c>
      <c r="F275" s="29">
        <f>'По платам'!D277*$F$1</f>
        <v>0</v>
      </c>
      <c r="G275" s="29">
        <f>'По платам'!E277*$G$1</f>
        <v>0</v>
      </c>
      <c r="H275" s="29">
        <f>'По платам'!F277*$H$1</f>
        <v>0</v>
      </c>
      <c r="I275" s="29">
        <f>'По платам'!G277*$I$1</f>
        <v>0</v>
      </c>
      <c r="J275" s="29">
        <f>'По платам'!H277*$J$1</f>
        <v>0</v>
      </c>
      <c r="K275" s="29">
        <f>'По платам'!I277*$K$1</f>
        <v>0</v>
      </c>
      <c r="L275" s="29">
        <f>'По платам'!J277*$L$1</f>
        <v>0</v>
      </c>
      <c r="M275" s="29">
        <f>'По платам'!K277*$M$1</f>
        <v>0</v>
      </c>
      <c r="N275" s="29">
        <f>'По платам'!L277*'Состав прибора'!$B$16</f>
        <v>0</v>
      </c>
    </row>
    <row r="276" spans="1:14">
      <c r="A276" s="16" t="s">
        <v>351</v>
      </c>
      <c r="C276" s="18" t="s">
        <v>2235</v>
      </c>
      <c r="D276" s="25">
        <f t="shared" si="4"/>
        <v>0</v>
      </c>
      <c r="E276" s="29">
        <f>'По платам'!C278*$E$1</f>
        <v>0</v>
      </c>
      <c r="F276" s="29">
        <f>'По платам'!D278*$F$1</f>
        <v>0</v>
      </c>
      <c r="G276" s="29">
        <f>'По платам'!E278*$G$1</f>
        <v>0</v>
      </c>
      <c r="H276" s="29">
        <f>'По платам'!F278*$H$1</f>
        <v>0</v>
      </c>
      <c r="I276" s="29">
        <f>'По платам'!G278*$I$1</f>
        <v>0</v>
      </c>
      <c r="J276" s="29">
        <f>'По платам'!H278*$J$1</f>
        <v>0</v>
      </c>
      <c r="K276" s="29">
        <f>'По платам'!I278*$K$1</f>
        <v>0</v>
      </c>
      <c r="L276" s="29">
        <f>'По платам'!J278*$L$1</f>
        <v>0</v>
      </c>
      <c r="M276" s="29">
        <f>'По платам'!K278*$M$1</f>
        <v>0</v>
      </c>
      <c r="N276" s="29">
        <f>'По платам'!L278*'Состав прибора'!$B$16</f>
        <v>0</v>
      </c>
    </row>
    <row r="277" spans="1:14">
      <c r="A277" s="16" t="s">
        <v>351</v>
      </c>
      <c r="C277" s="18" t="s">
        <v>2929</v>
      </c>
      <c r="D277" s="25">
        <f t="shared" si="4"/>
        <v>1</v>
      </c>
      <c r="E277" s="29">
        <f>'По платам'!C279*$E$1</f>
        <v>0</v>
      </c>
      <c r="F277" s="29">
        <f>'По платам'!D279*$F$1</f>
        <v>0</v>
      </c>
      <c r="G277" s="29">
        <f>'По платам'!E279*$G$1</f>
        <v>0</v>
      </c>
      <c r="H277" s="29">
        <f>'По платам'!F279*$H$1</f>
        <v>0</v>
      </c>
      <c r="I277" s="29">
        <f>'По платам'!G279*$I$1</f>
        <v>0</v>
      </c>
      <c r="J277" s="29">
        <f>'По платам'!H279*$J$1</f>
        <v>0</v>
      </c>
      <c r="K277" s="29">
        <f>'По платам'!I279*$K$1</f>
        <v>0</v>
      </c>
      <c r="L277" s="29">
        <f>'По платам'!J279*$L$1</f>
        <v>1</v>
      </c>
      <c r="M277" s="29">
        <f>'По платам'!K279*$M$1</f>
        <v>0</v>
      </c>
      <c r="N277" s="29">
        <f>'По платам'!L279*'Состав прибора'!$B$16</f>
        <v>0</v>
      </c>
    </row>
    <row r="278" spans="1:14">
      <c r="A278" s="16" t="s">
        <v>756</v>
      </c>
      <c r="C278" s="18" t="s">
        <v>755</v>
      </c>
      <c r="D278" s="25">
        <f t="shared" si="4"/>
        <v>1</v>
      </c>
      <c r="E278" s="29">
        <f>'По платам'!C280*$E$1</f>
        <v>0</v>
      </c>
      <c r="F278" s="29">
        <f>'По платам'!D280*$F$1</f>
        <v>0</v>
      </c>
      <c r="G278" s="29">
        <f>'По платам'!E280*$G$1</f>
        <v>0</v>
      </c>
      <c r="H278" s="29">
        <f>'По платам'!F280*$H$1</f>
        <v>0</v>
      </c>
      <c r="I278" s="29">
        <f>'По платам'!G280*$I$1</f>
        <v>0</v>
      </c>
      <c r="J278" s="29">
        <f>'По платам'!H280*$J$1</f>
        <v>0</v>
      </c>
      <c r="K278" s="29">
        <f>'По платам'!I280*$K$1</f>
        <v>1</v>
      </c>
      <c r="L278" s="29">
        <f>'По платам'!J280*$L$1</f>
        <v>0</v>
      </c>
      <c r="M278" s="29">
        <f>'По платам'!K280*$M$1</f>
        <v>0</v>
      </c>
      <c r="N278" s="29">
        <f>'По платам'!L280*'Состав прибора'!$B$16</f>
        <v>0</v>
      </c>
    </row>
    <row r="279" spans="1:14">
      <c r="A279" s="16" t="s">
        <v>1588</v>
      </c>
      <c r="C279" s="18" t="s">
        <v>1587</v>
      </c>
      <c r="D279" s="25">
        <f t="shared" si="4"/>
        <v>0</v>
      </c>
      <c r="E279" s="29">
        <f>'По платам'!C281*$E$1</f>
        <v>0</v>
      </c>
      <c r="F279" s="29">
        <f>'По платам'!D281*$F$1</f>
        <v>0</v>
      </c>
      <c r="G279" s="29">
        <f>'По платам'!E281*$G$1</f>
        <v>0</v>
      </c>
      <c r="H279" s="29">
        <f>'По платам'!F281*$H$1</f>
        <v>0</v>
      </c>
      <c r="I279" s="29">
        <f>'По платам'!G281*$I$1</f>
        <v>0</v>
      </c>
      <c r="J279" s="29">
        <f>'По платам'!H281*$J$1</f>
        <v>0</v>
      </c>
      <c r="K279" s="29">
        <f>'По платам'!I281*$K$1</f>
        <v>0</v>
      </c>
      <c r="L279" s="29">
        <f>'По платам'!J281*$L$1</f>
        <v>0</v>
      </c>
      <c r="M279" s="29">
        <f>'По платам'!K281*$M$1</f>
        <v>0</v>
      </c>
      <c r="N279" s="29">
        <f>'По платам'!L281*'Состав прибора'!$B$16</f>
        <v>0</v>
      </c>
    </row>
    <row r="280" spans="1:14">
      <c r="A280" s="16" t="s">
        <v>171</v>
      </c>
      <c r="C280" s="18" t="s">
        <v>684</v>
      </c>
      <c r="D280" s="25">
        <f t="shared" si="4"/>
        <v>8</v>
      </c>
      <c r="E280" s="29">
        <f>'По платам'!C282*$E$1</f>
        <v>0</v>
      </c>
      <c r="F280" s="29">
        <f>'По платам'!D282*$F$1</f>
        <v>0</v>
      </c>
      <c r="G280" s="29">
        <f>'По платам'!E282*$G$1</f>
        <v>0</v>
      </c>
      <c r="H280" s="29">
        <f>'По платам'!F282*$H$1</f>
        <v>0</v>
      </c>
      <c r="I280" s="29">
        <f>'По платам'!G282*$I$1</f>
        <v>0</v>
      </c>
      <c r="J280" s="29">
        <f>'По платам'!H282*$J$1</f>
        <v>0</v>
      </c>
      <c r="K280" s="29">
        <f>'По платам'!I282*$K$1</f>
        <v>8</v>
      </c>
      <c r="L280" s="29">
        <f>'По платам'!J282*$L$1</f>
        <v>0</v>
      </c>
      <c r="M280" s="29">
        <f>'По платам'!K282*$M$1</f>
        <v>0</v>
      </c>
      <c r="N280" s="29">
        <f>'По платам'!L282*'Состав прибора'!$B$16</f>
        <v>0</v>
      </c>
    </row>
    <row r="281" spans="1:14">
      <c r="A281" s="16" t="s">
        <v>171</v>
      </c>
      <c r="C281" s="18" t="s">
        <v>361</v>
      </c>
      <c r="D281" s="25">
        <f t="shared" si="4"/>
        <v>3</v>
      </c>
      <c r="E281" s="29">
        <f>'По платам'!C283*$E$1</f>
        <v>0</v>
      </c>
      <c r="F281" s="29">
        <f>'По платам'!D283*$F$1</f>
        <v>0</v>
      </c>
      <c r="G281" s="29">
        <f>'По платам'!E283*$G$1</f>
        <v>0</v>
      </c>
      <c r="H281" s="29">
        <f>'По платам'!F283*$H$1</f>
        <v>0</v>
      </c>
      <c r="I281" s="29">
        <f>'По платам'!G283*$I$1</f>
        <v>0</v>
      </c>
      <c r="J281" s="29">
        <f>'По платам'!H283*$J$1</f>
        <v>0</v>
      </c>
      <c r="K281" s="29">
        <f>'По платам'!I283*$K$1</f>
        <v>2</v>
      </c>
      <c r="L281" s="29">
        <f>'По платам'!J283*$L$1</f>
        <v>1</v>
      </c>
      <c r="M281" s="29">
        <f>'По платам'!K283*$M$1</f>
        <v>0</v>
      </c>
      <c r="N281" s="29">
        <f>'По платам'!L283*'Состав прибора'!$B$16</f>
        <v>0</v>
      </c>
    </row>
    <row r="282" spans="1:14">
      <c r="A282" s="16" t="s">
        <v>171</v>
      </c>
      <c r="C282" s="18" t="s">
        <v>170</v>
      </c>
      <c r="D282" s="25">
        <f t="shared" si="4"/>
        <v>1</v>
      </c>
      <c r="E282" s="29">
        <f>'По платам'!C284*$E$1</f>
        <v>0</v>
      </c>
      <c r="F282" s="29">
        <f>'По платам'!D284*$F$1</f>
        <v>0</v>
      </c>
      <c r="G282" s="29">
        <f>'По платам'!E284*$G$1</f>
        <v>0</v>
      </c>
      <c r="H282" s="29">
        <f>'По платам'!F284*$H$1</f>
        <v>0</v>
      </c>
      <c r="I282" s="29">
        <f>'По платам'!G284*$I$1</f>
        <v>1</v>
      </c>
      <c r="J282" s="29">
        <f>'По платам'!H284*$J$1</f>
        <v>0</v>
      </c>
      <c r="K282" s="29">
        <f>'По платам'!I284*$K$1</f>
        <v>0</v>
      </c>
      <c r="L282" s="29">
        <f>'По платам'!J284*$L$1</f>
        <v>0</v>
      </c>
      <c r="M282" s="29">
        <f>'По платам'!K284*$M$1</f>
        <v>0</v>
      </c>
      <c r="N282" s="29">
        <f>'По платам'!L284*'Состав прибора'!$B$16</f>
        <v>0</v>
      </c>
    </row>
    <row r="283" spans="1:14">
      <c r="A283" s="16" t="s">
        <v>171</v>
      </c>
      <c r="C283" s="18" t="s">
        <v>667</v>
      </c>
      <c r="D283" s="25">
        <f t="shared" si="4"/>
        <v>4</v>
      </c>
      <c r="E283" s="29">
        <f>'По платам'!C285*$E$1</f>
        <v>0</v>
      </c>
      <c r="F283" s="29">
        <f>'По платам'!D285*$F$1</f>
        <v>0</v>
      </c>
      <c r="G283" s="29">
        <f>'По платам'!E285*$G$1</f>
        <v>0</v>
      </c>
      <c r="H283" s="29">
        <f>'По платам'!F285*$H$1</f>
        <v>0</v>
      </c>
      <c r="I283" s="29">
        <f>'По платам'!G285*$I$1</f>
        <v>0</v>
      </c>
      <c r="J283" s="29">
        <f>'По платам'!H285*$J$1</f>
        <v>0</v>
      </c>
      <c r="K283" s="29">
        <f>'По платам'!I285*$K$1</f>
        <v>4</v>
      </c>
      <c r="L283" s="29">
        <f>'По платам'!J285*$L$1</f>
        <v>0</v>
      </c>
      <c r="M283" s="29">
        <f>'По платам'!K285*$M$1</f>
        <v>0</v>
      </c>
      <c r="N283" s="29">
        <f>'По платам'!L285*'Состав прибора'!$B$16</f>
        <v>0</v>
      </c>
    </row>
    <row r="284" spans="1:14">
      <c r="A284" s="16" t="s">
        <v>3039</v>
      </c>
      <c r="C284" s="18" t="s">
        <v>2716</v>
      </c>
      <c r="D284" s="25">
        <f t="shared" si="4"/>
        <v>0</v>
      </c>
      <c r="E284" s="29">
        <f>'По платам'!C286*$E$1</f>
        <v>0</v>
      </c>
      <c r="F284" s="29">
        <f>'По платам'!D286*$F$1</f>
        <v>0</v>
      </c>
      <c r="G284" s="29">
        <f>'По платам'!E286*$G$1</f>
        <v>0</v>
      </c>
      <c r="H284" s="29">
        <f>'По платам'!F286*$H$1</f>
        <v>0</v>
      </c>
      <c r="I284" s="29">
        <f>'По платам'!G286*$I$1</f>
        <v>0</v>
      </c>
      <c r="J284" s="29">
        <f>'По платам'!H286*$J$1</f>
        <v>0</v>
      </c>
      <c r="K284" s="29">
        <f>'По платам'!I286*$K$1</f>
        <v>0</v>
      </c>
      <c r="L284" s="29">
        <f>'По платам'!J286*$L$1</f>
        <v>0</v>
      </c>
      <c r="M284" s="29">
        <f>'По платам'!K286*$M$1</f>
        <v>0</v>
      </c>
      <c r="N284" s="29">
        <f>'По платам'!L286*'Состав прибора'!$B$16</f>
        <v>0</v>
      </c>
    </row>
    <row r="285" spans="1:14">
      <c r="A285" s="16" t="s">
        <v>3039</v>
      </c>
      <c r="C285" s="18" t="s">
        <v>2694</v>
      </c>
      <c r="D285" s="25">
        <f t="shared" si="4"/>
        <v>0</v>
      </c>
      <c r="E285" s="29">
        <f>'По платам'!C287*$E$1</f>
        <v>0</v>
      </c>
      <c r="F285" s="29">
        <f>'По платам'!D287*$F$1</f>
        <v>0</v>
      </c>
      <c r="G285" s="29">
        <f>'По платам'!E287*$G$1</f>
        <v>0</v>
      </c>
      <c r="H285" s="29">
        <f>'По платам'!F287*$H$1</f>
        <v>0</v>
      </c>
      <c r="I285" s="29">
        <f>'По платам'!G287*$I$1</f>
        <v>0</v>
      </c>
      <c r="J285" s="29">
        <f>'По платам'!H287*$J$1</f>
        <v>0</v>
      </c>
      <c r="K285" s="29">
        <f>'По платам'!I287*$K$1</f>
        <v>0</v>
      </c>
      <c r="L285" s="29">
        <f>'По платам'!J287*$L$1</f>
        <v>0</v>
      </c>
      <c r="M285" s="29">
        <f>'По платам'!K287*$M$1</f>
        <v>0</v>
      </c>
      <c r="N285" s="29">
        <f>'По платам'!L287*'Состав прибора'!$B$16</f>
        <v>0</v>
      </c>
    </row>
    <row r="286" spans="1:14">
      <c r="A286" s="16" t="s">
        <v>22</v>
      </c>
      <c r="C286" s="18" t="s">
        <v>2121</v>
      </c>
      <c r="D286" s="25">
        <f t="shared" si="4"/>
        <v>0</v>
      </c>
      <c r="E286" s="29">
        <f>'По платам'!C288*$E$1</f>
        <v>0</v>
      </c>
      <c r="F286" s="29">
        <f>'По платам'!D288*$F$1</f>
        <v>0</v>
      </c>
      <c r="G286" s="29">
        <f>'По платам'!E288*$G$1</f>
        <v>0</v>
      </c>
      <c r="H286" s="29">
        <f>'По платам'!F288*$H$1</f>
        <v>0</v>
      </c>
      <c r="I286" s="29">
        <f>'По платам'!G288*$I$1</f>
        <v>0</v>
      </c>
      <c r="J286" s="29">
        <f>'По платам'!H288*$J$1</f>
        <v>0</v>
      </c>
      <c r="K286" s="29">
        <f>'По платам'!I288*$K$1</f>
        <v>0</v>
      </c>
      <c r="L286" s="29">
        <f>'По платам'!J288*$L$1</f>
        <v>0</v>
      </c>
      <c r="M286" s="29">
        <f>'По платам'!K288*$M$1</f>
        <v>0</v>
      </c>
      <c r="N286" s="29">
        <f>'По платам'!L288*'Состав прибора'!$B$16</f>
        <v>0</v>
      </c>
    </row>
    <row r="287" spans="1:14">
      <c r="A287" s="16" t="s">
        <v>22</v>
      </c>
      <c r="C287" s="18" t="s">
        <v>295</v>
      </c>
      <c r="D287" s="25">
        <f t="shared" si="4"/>
        <v>21</v>
      </c>
      <c r="E287" s="29">
        <f>'По платам'!C289*$E$1</f>
        <v>0</v>
      </c>
      <c r="F287" s="29">
        <f>'По платам'!D289*$F$1</f>
        <v>0</v>
      </c>
      <c r="G287" s="29">
        <f>'По платам'!E289*$G$1</f>
        <v>0</v>
      </c>
      <c r="H287" s="29">
        <f>'По платам'!F289*$H$1</f>
        <v>0</v>
      </c>
      <c r="I287" s="29">
        <f>'По платам'!G289*$I$1</f>
        <v>0</v>
      </c>
      <c r="J287" s="29">
        <f>'По платам'!H289*$J$1</f>
        <v>0</v>
      </c>
      <c r="K287" s="29">
        <f>'По платам'!I289*$K$1</f>
        <v>0</v>
      </c>
      <c r="L287" s="29">
        <f>'По платам'!J289*$L$1</f>
        <v>21</v>
      </c>
      <c r="M287" s="29">
        <f>'По платам'!K289*$M$1</f>
        <v>0</v>
      </c>
      <c r="N287" s="29">
        <f>'По платам'!L289*'Состав прибора'!$B$16</f>
        <v>0</v>
      </c>
    </row>
    <row r="288" spans="1:14">
      <c r="A288" s="16" t="s">
        <v>22</v>
      </c>
      <c r="C288" s="18" t="s">
        <v>2099</v>
      </c>
      <c r="D288" s="25">
        <f t="shared" si="4"/>
        <v>0</v>
      </c>
      <c r="E288" s="29">
        <f>'По платам'!C290*$E$1</f>
        <v>0</v>
      </c>
      <c r="F288" s="29">
        <f>'По платам'!D290*$F$1</f>
        <v>0</v>
      </c>
      <c r="G288" s="29">
        <f>'По платам'!E290*$G$1</f>
        <v>0</v>
      </c>
      <c r="H288" s="29">
        <f>'По платам'!F290*$H$1</f>
        <v>0</v>
      </c>
      <c r="I288" s="29">
        <f>'По платам'!G290*$I$1</f>
        <v>0</v>
      </c>
      <c r="J288" s="29">
        <f>'По платам'!H290*$J$1</f>
        <v>0</v>
      </c>
      <c r="K288" s="29">
        <f>'По платам'!I290*$K$1</f>
        <v>0</v>
      </c>
      <c r="L288" s="29">
        <f>'По платам'!J290*$L$1</f>
        <v>0</v>
      </c>
      <c r="M288" s="29">
        <f>'По платам'!K290*$M$1</f>
        <v>0</v>
      </c>
      <c r="N288" s="29">
        <f>'По платам'!L290*'Состав прибора'!$B$16</f>
        <v>0</v>
      </c>
    </row>
    <row r="289" spans="1:14">
      <c r="A289" s="16" t="s">
        <v>22</v>
      </c>
      <c r="C289" s="18" t="s">
        <v>593</v>
      </c>
      <c r="D289" s="25">
        <f t="shared" si="4"/>
        <v>8</v>
      </c>
      <c r="E289" s="29">
        <f>'По платам'!C291*$E$1</f>
        <v>0</v>
      </c>
      <c r="F289" s="29">
        <f>'По платам'!D291*$F$1</f>
        <v>0</v>
      </c>
      <c r="G289" s="29">
        <f>'По платам'!E291*$G$1</f>
        <v>0</v>
      </c>
      <c r="H289" s="29">
        <f>'По платам'!F291*$H$1</f>
        <v>0</v>
      </c>
      <c r="I289" s="29">
        <f>'По платам'!G291*$I$1</f>
        <v>0</v>
      </c>
      <c r="J289" s="29">
        <f>'По платам'!H291*$J$1</f>
        <v>0</v>
      </c>
      <c r="K289" s="29">
        <f>'По платам'!I291*$K$1</f>
        <v>8</v>
      </c>
      <c r="L289" s="29">
        <f>'По платам'!J291*$L$1</f>
        <v>0</v>
      </c>
      <c r="M289" s="29">
        <f>'По платам'!K291*$M$1</f>
        <v>0</v>
      </c>
      <c r="N289" s="29">
        <f>'По платам'!L291*'Состав прибора'!$B$16</f>
        <v>0</v>
      </c>
    </row>
    <row r="290" spans="1:14">
      <c r="A290" s="16" t="s">
        <v>22</v>
      </c>
      <c r="C290" s="18" t="s">
        <v>2125</v>
      </c>
      <c r="D290" s="25">
        <f t="shared" si="4"/>
        <v>0</v>
      </c>
      <c r="E290" s="29">
        <f>'По платам'!C292*$E$1</f>
        <v>0</v>
      </c>
      <c r="F290" s="29">
        <f>'По платам'!D292*$F$1</f>
        <v>0</v>
      </c>
      <c r="G290" s="29">
        <f>'По платам'!E292*$G$1</f>
        <v>0</v>
      </c>
      <c r="H290" s="29">
        <f>'По платам'!F292*$H$1</f>
        <v>0</v>
      </c>
      <c r="I290" s="29">
        <f>'По платам'!G292*$I$1</f>
        <v>0</v>
      </c>
      <c r="J290" s="29">
        <f>'По платам'!H292*$J$1</f>
        <v>0</v>
      </c>
      <c r="K290" s="29">
        <f>'По платам'!I292*$K$1</f>
        <v>0</v>
      </c>
      <c r="L290" s="29">
        <f>'По платам'!J292*$L$1</f>
        <v>0</v>
      </c>
      <c r="M290" s="29">
        <f>'По платам'!K292*$M$1</f>
        <v>0</v>
      </c>
      <c r="N290" s="29">
        <f>'По платам'!L292*'Состав прибора'!$B$16</f>
        <v>0</v>
      </c>
    </row>
    <row r="291" spans="1:14">
      <c r="A291" s="16" t="s">
        <v>22</v>
      </c>
      <c r="C291" s="18" t="s">
        <v>303</v>
      </c>
      <c r="D291" s="25">
        <f t="shared" si="4"/>
        <v>36</v>
      </c>
      <c r="E291" s="29">
        <f>'По платам'!C293*$E$1</f>
        <v>0</v>
      </c>
      <c r="F291" s="29">
        <f>'По платам'!D293*$F$1</f>
        <v>0</v>
      </c>
      <c r="G291" s="29">
        <f>'По платам'!E293*$G$1</f>
        <v>0</v>
      </c>
      <c r="H291" s="29">
        <f>'По платам'!F293*$H$1</f>
        <v>0</v>
      </c>
      <c r="I291" s="29">
        <f>'По платам'!G293*$I$1</f>
        <v>0</v>
      </c>
      <c r="J291" s="29">
        <f>'По платам'!H293*$J$1</f>
        <v>0</v>
      </c>
      <c r="K291" s="29">
        <f>'По платам'!I293*$K$1</f>
        <v>0</v>
      </c>
      <c r="L291" s="29">
        <f>'По платам'!J293*$L$1</f>
        <v>36</v>
      </c>
      <c r="M291" s="29">
        <f>'По платам'!K293*$M$1</f>
        <v>0</v>
      </c>
      <c r="N291" s="29">
        <f>'По платам'!L293*'Состав прибора'!$B$16</f>
        <v>0</v>
      </c>
    </row>
    <row r="292" spans="1:14">
      <c r="A292" s="16" t="s">
        <v>22</v>
      </c>
      <c r="C292" s="18" t="s">
        <v>2180</v>
      </c>
      <c r="D292" s="25">
        <f t="shared" si="4"/>
        <v>0</v>
      </c>
      <c r="E292" s="29">
        <f>'По платам'!C294*$E$1</f>
        <v>0</v>
      </c>
      <c r="F292" s="29">
        <f>'По платам'!D294*$F$1</f>
        <v>0</v>
      </c>
      <c r="G292" s="29">
        <f>'По платам'!E294*$G$1</f>
        <v>0</v>
      </c>
      <c r="H292" s="29">
        <f>'По платам'!F294*$H$1</f>
        <v>0</v>
      </c>
      <c r="I292" s="29">
        <f>'По платам'!G294*$I$1</f>
        <v>0</v>
      </c>
      <c r="J292" s="29">
        <f>'По платам'!H294*$J$1</f>
        <v>0</v>
      </c>
      <c r="K292" s="29">
        <f>'По платам'!I294*$K$1</f>
        <v>0</v>
      </c>
      <c r="L292" s="29">
        <f>'По платам'!J294*$L$1</f>
        <v>0</v>
      </c>
      <c r="M292" s="29">
        <f>'По платам'!K294*$M$1</f>
        <v>0</v>
      </c>
      <c r="N292" s="29">
        <f>'По платам'!L294*'Состав прибора'!$B$16</f>
        <v>0</v>
      </c>
    </row>
    <row r="293" spans="1:14">
      <c r="A293" s="16" t="s">
        <v>22</v>
      </c>
      <c r="C293" s="18" t="s">
        <v>2111</v>
      </c>
      <c r="D293" s="25">
        <f t="shared" si="4"/>
        <v>0</v>
      </c>
      <c r="E293" s="29">
        <f>'По платам'!C295*$E$1</f>
        <v>0</v>
      </c>
      <c r="F293" s="29">
        <f>'По платам'!D295*$F$1</f>
        <v>0</v>
      </c>
      <c r="G293" s="29">
        <f>'По платам'!E295*$G$1</f>
        <v>0</v>
      </c>
      <c r="H293" s="29">
        <f>'По платам'!F295*$H$1</f>
        <v>0</v>
      </c>
      <c r="I293" s="29">
        <f>'По платам'!G295*$I$1</f>
        <v>0</v>
      </c>
      <c r="J293" s="29">
        <f>'По платам'!H295*$J$1</f>
        <v>0</v>
      </c>
      <c r="K293" s="29">
        <f>'По платам'!I295*$K$1</f>
        <v>0</v>
      </c>
      <c r="L293" s="29">
        <f>'По платам'!J295*$L$1</f>
        <v>0</v>
      </c>
      <c r="M293" s="29">
        <f>'По платам'!K295*$M$1</f>
        <v>0</v>
      </c>
      <c r="N293" s="29">
        <f>'По платам'!L295*'Состав прибора'!$B$16</f>
        <v>0</v>
      </c>
    </row>
    <row r="294" spans="1:14">
      <c r="A294" s="16" t="s">
        <v>22</v>
      </c>
      <c r="C294" s="18" t="s">
        <v>612</v>
      </c>
      <c r="D294" s="25">
        <f t="shared" si="4"/>
        <v>1</v>
      </c>
      <c r="E294" s="29">
        <f>'По платам'!C296*$E$1</f>
        <v>0</v>
      </c>
      <c r="F294" s="29">
        <f>'По платам'!D296*$F$1</f>
        <v>0</v>
      </c>
      <c r="G294" s="29">
        <f>'По платам'!E296*$G$1</f>
        <v>0</v>
      </c>
      <c r="H294" s="29">
        <f>'По платам'!F296*$H$1</f>
        <v>0</v>
      </c>
      <c r="I294" s="29">
        <f>'По платам'!G296*$I$1</f>
        <v>0</v>
      </c>
      <c r="J294" s="29">
        <f>'По платам'!H296*$J$1</f>
        <v>0</v>
      </c>
      <c r="K294" s="29">
        <f>'По платам'!I296*$K$1</f>
        <v>1</v>
      </c>
      <c r="L294" s="29">
        <f>'По платам'!J296*$L$1</f>
        <v>0</v>
      </c>
      <c r="M294" s="29">
        <f>'По платам'!K296*$M$1</f>
        <v>0</v>
      </c>
      <c r="N294" s="29">
        <f>'По платам'!L296*'Состав прибора'!$B$16</f>
        <v>0</v>
      </c>
    </row>
    <row r="295" spans="1:14">
      <c r="A295" s="16" t="s">
        <v>22</v>
      </c>
      <c r="C295" s="18" t="s">
        <v>2133</v>
      </c>
      <c r="D295" s="25">
        <f t="shared" si="4"/>
        <v>0</v>
      </c>
      <c r="E295" s="29">
        <f>'По платам'!C297*$E$1</f>
        <v>0</v>
      </c>
      <c r="F295" s="29">
        <f>'По платам'!D297*$F$1</f>
        <v>0</v>
      </c>
      <c r="G295" s="29">
        <f>'По платам'!E297*$G$1</f>
        <v>0</v>
      </c>
      <c r="H295" s="29">
        <f>'По платам'!F297*$H$1</f>
        <v>0</v>
      </c>
      <c r="I295" s="29">
        <f>'По платам'!G297*$I$1</f>
        <v>0</v>
      </c>
      <c r="J295" s="29">
        <f>'По платам'!H297*$J$1</f>
        <v>0</v>
      </c>
      <c r="K295" s="29">
        <f>'По платам'!I297*$K$1</f>
        <v>0</v>
      </c>
      <c r="L295" s="29">
        <f>'По платам'!J297*$L$1</f>
        <v>0</v>
      </c>
      <c r="M295" s="29">
        <f>'По платам'!K297*$M$1</f>
        <v>0</v>
      </c>
      <c r="N295" s="29">
        <f>'По платам'!L297*'Состав прибора'!$B$16</f>
        <v>0</v>
      </c>
    </row>
    <row r="296" spans="1:14">
      <c r="A296" s="16" t="s">
        <v>22</v>
      </c>
      <c r="C296" s="18" t="s">
        <v>156</v>
      </c>
      <c r="D296" s="25">
        <f t="shared" si="4"/>
        <v>0</v>
      </c>
      <c r="E296" s="29">
        <f>'По платам'!C298*$E$1</f>
        <v>0</v>
      </c>
      <c r="F296" s="29">
        <f>'По платам'!D298*$F$1</f>
        <v>0</v>
      </c>
      <c r="G296" s="29">
        <f>'По платам'!E298*$G$1</f>
        <v>0</v>
      </c>
      <c r="H296" s="29">
        <f>'По платам'!F298*$H$1</f>
        <v>0</v>
      </c>
      <c r="I296" s="29">
        <f>'По платам'!G298*$I$1</f>
        <v>0</v>
      </c>
      <c r="J296" s="29">
        <f>'По платам'!H298*$J$1</f>
        <v>0</v>
      </c>
      <c r="K296" s="29">
        <f>'По платам'!I298*$K$1</f>
        <v>0</v>
      </c>
      <c r="L296" s="29">
        <f>'По платам'!J298*$L$1</f>
        <v>0</v>
      </c>
      <c r="M296" s="29">
        <f>'По платам'!K298*$M$1</f>
        <v>0</v>
      </c>
      <c r="N296" s="29">
        <f>'По платам'!L298*'Состав прибора'!$B$16</f>
        <v>0</v>
      </c>
    </row>
    <row r="297" spans="1:14">
      <c r="A297" s="16" t="s">
        <v>22</v>
      </c>
      <c r="C297" s="18" t="s">
        <v>54</v>
      </c>
      <c r="D297" s="25">
        <f t="shared" si="4"/>
        <v>3</v>
      </c>
      <c r="E297" s="29">
        <f>'По платам'!C299*$E$1</f>
        <v>0</v>
      </c>
      <c r="F297" s="29">
        <f>'По платам'!D299*$F$1</f>
        <v>0</v>
      </c>
      <c r="G297" s="29">
        <f>'По платам'!E299*$G$1</f>
        <v>0</v>
      </c>
      <c r="H297" s="29">
        <f>'По платам'!F299*$H$1</f>
        <v>3</v>
      </c>
      <c r="I297" s="29">
        <f>'По платам'!G299*$I$1</f>
        <v>0</v>
      </c>
      <c r="J297" s="29">
        <f>'По платам'!H299*$J$1</f>
        <v>0</v>
      </c>
      <c r="K297" s="29">
        <f>'По платам'!I299*$K$1</f>
        <v>0</v>
      </c>
      <c r="L297" s="29">
        <f>'По платам'!J299*$L$1</f>
        <v>0</v>
      </c>
      <c r="M297" s="29">
        <f>'По платам'!K299*$M$1</f>
        <v>0</v>
      </c>
      <c r="N297" s="29">
        <f>'По платам'!L299*'Состав прибора'!$B$16</f>
        <v>0</v>
      </c>
    </row>
    <row r="298" spans="1:14">
      <c r="A298" s="16" t="s">
        <v>22</v>
      </c>
      <c r="C298" s="18" t="s">
        <v>35</v>
      </c>
      <c r="D298" s="25">
        <f t="shared" si="4"/>
        <v>18</v>
      </c>
      <c r="E298" s="29">
        <f>'По платам'!C300*$E$1</f>
        <v>0</v>
      </c>
      <c r="F298" s="29">
        <f>'По платам'!D300*$F$1</f>
        <v>0</v>
      </c>
      <c r="G298" s="29">
        <f>'По платам'!E300*$G$1</f>
        <v>0</v>
      </c>
      <c r="H298" s="29">
        <f>'По платам'!F300*$H$1</f>
        <v>10</v>
      </c>
      <c r="I298" s="29">
        <f>'По платам'!G300*$I$1</f>
        <v>0</v>
      </c>
      <c r="J298" s="29">
        <f>'По платам'!H300*$J$1</f>
        <v>8</v>
      </c>
      <c r="K298" s="29">
        <f>'По платам'!I300*$K$1</f>
        <v>0</v>
      </c>
      <c r="L298" s="29">
        <f>'По платам'!J300*$L$1</f>
        <v>0</v>
      </c>
      <c r="M298" s="29">
        <f>'По платам'!K300*$M$1</f>
        <v>0</v>
      </c>
      <c r="N298" s="29">
        <f>'По платам'!L300*'Состав прибора'!$B$16</f>
        <v>0</v>
      </c>
    </row>
    <row r="299" spans="1:14">
      <c r="A299" s="16" t="s">
        <v>22</v>
      </c>
      <c r="C299" s="18" t="s">
        <v>25</v>
      </c>
      <c r="D299" s="25">
        <f t="shared" si="4"/>
        <v>62</v>
      </c>
      <c r="E299" s="29">
        <f>'По платам'!C301*$E$1</f>
        <v>0</v>
      </c>
      <c r="F299" s="29">
        <f>'По платам'!D301*$F$1</f>
        <v>0</v>
      </c>
      <c r="G299" s="29">
        <f>'По платам'!E301*$G$1</f>
        <v>0</v>
      </c>
      <c r="H299" s="29">
        <f>'По платам'!F301*$H$1</f>
        <v>37</v>
      </c>
      <c r="I299" s="29">
        <f>'По платам'!G301*$I$1</f>
        <v>4</v>
      </c>
      <c r="J299" s="29">
        <f>'По платам'!H301*$J$1</f>
        <v>11</v>
      </c>
      <c r="K299" s="29">
        <f>'По платам'!I301*$K$1</f>
        <v>5</v>
      </c>
      <c r="L299" s="29">
        <f>'По платам'!J301*$L$1</f>
        <v>5</v>
      </c>
      <c r="M299" s="29">
        <f>'По платам'!K301*$M$1</f>
        <v>0</v>
      </c>
      <c r="N299" s="29">
        <f>'По платам'!L301*'Состав прибора'!$B$16</f>
        <v>0</v>
      </c>
    </row>
    <row r="300" spans="1:14">
      <c r="A300" s="16" t="s">
        <v>22</v>
      </c>
      <c r="C300" s="18" t="s">
        <v>2164</v>
      </c>
      <c r="D300" s="25">
        <f t="shared" si="4"/>
        <v>0</v>
      </c>
      <c r="E300" s="29">
        <f>'По платам'!C302*$E$1</f>
        <v>0</v>
      </c>
      <c r="F300" s="29">
        <f>'По платам'!D302*$F$1</f>
        <v>0</v>
      </c>
      <c r="G300" s="29">
        <f>'По платам'!E302*$G$1</f>
        <v>0</v>
      </c>
      <c r="H300" s="29">
        <f>'По платам'!F302*$H$1</f>
        <v>0</v>
      </c>
      <c r="I300" s="29">
        <f>'По платам'!G302*$I$1</f>
        <v>0</v>
      </c>
      <c r="J300" s="29">
        <f>'По платам'!H302*$J$1</f>
        <v>0</v>
      </c>
      <c r="K300" s="29">
        <f>'По платам'!I302*$K$1</f>
        <v>0</v>
      </c>
      <c r="L300" s="29">
        <f>'По платам'!J302*$L$1</f>
        <v>0</v>
      </c>
      <c r="M300" s="29">
        <f>'По платам'!K302*$M$1</f>
        <v>0</v>
      </c>
      <c r="N300" s="29">
        <f>'По платам'!L302*'Состав прибора'!$B$16</f>
        <v>0</v>
      </c>
    </row>
    <row r="301" spans="1:14">
      <c r="A301" s="16" t="s">
        <v>22</v>
      </c>
      <c r="C301" s="18" t="s">
        <v>1548</v>
      </c>
      <c r="D301" s="25">
        <f t="shared" si="4"/>
        <v>0</v>
      </c>
      <c r="E301" s="29">
        <f>'По платам'!C303*$E$1</f>
        <v>0</v>
      </c>
      <c r="F301" s="29">
        <f>'По платам'!D303*$F$1</f>
        <v>0</v>
      </c>
      <c r="G301" s="29">
        <f>'По платам'!E303*$G$1</f>
        <v>0</v>
      </c>
      <c r="H301" s="29">
        <f>'По платам'!F303*$H$1</f>
        <v>0</v>
      </c>
      <c r="I301" s="29">
        <f>'По платам'!G303*$I$1</f>
        <v>0</v>
      </c>
      <c r="J301" s="29">
        <f>'По платам'!H303*$J$1</f>
        <v>0</v>
      </c>
      <c r="K301" s="29">
        <f>'По платам'!I303*$K$1</f>
        <v>0</v>
      </c>
      <c r="L301" s="29">
        <f>'По платам'!J303*$L$1</f>
        <v>0</v>
      </c>
      <c r="M301" s="29">
        <f>'По платам'!K303*$M$1</f>
        <v>0</v>
      </c>
      <c r="N301" s="29">
        <f>'По платам'!L303*'Состав прибора'!$B$16</f>
        <v>0</v>
      </c>
    </row>
    <row r="302" spans="1:14">
      <c r="A302" s="16" t="s">
        <v>22</v>
      </c>
      <c r="C302" s="18" t="s">
        <v>146</v>
      </c>
      <c r="D302" s="25">
        <f t="shared" si="4"/>
        <v>9</v>
      </c>
      <c r="E302" s="29">
        <f>'По платам'!C304*$E$1</f>
        <v>0</v>
      </c>
      <c r="F302" s="29">
        <f>'По платам'!D304*$F$1</f>
        <v>0</v>
      </c>
      <c r="G302" s="29">
        <f>'По платам'!E304*$G$1</f>
        <v>0</v>
      </c>
      <c r="H302" s="29">
        <f>'По платам'!F304*$H$1</f>
        <v>0</v>
      </c>
      <c r="I302" s="29">
        <f>'По платам'!G304*$I$1</f>
        <v>6</v>
      </c>
      <c r="J302" s="29">
        <f>'По платам'!H304*$J$1</f>
        <v>0</v>
      </c>
      <c r="K302" s="29">
        <f>'По платам'!I304*$K$1</f>
        <v>0</v>
      </c>
      <c r="L302" s="29">
        <f>'По платам'!J304*$L$1</f>
        <v>3</v>
      </c>
      <c r="M302" s="29">
        <f>'По платам'!K304*$M$1</f>
        <v>0</v>
      </c>
      <c r="N302" s="29">
        <f>'По платам'!L304*'Состав прибора'!$B$16</f>
        <v>0</v>
      </c>
    </row>
    <row r="303" spans="1:14">
      <c r="A303" s="16" t="s">
        <v>22</v>
      </c>
      <c r="C303" s="18" t="s">
        <v>2172</v>
      </c>
      <c r="D303" s="25">
        <f t="shared" si="4"/>
        <v>0</v>
      </c>
      <c r="E303" s="29">
        <f>'По платам'!C305*$E$1</f>
        <v>0</v>
      </c>
      <c r="F303" s="29">
        <f>'По платам'!D305*$F$1</f>
        <v>0</v>
      </c>
      <c r="G303" s="29">
        <f>'По платам'!E305*$G$1</f>
        <v>0</v>
      </c>
      <c r="H303" s="29">
        <f>'По платам'!F305*$H$1</f>
        <v>0</v>
      </c>
      <c r="I303" s="29">
        <f>'По платам'!G305*$I$1</f>
        <v>0</v>
      </c>
      <c r="J303" s="29">
        <f>'По платам'!H305*$J$1</f>
        <v>0</v>
      </c>
      <c r="K303" s="29">
        <f>'По платам'!I305*$K$1</f>
        <v>0</v>
      </c>
      <c r="L303" s="29">
        <f>'По платам'!J305*$L$1</f>
        <v>0</v>
      </c>
      <c r="M303" s="29">
        <f>'По платам'!K305*$M$1</f>
        <v>0</v>
      </c>
      <c r="N303" s="29">
        <f>'По платам'!L305*'Состав прибора'!$B$16</f>
        <v>0</v>
      </c>
    </row>
    <row r="304" spans="1:14">
      <c r="A304" s="16" t="s">
        <v>22</v>
      </c>
      <c r="C304" s="18" t="s">
        <v>2152</v>
      </c>
      <c r="D304" s="25">
        <f t="shared" si="4"/>
        <v>0</v>
      </c>
      <c r="E304" s="29">
        <f>'По платам'!C306*$E$1</f>
        <v>0</v>
      </c>
      <c r="F304" s="29">
        <f>'По платам'!D306*$F$1</f>
        <v>0</v>
      </c>
      <c r="G304" s="29">
        <f>'По платам'!E306*$G$1</f>
        <v>0</v>
      </c>
      <c r="H304" s="29">
        <f>'По платам'!F306*$H$1</f>
        <v>0</v>
      </c>
      <c r="I304" s="29">
        <f>'По платам'!G306*$I$1</f>
        <v>0</v>
      </c>
      <c r="J304" s="29">
        <f>'По платам'!H306*$J$1</f>
        <v>0</v>
      </c>
      <c r="K304" s="29">
        <f>'По платам'!I306*$K$1</f>
        <v>0</v>
      </c>
      <c r="L304" s="29">
        <f>'По платам'!J306*$L$1</f>
        <v>0</v>
      </c>
      <c r="M304" s="29">
        <f>'По платам'!K306*$M$1</f>
        <v>0</v>
      </c>
      <c r="N304" s="29">
        <f>'По платам'!L306*'Состав прибора'!$B$16</f>
        <v>0</v>
      </c>
    </row>
    <row r="305" spans="1:14">
      <c r="A305" s="16" t="s">
        <v>22</v>
      </c>
      <c r="C305" s="18" t="s">
        <v>1289</v>
      </c>
      <c r="D305" s="25">
        <f t="shared" si="4"/>
        <v>3</v>
      </c>
      <c r="E305" s="29">
        <f>'По платам'!C307*$E$1</f>
        <v>0</v>
      </c>
      <c r="F305" s="29">
        <f>'По платам'!D307*$F$1</f>
        <v>0</v>
      </c>
      <c r="G305" s="29">
        <f>'По платам'!E307*$G$1</f>
        <v>0</v>
      </c>
      <c r="H305" s="29">
        <f>'По платам'!F307*$H$1</f>
        <v>3</v>
      </c>
      <c r="I305" s="29">
        <f>'По платам'!G307*$I$1</f>
        <v>0</v>
      </c>
      <c r="J305" s="29">
        <f>'По платам'!H307*$J$1</f>
        <v>0</v>
      </c>
      <c r="K305" s="29">
        <f>'По платам'!I307*$K$1</f>
        <v>0</v>
      </c>
      <c r="L305" s="29">
        <f>'По платам'!J307*$L$1</f>
        <v>0</v>
      </c>
      <c r="M305" s="29">
        <f>'По платам'!K307*$M$1</f>
        <v>0</v>
      </c>
      <c r="N305" s="29">
        <f>'По платам'!L307*'Состав прибора'!$B$16</f>
        <v>0</v>
      </c>
    </row>
    <row r="306" spans="1:14">
      <c r="A306" s="16" t="s">
        <v>22</v>
      </c>
      <c r="C306" s="18" t="s">
        <v>2176</v>
      </c>
      <c r="D306" s="25">
        <f t="shared" si="4"/>
        <v>0</v>
      </c>
      <c r="E306" s="29">
        <f>'По платам'!C308*$E$1</f>
        <v>0</v>
      </c>
      <c r="F306" s="29">
        <f>'По платам'!D308*$F$1</f>
        <v>0</v>
      </c>
      <c r="G306" s="29">
        <f>'По платам'!E308*$G$1</f>
        <v>0</v>
      </c>
      <c r="H306" s="29">
        <f>'По платам'!F308*$H$1</f>
        <v>0</v>
      </c>
      <c r="I306" s="29">
        <f>'По платам'!G308*$I$1</f>
        <v>0</v>
      </c>
      <c r="J306" s="29">
        <f>'По платам'!H308*$J$1</f>
        <v>0</v>
      </c>
      <c r="K306" s="29">
        <f>'По платам'!I308*$K$1</f>
        <v>0</v>
      </c>
      <c r="L306" s="29">
        <f>'По платам'!J308*$L$1</f>
        <v>0</v>
      </c>
      <c r="M306" s="29">
        <f>'По платам'!K308*$M$1</f>
        <v>0</v>
      </c>
      <c r="N306" s="29">
        <f>'По платам'!L308*'Состав прибора'!$B$16</f>
        <v>0</v>
      </c>
    </row>
    <row r="307" spans="1:14">
      <c r="A307" s="16" t="s">
        <v>22</v>
      </c>
      <c r="C307" s="18" t="s">
        <v>2160</v>
      </c>
      <c r="D307" s="25">
        <f t="shared" si="4"/>
        <v>0</v>
      </c>
      <c r="E307" s="29">
        <f>'По платам'!C309*$E$1</f>
        <v>0</v>
      </c>
      <c r="F307" s="29">
        <f>'По платам'!D309*$F$1</f>
        <v>0</v>
      </c>
      <c r="G307" s="29">
        <f>'По платам'!E309*$G$1</f>
        <v>0</v>
      </c>
      <c r="H307" s="29">
        <f>'По платам'!F309*$H$1</f>
        <v>0</v>
      </c>
      <c r="I307" s="29">
        <f>'По платам'!G309*$I$1</f>
        <v>0</v>
      </c>
      <c r="J307" s="29">
        <f>'По платам'!H309*$J$1</f>
        <v>0</v>
      </c>
      <c r="K307" s="29">
        <f>'По платам'!I309*$K$1</f>
        <v>0</v>
      </c>
      <c r="L307" s="29">
        <f>'По платам'!J309*$L$1</f>
        <v>0</v>
      </c>
      <c r="M307" s="29">
        <f>'По платам'!K309*$M$1</f>
        <v>0</v>
      </c>
      <c r="N307" s="29">
        <f>'По платам'!L309*'Состав прибора'!$B$16</f>
        <v>0</v>
      </c>
    </row>
    <row r="308" spans="1:14">
      <c r="A308" s="16" t="s">
        <v>22</v>
      </c>
      <c r="C308" s="18" t="s">
        <v>2156</v>
      </c>
      <c r="D308" s="25">
        <f t="shared" si="4"/>
        <v>0</v>
      </c>
      <c r="E308" s="29">
        <f>'По платам'!C310*$E$1</f>
        <v>0</v>
      </c>
      <c r="F308" s="29">
        <f>'По платам'!D310*$F$1</f>
        <v>0</v>
      </c>
      <c r="G308" s="29">
        <f>'По платам'!E310*$G$1</f>
        <v>0</v>
      </c>
      <c r="H308" s="29">
        <f>'По платам'!F310*$H$1</f>
        <v>0</v>
      </c>
      <c r="I308" s="29">
        <f>'По платам'!G310*$I$1</f>
        <v>0</v>
      </c>
      <c r="J308" s="29">
        <f>'По платам'!H310*$J$1</f>
        <v>0</v>
      </c>
      <c r="K308" s="29">
        <f>'По платам'!I310*$K$1</f>
        <v>0</v>
      </c>
      <c r="L308" s="29">
        <f>'По платам'!J310*$L$1</f>
        <v>0</v>
      </c>
      <c r="M308" s="29">
        <f>'По платам'!K310*$M$1</f>
        <v>0</v>
      </c>
      <c r="N308" s="29">
        <f>'По платам'!L310*'Состав прибора'!$B$16</f>
        <v>0</v>
      </c>
    </row>
    <row r="309" spans="1:14">
      <c r="A309" s="16" t="s">
        <v>22</v>
      </c>
      <c r="C309" s="18" t="s">
        <v>38</v>
      </c>
      <c r="D309" s="25">
        <f t="shared" si="4"/>
        <v>10</v>
      </c>
      <c r="E309" s="29">
        <f>'По платам'!C311*$E$1</f>
        <v>0</v>
      </c>
      <c r="F309" s="29">
        <f>'По платам'!D311*$F$1</f>
        <v>0</v>
      </c>
      <c r="G309" s="29">
        <f>'По платам'!E311*$G$1</f>
        <v>0</v>
      </c>
      <c r="H309" s="29">
        <f>'По платам'!F311*$H$1</f>
        <v>0</v>
      </c>
      <c r="I309" s="29">
        <f>'По платам'!G311*$I$1</f>
        <v>4</v>
      </c>
      <c r="J309" s="29">
        <f>'По платам'!H311*$J$1</f>
        <v>0</v>
      </c>
      <c r="K309" s="29">
        <f>'По платам'!I311*$K$1</f>
        <v>2</v>
      </c>
      <c r="L309" s="29">
        <f>'По платам'!J311*$L$1</f>
        <v>4</v>
      </c>
      <c r="M309" s="29">
        <f>'По платам'!K311*$M$1</f>
        <v>0</v>
      </c>
      <c r="N309" s="29">
        <f>'По платам'!L311*'Состав прибора'!$B$16</f>
        <v>0</v>
      </c>
    </row>
    <row r="310" spans="1:14">
      <c r="A310" s="16" t="s">
        <v>22</v>
      </c>
      <c r="C310" s="18" t="s">
        <v>51</v>
      </c>
      <c r="D310" s="25">
        <f t="shared" si="4"/>
        <v>55</v>
      </c>
      <c r="E310" s="29">
        <f>'По платам'!C312*$E$1</f>
        <v>0</v>
      </c>
      <c r="F310" s="29">
        <f>'По платам'!D312*$F$1</f>
        <v>0</v>
      </c>
      <c r="G310" s="29">
        <f>'По платам'!E312*$G$1</f>
        <v>0</v>
      </c>
      <c r="H310" s="29">
        <f>'По платам'!F312*$H$1</f>
        <v>0</v>
      </c>
      <c r="I310" s="29">
        <f>'По платам'!G312*$I$1</f>
        <v>16</v>
      </c>
      <c r="J310" s="29">
        <f>'По платам'!H312*$J$1</f>
        <v>29</v>
      </c>
      <c r="K310" s="29">
        <f>'По платам'!I312*$K$1</f>
        <v>0</v>
      </c>
      <c r="L310" s="29">
        <f>'По платам'!J312*$L$1</f>
        <v>10</v>
      </c>
      <c r="M310" s="29">
        <f>'По платам'!K312*$M$1</f>
        <v>0</v>
      </c>
      <c r="N310" s="29">
        <f>'По платам'!L312*'Состав прибора'!$B$16</f>
        <v>0</v>
      </c>
    </row>
    <row r="311" spans="1:14">
      <c r="A311" s="16" t="s">
        <v>22</v>
      </c>
      <c r="C311" s="18" t="s">
        <v>2147</v>
      </c>
      <c r="D311" s="25">
        <f t="shared" si="4"/>
        <v>0</v>
      </c>
      <c r="E311" s="29">
        <f>'По платам'!C313*$E$1</f>
        <v>0</v>
      </c>
      <c r="F311" s="29">
        <f>'По платам'!D313*$F$1</f>
        <v>0</v>
      </c>
      <c r="G311" s="29">
        <f>'По платам'!E313*$G$1</f>
        <v>0</v>
      </c>
      <c r="H311" s="29">
        <f>'По платам'!F313*$H$1</f>
        <v>0</v>
      </c>
      <c r="I311" s="29">
        <f>'По платам'!G313*$I$1</f>
        <v>0</v>
      </c>
      <c r="J311" s="29">
        <f>'По платам'!H313*$J$1</f>
        <v>0</v>
      </c>
      <c r="K311" s="29">
        <f>'По платам'!I313*$K$1</f>
        <v>0</v>
      </c>
      <c r="L311" s="29">
        <f>'По платам'!J313*$L$1</f>
        <v>0</v>
      </c>
      <c r="M311" s="29">
        <f>'По платам'!K313*$M$1</f>
        <v>0</v>
      </c>
      <c r="N311" s="29">
        <f>'По платам'!L313*'Состав прибора'!$B$16</f>
        <v>0</v>
      </c>
    </row>
    <row r="312" spans="1:14">
      <c r="A312" s="16" t="s">
        <v>22</v>
      </c>
      <c r="C312" s="18" t="s">
        <v>1304</v>
      </c>
      <c r="D312" s="25">
        <f t="shared" si="4"/>
        <v>1</v>
      </c>
      <c r="E312" s="29">
        <f>'По платам'!C314*$E$1</f>
        <v>0</v>
      </c>
      <c r="F312" s="29">
        <f>'По платам'!D314*$F$1</f>
        <v>0</v>
      </c>
      <c r="G312" s="29">
        <f>'По платам'!E314*$G$1</f>
        <v>0</v>
      </c>
      <c r="H312" s="29">
        <f>'По платам'!F314*$H$1</f>
        <v>1</v>
      </c>
      <c r="I312" s="29">
        <f>'По платам'!G314*$I$1</f>
        <v>0</v>
      </c>
      <c r="J312" s="29">
        <f>'По платам'!H314*$J$1</f>
        <v>0</v>
      </c>
      <c r="K312" s="29">
        <f>'По платам'!I314*$K$1</f>
        <v>0</v>
      </c>
      <c r="L312" s="29">
        <f>'По платам'!J314*$L$1</f>
        <v>0</v>
      </c>
      <c r="M312" s="29">
        <f>'По платам'!K314*$M$1</f>
        <v>0</v>
      </c>
      <c r="N312" s="29">
        <f>'По платам'!L314*'Состав прибора'!$B$16</f>
        <v>0</v>
      </c>
    </row>
    <row r="313" spans="1:14">
      <c r="A313" s="16" t="s">
        <v>22</v>
      </c>
      <c r="C313" s="18" t="s">
        <v>1326</v>
      </c>
      <c r="D313" s="25">
        <f t="shared" si="4"/>
        <v>4</v>
      </c>
      <c r="E313" s="29">
        <f>'По платам'!C315*$E$1</f>
        <v>0</v>
      </c>
      <c r="F313" s="29">
        <f>'По платам'!D315*$F$1</f>
        <v>0</v>
      </c>
      <c r="G313" s="29">
        <f>'По платам'!E315*$G$1</f>
        <v>0</v>
      </c>
      <c r="H313" s="29">
        <f>'По платам'!F315*$H$1</f>
        <v>4</v>
      </c>
      <c r="I313" s="29">
        <f>'По платам'!G315*$I$1</f>
        <v>0</v>
      </c>
      <c r="J313" s="29">
        <f>'По платам'!H315*$J$1</f>
        <v>0</v>
      </c>
      <c r="K313" s="29">
        <f>'По платам'!I315*$K$1</f>
        <v>0</v>
      </c>
      <c r="L313" s="29">
        <f>'По платам'!J315*$L$1</f>
        <v>0</v>
      </c>
      <c r="M313" s="29">
        <f>'По платам'!K315*$M$1</f>
        <v>0</v>
      </c>
      <c r="N313" s="29">
        <f>'По платам'!L315*'Состав прибора'!$B$16</f>
        <v>0</v>
      </c>
    </row>
    <row r="314" spans="1:14">
      <c r="A314" s="16" t="s">
        <v>22</v>
      </c>
      <c r="C314" s="18" t="s">
        <v>1108</v>
      </c>
      <c r="D314" s="25">
        <f t="shared" si="4"/>
        <v>5</v>
      </c>
      <c r="E314" s="29">
        <f>'По платам'!C316*$E$1</f>
        <v>0</v>
      </c>
      <c r="F314" s="29">
        <f>'По платам'!D316*$F$1</f>
        <v>0</v>
      </c>
      <c r="G314" s="29">
        <f>'По платам'!E316*$G$1</f>
        <v>0</v>
      </c>
      <c r="H314" s="29">
        <f>'По платам'!F316*$H$1</f>
        <v>1</v>
      </c>
      <c r="I314" s="29">
        <f>'По платам'!G316*$I$1</f>
        <v>0</v>
      </c>
      <c r="J314" s="29">
        <f>'По платам'!H316*$J$1</f>
        <v>4</v>
      </c>
      <c r="K314" s="29">
        <f>'По платам'!I316*$K$1</f>
        <v>0</v>
      </c>
      <c r="L314" s="29">
        <f>'По платам'!J316*$L$1</f>
        <v>0</v>
      </c>
      <c r="M314" s="29">
        <f>'По платам'!K316*$M$1</f>
        <v>0</v>
      </c>
      <c r="N314" s="29">
        <f>'По платам'!L316*'Состав прибора'!$B$16</f>
        <v>0</v>
      </c>
    </row>
    <row r="315" spans="1:14">
      <c r="A315" s="16" t="s">
        <v>22</v>
      </c>
      <c r="C315" s="18" t="s">
        <v>306</v>
      </c>
      <c r="D315" s="25">
        <f t="shared" si="4"/>
        <v>3</v>
      </c>
      <c r="E315" s="29">
        <f>'По платам'!C317*$E$1</f>
        <v>0</v>
      </c>
      <c r="F315" s="29">
        <f>'По платам'!D317*$F$1</f>
        <v>0</v>
      </c>
      <c r="G315" s="29">
        <f>'По платам'!E317*$G$1</f>
        <v>0</v>
      </c>
      <c r="H315" s="29">
        <f>'По платам'!F317*$H$1</f>
        <v>0</v>
      </c>
      <c r="I315" s="29">
        <f>'По платам'!G317*$I$1</f>
        <v>0</v>
      </c>
      <c r="J315" s="29">
        <f>'По платам'!H317*$J$1</f>
        <v>0</v>
      </c>
      <c r="K315" s="29">
        <f>'По платам'!I317*$K$1</f>
        <v>2</v>
      </c>
      <c r="L315" s="29">
        <f>'По платам'!J317*$L$1</f>
        <v>1</v>
      </c>
      <c r="M315" s="29">
        <f>'По платам'!K317*$M$1</f>
        <v>0</v>
      </c>
      <c r="N315" s="29">
        <f>'По платам'!L317*'Состав прибора'!$B$16</f>
        <v>0</v>
      </c>
    </row>
    <row r="316" spans="1:14">
      <c r="A316" s="16" t="s">
        <v>22</v>
      </c>
      <c r="C316" s="18" t="s">
        <v>41</v>
      </c>
      <c r="D316" s="25">
        <f t="shared" si="4"/>
        <v>1</v>
      </c>
      <c r="E316" s="29">
        <f>'По платам'!C318*$E$1</f>
        <v>0</v>
      </c>
      <c r="F316" s="29">
        <f>'По платам'!D318*$F$1</f>
        <v>0</v>
      </c>
      <c r="G316" s="29">
        <f>'По платам'!E318*$G$1</f>
        <v>0</v>
      </c>
      <c r="H316" s="29">
        <f>'По платам'!F318*$H$1</f>
        <v>0</v>
      </c>
      <c r="I316" s="29">
        <f>'По платам'!G318*$I$1</f>
        <v>0</v>
      </c>
      <c r="J316" s="29">
        <f>'По платам'!H318*$J$1</f>
        <v>0</v>
      </c>
      <c r="K316" s="29">
        <f>'По платам'!I318*$K$1</f>
        <v>0</v>
      </c>
      <c r="L316" s="29">
        <f>'По платам'!J318*$L$1</f>
        <v>1</v>
      </c>
      <c r="M316" s="29">
        <f>'По платам'!K318*$M$1</f>
        <v>0</v>
      </c>
      <c r="N316" s="29">
        <f>'По платам'!L318*'Состав прибора'!$B$16</f>
        <v>0</v>
      </c>
    </row>
    <row r="317" spans="1:14">
      <c r="A317" s="16" t="s">
        <v>22</v>
      </c>
      <c r="C317" s="18" t="s">
        <v>2141</v>
      </c>
      <c r="D317" s="25">
        <f t="shared" si="4"/>
        <v>0</v>
      </c>
      <c r="E317" s="29">
        <f>'По платам'!C319*$E$1</f>
        <v>0</v>
      </c>
      <c r="F317" s="29">
        <f>'По платам'!D319*$F$1</f>
        <v>0</v>
      </c>
      <c r="G317" s="29">
        <f>'По платам'!E319*$G$1</f>
        <v>0</v>
      </c>
      <c r="H317" s="29">
        <f>'По платам'!F319*$H$1</f>
        <v>0</v>
      </c>
      <c r="I317" s="29">
        <f>'По платам'!G319*$I$1</f>
        <v>0</v>
      </c>
      <c r="J317" s="29">
        <f>'По платам'!H319*$J$1</f>
        <v>0</v>
      </c>
      <c r="K317" s="29">
        <f>'По платам'!I319*$K$1</f>
        <v>0</v>
      </c>
      <c r="L317" s="29">
        <f>'По платам'!J319*$L$1</f>
        <v>0</v>
      </c>
      <c r="M317" s="29">
        <f>'По платам'!K319*$M$1</f>
        <v>0</v>
      </c>
      <c r="N317" s="29">
        <f>'По платам'!L319*'Состав прибора'!$B$16</f>
        <v>0</v>
      </c>
    </row>
    <row r="318" spans="1:14">
      <c r="A318" s="16" t="s">
        <v>22</v>
      </c>
      <c r="C318" s="18" t="s">
        <v>1560</v>
      </c>
      <c r="D318" s="25">
        <f t="shared" si="4"/>
        <v>0</v>
      </c>
      <c r="E318" s="29">
        <f>'По платам'!C320*$E$1</f>
        <v>0</v>
      </c>
      <c r="F318" s="29">
        <f>'По платам'!D320*$F$1</f>
        <v>0</v>
      </c>
      <c r="G318" s="29">
        <f>'По платам'!E320*$G$1</f>
        <v>0</v>
      </c>
      <c r="H318" s="29">
        <f>'По платам'!F320*$H$1</f>
        <v>0</v>
      </c>
      <c r="I318" s="29">
        <f>'По платам'!G320*$I$1</f>
        <v>0</v>
      </c>
      <c r="J318" s="29">
        <f>'По платам'!H320*$J$1</f>
        <v>0</v>
      </c>
      <c r="K318" s="29">
        <f>'По платам'!I320*$K$1</f>
        <v>0</v>
      </c>
      <c r="L318" s="29">
        <f>'По платам'!J320*$L$1</f>
        <v>0</v>
      </c>
      <c r="M318" s="29">
        <f>'По платам'!K320*$M$1</f>
        <v>0</v>
      </c>
      <c r="N318" s="29">
        <f>'По платам'!L320*'Состав прибора'!$B$16</f>
        <v>0</v>
      </c>
    </row>
    <row r="319" spans="1:14">
      <c r="A319" s="16" t="s">
        <v>22</v>
      </c>
      <c r="C319" s="18" t="s">
        <v>2095</v>
      </c>
      <c r="D319" s="25">
        <f t="shared" si="4"/>
        <v>0</v>
      </c>
      <c r="E319" s="29">
        <f>'По платам'!C321*$E$1</f>
        <v>0</v>
      </c>
      <c r="F319" s="29">
        <f>'По платам'!D321*$F$1</f>
        <v>0</v>
      </c>
      <c r="G319" s="29">
        <f>'По платам'!E321*$G$1</f>
        <v>0</v>
      </c>
      <c r="H319" s="29">
        <f>'По платам'!F321*$H$1</f>
        <v>0</v>
      </c>
      <c r="I319" s="29">
        <f>'По платам'!G321*$I$1</f>
        <v>0</v>
      </c>
      <c r="J319" s="29">
        <f>'По платам'!H321*$J$1</f>
        <v>0</v>
      </c>
      <c r="K319" s="29">
        <f>'По платам'!I321*$K$1</f>
        <v>0</v>
      </c>
      <c r="L319" s="29">
        <f>'По платам'!J321*$L$1</f>
        <v>0</v>
      </c>
      <c r="M319" s="29">
        <f>'По платам'!K321*$M$1</f>
        <v>0</v>
      </c>
      <c r="N319" s="29">
        <f>'По платам'!L321*'Состав прибора'!$B$16</f>
        <v>0</v>
      </c>
    </row>
    <row r="320" spans="1:14">
      <c r="A320" s="16" t="s">
        <v>22</v>
      </c>
      <c r="C320" s="18" t="s">
        <v>44</v>
      </c>
      <c r="D320" s="25">
        <f t="shared" si="4"/>
        <v>6</v>
      </c>
      <c r="E320" s="29">
        <f>'По платам'!C322*$E$1</f>
        <v>0</v>
      </c>
      <c r="F320" s="29">
        <f>'По платам'!D322*$F$1</f>
        <v>0</v>
      </c>
      <c r="G320" s="29">
        <f>'По платам'!E322*$G$1</f>
        <v>0</v>
      </c>
      <c r="H320" s="29">
        <f>'По платам'!F322*$H$1</f>
        <v>6</v>
      </c>
      <c r="I320" s="29">
        <f>'По платам'!G322*$I$1</f>
        <v>0</v>
      </c>
      <c r="J320" s="29">
        <f>'По платам'!H322*$J$1</f>
        <v>0</v>
      </c>
      <c r="K320" s="29">
        <f>'По платам'!I322*$K$1</f>
        <v>0</v>
      </c>
      <c r="L320" s="29">
        <f>'По платам'!J322*$L$1</f>
        <v>0</v>
      </c>
      <c r="M320" s="29">
        <f>'По платам'!K322*$M$1</f>
        <v>0</v>
      </c>
      <c r="N320" s="29">
        <f>'По платам'!L322*'Состав прибора'!$B$16</f>
        <v>0</v>
      </c>
    </row>
    <row r="321" spans="1:14">
      <c r="A321" s="16" t="s">
        <v>22</v>
      </c>
      <c r="C321" s="18" t="s">
        <v>1504</v>
      </c>
      <c r="D321" s="25">
        <f t="shared" si="4"/>
        <v>0</v>
      </c>
      <c r="E321" s="29">
        <f>'По платам'!C323*$E$1</f>
        <v>0</v>
      </c>
      <c r="F321" s="29">
        <f>'По платам'!D323*$F$1</f>
        <v>0</v>
      </c>
      <c r="G321" s="29">
        <f>'По платам'!E323*$G$1</f>
        <v>0</v>
      </c>
      <c r="H321" s="29">
        <f>'По платам'!F323*$H$1</f>
        <v>0</v>
      </c>
      <c r="I321" s="29">
        <f>'По платам'!G323*$I$1</f>
        <v>0</v>
      </c>
      <c r="J321" s="29">
        <f>'По платам'!H323*$J$1</f>
        <v>0</v>
      </c>
      <c r="K321" s="29">
        <f>'По платам'!I323*$K$1</f>
        <v>0</v>
      </c>
      <c r="L321" s="29">
        <f>'По платам'!J323*$L$1</f>
        <v>0</v>
      </c>
      <c r="M321" s="29">
        <f>'По платам'!K323*$M$1</f>
        <v>0</v>
      </c>
      <c r="N321" s="29">
        <f>'По платам'!L323*'Состав прибора'!$B$16</f>
        <v>0</v>
      </c>
    </row>
    <row r="322" spans="1:14">
      <c r="A322" s="16" t="s">
        <v>22</v>
      </c>
      <c r="C322" s="18" t="s">
        <v>21</v>
      </c>
      <c r="D322" s="25">
        <f t="shared" ref="D322:D385" si="5">SUM(E322:N322)</f>
        <v>54</v>
      </c>
      <c r="E322" s="29">
        <f>'По платам'!C324*$E$1</f>
        <v>0</v>
      </c>
      <c r="F322" s="29">
        <f>'По платам'!D324*$F$1</f>
        <v>0</v>
      </c>
      <c r="G322" s="29">
        <f>'По платам'!E324*$G$1</f>
        <v>0</v>
      </c>
      <c r="H322" s="29">
        <f>'По платам'!F324*$H$1</f>
        <v>3</v>
      </c>
      <c r="I322" s="29">
        <f>'По платам'!G324*$I$1</f>
        <v>20</v>
      </c>
      <c r="J322" s="29">
        <f>'По платам'!H324*$J$1</f>
        <v>0</v>
      </c>
      <c r="K322" s="29">
        <f>'По платам'!I324*$K$1</f>
        <v>14</v>
      </c>
      <c r="L322" s="29">
        <f>'По платам'!J324*$L$1</f>
        <v>17</v>
      </c>
      <c r="M322" s="29">
        <f>'По платам'!K324*$M$1</f>
        <v>0</v>
      </c>
      <c r="N322" s="29">
        <f>'По платам'!L324*'Состав прибора'!$B$16</f>
        <v>0</v>
      </c>
    </row>
    <row r="323" spans="1:14">
      <c r="A323" s="16" t="s">
        <v>22</v>
      </c>
      <c r="C323" s="18" t="s">
        <v>620</v>
      </c>
      <c r="D323" s="25">
        <f t="shared" si="5"/>
        <v>12</v>
      </c>
      <c r="E323" s="29">
        <f>'По платам'!C325*$E$1</f>
        <v>0</v>
      </c>
      <c r="F323" s="29">
        <f>'По платам'!D325*$F$1</f>
        <v>0</v>
      </c>
      <c r="G323" s="29">
        <f>'По платам'!E325*$G$1</f>
        <v>0</v>
      </c>
      <c r="H323" s="29">
        <f>'По платам'!F325*$H$1</f>
        <v>0</v>
      </c>
      <c r="I323" s="29">
        <f>'По платам'!G325*$I$1</f>
        <v>0</v>
      </c>
      <c r="J323" s="29">
        <f>'По платам'!H325*$J$1</f>
        <v>0</v>
      </c>
      <c r="K323" s="29">
        <f>'По платам'!I325*$K$1</f>
        <v>12</v>
      </c>
      <c r="L323" s="29">
        <f>'По платам'!J325*$L$1</f>
        <v>0</v>
      </c>
      <c r="M323" s="29">
        <f>'По платам'!K325*$M$1</f>
        <v>0</v>
      </c>
      <c r="N323" s="29">
        <f>'По платам'!L325*'Состав прибора'!$B$16</f>
        <v>0</v>
      </c>
    </row>
    <row r="324" spans="1:14">
      <c r="A324" s="16" t="s">
        <v>22</v>
      </c>
      <c r="C324" s="18" t="s">
        <v>28</v>
      </c>
      <c r="D324" s="25">
        <f t="shared" si="5"/>
        <v>3</v>
      </c>
      <c r="E324" s="29">
        <f>'По платам'!C326*$E$1</f>
        <v>0</v>
      </c>
      <c r="F324" s="29">
        <f>'По платам'!D326*$F$1</f>
        <v>0</v>
      </c>
      <c r="G324" s="29">
        <f>'По платам'!E326*$G$1</f>
        <v>0</v>
      </c>
      <c r="H324" s="29">
        <f>'По платам'!F326*$H$1</f>
        <v>0</v>
      </c>
      <c r="I324" s="29">
        <f>'По платам'!G326*$I$1</f>
        <v>0</v>
      </c>
      <c r="J324" s="29">
        <f>'По платам'!H326*$J$1</f>
        <v>0</v>
      </c>
      <c r="K324" s="29">
        <f>'По платам'!I326*$K$1</f>
        <v>3</v>
      </c>
      <c r="L324" s="29">
        <f>'По платам'!J326*$L$1</f>
        <v>0</v>
      </c>
      <c r="M324" s="29">
        <f>'По платам'!K326*$M$1</f>
        <v>0</v>
      </c>
      <c r="N324" s="29">
        <f>'По платам'!L326*'Состав прибора'!$B$16</f>
        <v>0</v>
      </c>
    </row>
    <row r="325" spans="1:14">
      <c r="A325" s="16" t="s">
        <v>22</v>
      </c>
      <c r="C325" s="18" t="s">
        <v>554</v>
      </c>
      <c r="D325" s="25">
        <f t="shared" si="5"/>
        <v>5</v>
      </c>
      <c r="E325" s="29">
        <f>'По платам'!C327*$E$1</f>
        <v>0</v>
      </c>
      <c r="F325" s="29">
        <f>'По платам'!D327*$F$1</f>
        <v>0</v>
      </c>
      <c r="G325" s="29">
        <f>'По платам'!E327*$G$1</f>
        <v>0</v>
      </c>
      <c r="H325" s="29">
        <f>'По платам'!F327*$H$1</f>
        <v>0</v>
      </c>
      <c r="I325" s="29">
        <f>'По платам'!G327*$I$1</f>
        <v>0</v>
      </c>
      <c r="J325" s="29">
        <f>'По платам'!H327*$J$1</f>
        <v>0</v>
      </c>
      <c r="K325" s="29">
        <f>'По платам'!I327*$K$1</f>
        <v>5</v>
      </c>
      <c r="L325" s="29">
        <f>'По платам'!J327*$L$1</f>
        <v>0</v>
      </c>
      <c r="M325" s="29">
        <f>'По платам'!K327*$M$1</f>
        <v>0</v>
      </c>
      <c r="N325" s="29">
        <f>'По платам'!L327*'Состав прибора'!$B$16</f>
        <v>0</v>
      </c>
    </row>
    <row r="326" spans="1:14">
      <c r="A326" s="16" t="s">
        <v>22</v>
      </c>
      <c r="C326" s="18" t="s">
        <v>2115</v>
      </c>
      <c r="D326" s="25">
        <f t="shared" si="5"/>
        <v>0</v>
      </c>
      <c r="E326" s="29">
        <f>'По платам'!C328*$E$1</f>
        <v>0</v>
      </c>
      <c r="F326" s="29">
        <f>'По платам'!D328*$F$1</f>
        <v>0</v>
      </c>
      <c r="G326" s="29">
        <f>'По платам'!E328*$G$1</f>
        <v>0</v>
      </c>
      <c r="H326" s="29">
        <f>'По платам'!F328*$H$1</f>
        <v>0</v>
      </c>
      <c r="I326" s="29">
        <f>'По платам'!G328*$I$1</f>
        <v>0</v>
      </c>
      <c r="J326" s="29">
        <f>'По платам'!H328*$J$1</f>
        <v>0</v>
      </c>
      <c r="K326" s="29">
        <f>'По платам'!I328*$K$1</f>
        <v>0</v>
      </c>
      <c r="L326" s="29">
        <f>'По платам'!J328*$L$1</f>
        <v>0</v>
      </c>
      <c r="M326" s="29">
        <f>'По платам'!K328*$M$1</f>
        <v>0</v>
      </c>
      <c r="N326" s="29">
        <f>'По платам'!L328*'Состав прибора'!$B$16</f>
        <v>0</v>
      </c>
    </row>
    <row r="327" spans="1:14">
      <c r="A327" s="16" t="s">
        <v>22</v>
      </c>
      <c r="C327" s="18" t="s">
        <v>1313</v>
      </c>
      <c r="D327" s="25">
        <f t="shared" si="5"/>
        <v>7</v>
      </c>
      <c r="E327" s="29">
        <f>'По платам'!C329*$E$1</f>
        <v>0</v>
      </c>
      <c r="F327" s="29">
        <f>'По платам'!D329*$F$1</f>
        <v>0</v>
      </c>
      <c r="G327" s="29">
        <f>'По платам'!E329*$G$1</f>
        <v>0</v>
      </c>
      <c r="H327" s="29">
        <f>'По платам'!F329*$H$1</f>
        <v>7</v>
      </c>
      <c r="I327" s="29">
        <f>'По платам'!G329*$I$1</f>
        <v>0</v>
      </c>
      <c r="J327" s="29">
        <f>'По платам'!H329*$J$1</f>
        <v>0</v>
      </c>
      <c r="K327" s="29">
        <f>'По платам'!I329*$K$1</f>
        <v>0</v>
      </c>
      <c r="L327" s="29">
        <f>'По платам'!J329*$L$1</f>
        <v>0</v>
      </c>
      <c r="M327" s="29">
        <f>'По платам'!K329*$M$1</f>
        <v>0</v>
      </c>
      <c r="N327" s="29">
        <f>'По платам'!L329*'Состав прибора'!$B$16</f>
        <v>0</v>
      </c>
    </row>
    <row r="328" spans="1:14">
      <c r="A328" s="16" t="s">
        <v>22</v>
      </c>
      <c r="C328" s="18" t="s">
        <v>1475</v>
      </c>
      <c r="D328" s="25">
        <f t="shared" si="5"/>
        <v>0</v>
      </c>
      <c r="E328" s="29">
        <f>'По платам'!C330*$E$1</f>
        <v>0</v>
      </c>
      <c r="F328" s="29">
        <f>'По платам'!D330*$F$1</f>
        <v>0</v>
      </c>
      <c r="G328" s="29">
        <f>'По платам'!E330*$G$1</f>
        <v>0</v>
      </c>
      <c r="H328" s="29">
        <f>'По платам'!F330*$H$1</f>
        <v>0</v>
      </c>
      <c r="I328" s="29">
        <f>'По платам'!G330*$I$1</f>
        <v>0</v>
      </c>
      <c r="J328" s="29">
        <f>'По платам'!H330*$J$1</f>
        <v>0</v>
      </c>
      <c r="K328" s="29">
        <f>'По платам'!I330*$K$1</f>
        <v>0</v>
      </c>
      <c r="L328" s="29">
        <f>'По платам'!J330*$L$1</f>
        <v>0</v>
      </c>
      <c r="M328" s="29">
        <f>'По платам'!K330*$M$1</f>
        <v>0</v>
      </c>
      <c r="N328" s="29">
        <f>'По платам'!L330*'Состав прибора'!$B$16</f>
        <v>0</v>
      </c>
    </row>
    <row r="329" spans="1:14">
      <c r="A329" s="16" t="s">
        <v>22</v>
      </c>
      <c r="C329" s="18" t="s">
        <v>1461</v>
      </c>
      <c r="D329" s="25">
        <f t="shared" si="5"/>
        <v>0</v>
      </c>
      <c r="E329" s="29">
        <f>'По платам'!C331*$E$1</f>
        <v>0</v>
      </c>
      <c r="F329" s="29">
        <f>'По платам'!D331*$F$1</f>
        <v>0</v>
      </c>
      <c r="G329" s="29">
        <f>'По платам'!E331*$G$1</f>
        <v>0</v>
      </c>
      <c r="H329" s="29">
        <f>'По платам'!F331*$H$1</f>
        <v>0</v>
      </c>
      <c r="I329" s="29">
        <f>'По платам'!G331*$I$1</f>
        <v>0</v>
      </c>
      <c r="J329" s="29">
        <f>'По платам'!H331*$J$1</f>
        <v>0</v>
      </c>
      <c r="K329" s="29">
        <f>'По платам'!I331*$K$1</f>
        <v>0</v>
      </c>
      <c r="L329" s="29">
        <f>'По платам'!J331*$L$1</f>
        <v>0</v>
      </c>
      <c r="M329" s="29">
        <f>'По платам'!K331*$M$1</f>
        <v>0</v>
      </c>
      <c r="N329" s="29">
        <f>'По платам'!L331*'Состав прибора'!$B$16</f>
        <v>0</v>
      </c>
    </row>
    <row r="330" spans="1:14">
      <c r="A330" s="16" t="s">
        <v>22</v>
      </c>
      <c r="C330" s="18" t="s">
        <v>648</v>
      </c>
      <c r="D330" s="25">
        <f t="shared" si="5"/>
        <v>10</v>
      </c>
      <c r="E330" s="29">
        <f>'По платам'!C332*$E$1</f>
        <v>0</v>
      </c>
      <c r="F330" s="29">
        <f>'По платам'!D332*$F$1</f>
        <v>0</v>
      </c>
      <c r="G330" s="29">
        <f>'По платам'!E332*$G$1</f>
        <v>0</v>
      </c>
      <c r="H330" s="29">
        <f>'По платам'!F332*$H$1</f>
        <v>0</v>
      </c>
      <c r="I330" s="29">
        <f>'По платам'!G332*$I$1</f>
        <v>0</v>
      </c>
      <c r="J330" s="29">
        <f>'По платам'!H332*$J$1</f>
        <v>0</v>
      </c>
      <c r="K330" s="29">
        <f>'По платам'!I332*$K$1</f>
        <v>10</v>
      </c>
      <c r="L330" s="29">
        <f>'По платам'!J332*$L$1</f>
        <v>0</v>
      </c>
      <c r="M330" s="29">
        <f>'По платам'!K332*$M$1</f>
        <v>0</v>
      </c>
      <c r="N330" s="29">
        <f>'По платам'!L332*'Состав прибора'!$B$16</f>
        <v>0</v>
      </c>
    </row>
    <row r="331" spans="1:14">
      <c r="A331" s="16" t="s">
        <v>527</v>
      </c>
      <c r="C331" s="18" t="s">
        <v>526</v>
      </c>
      <c r="D331" s="25">
        <f t="shared" si="5"/>
        <v>3</v>
      </c>
      <c r="E331" s="29">
        <f>'По платам'!C333*$E$1</f>
        <v>0</v>
      </c>
      <c r="F331" s="29">
        <f>'По платам'!D333*$F$1</f>
        <v>0</v>
      </c>
      <c r="G331" s="29">
        <f>'По платам'!E333*$G$1</f>
        <v>0</v>
      </c>
      <c r="H331" s="29">
        <f>'По платам'!F333*$H$1</f>
        <v>0</v>
      </c>
      <c r="I331" s="29">
        <f>'По платам'!G333*$I$1</f>
        <v>1</v>
      </c>
      <c r="J331" s="29">
        <f>'По платам'!H333*$J$1</f>
        <v>0</v>
      </c>
      <c r="K331" s="29">
        <f>'По платам'!I333*$K$1</f>
        <v>1</v>
      </c>
      <c r="L331" s="29">
        <f>'По платам'!J333*$L$1</f>
        <v>1</v>
      </c>
      <c r="M331" s="29">
        <f>'По платам'!K333*$M$1</f>
        <v>0</v>
      </c>
      <c r="N331" s="29">
        <f>'По платам'!L333*'Состав прибора'!$B$16</f>
        <v>0</v>
      </c>
    </row>
    <row r="332" spans="1:14">
      <c r="A332" s="16" t="s">
        <v>527</v>
      </c>
      <c r="C332" s="18" t="s">
        <v>533</v>
      </c>
      <c r="D332" s="25">
        <f t="shared" si="5"/>
        <v>4</v>
      </c>
      <c r="E332" s="29">
        <f>'По платам'!C334*$E$1</f>
        <v>0</v>
      </c>
      <c r="F332" s="29">
        <f>'По платам'!D334*$F$1</f>
        <v>0</v>
      </c>
      <c r="G332" s="29">
        <f>'По платам'!E334*$G$1</f>
        <v>0</v>
      </c>
      <c r="H332" s="29">
        <f>'По платам'!F334*$H$1</f>
        <v>1</v>
      </c>
      <c r="I332" s="29">
        <f>'По платам'!G334*$I$1</f>
        <v>1</v>
      </c>
      <c r="J332" s="29">
        <f>'По платам'!H334*$J$1</f>
        <v>0</v>
      </c>
      <c r="K332" s="29">
        <f>'По платам'!I334*$K$1</f>
        <v>1</v>
      </c>
      <c r="L332" s="29">
        <f>'По платам'!J334*$L$1</f>
        <v>1</v>
      </c>
      <c r="M332" s="29">
        <f>'По платам'!K334*$M$1</f>
        <v>0</v>
      </c>
      <c r="N332" s="29">
        <f>'По платам'!L334*'Состав прибора'!$B$16</f>
        <v>0</v>
      </c>
    </row>
    <row r="333" spans="1:14">
      <c r="A333" s="16" t="s">
        <v>1492</v>
      </c>
      <c r="C333" s="18" t="s">
        <v>1491</v>
      </c>
      <c r="D333" s="25">
        <f t="shared" si="5"/>
        <v>0</v>
      </c>
      <c r="E333" s="29">
        <f>'По платам'!C335*$E$1</f>
        <v>0</v>
      </c>
      <c r="F333" s="29">
        <f>'По платам'!D335*$F$1</f>
        <v>0</v>
      </c>
      <c r="G333" s="29">
        <f>'По платам'!E335*$G$1</f>
        <v>0</v>
      </c>
      <c r="H333" s="29">
        <f>'По платам'!F335*$H$1</f>
        <v>0</v>
      </c>
      <c r="I333" s="29">
        <f>'По платам'!G335*$I$1</f>
        <v>0</v>
      </c>
      <c r="J333" s="29">
        <f>'По платам'!H335*$J$1</f>
        <v>0</v>
      </c>
      <c r="K333" s="29">
        <f>'По платам'!I335*$K$1</f>
        <v>0</v>
      </c>
      <c r="L333" s="29">
        <f>'По платам'!J335*$L$1</f>
        <v>0</v>
      </c>
      <c r="M333" s="29">
        <f>'По платам'!K335*$M$1</f>
        <v>0</v>
      </c>
      <c r="N333" s="29">
        <f>'По платам'!L335*'Состав прибора'!$B$16</f>
        <v>0</v>
      </c>
    </row>
    <row r="334" spans="1:14">
      <c r="A334" s="16" t="s">
        <v>3040</v>
      </c>
      <c r="C334" s="18" t="s">
        <v>2312</v>
      </c>
      <c r="D334" s="25">
        <f t="shared" si="5"/>
        <v>0</v>
      </c>
      <c r="E334" s="29">
        <f>'По платам'!C336*$E$1</f>
        <v>0</v>
      </c>
      <c r="F334" s="29">
        <f>'По платам'!D336*$F$1</f>
        <v>0</v>
      </c>
      <c r="G334" s="29">
        <f>'По платам'!E336*$G$1</f>
        <v>0</v>
      </c>
      <c r="H334" s="29">
        <f>'По платам'!F336*$H$1</f>
        <v>0</v>
      </c>
      <c r="I334" s="29">
        <f>'По платам'!G336*$I$1</f>
        <v>0</v>
      </c>
      <c r="J334" s="29">
        <f>'По платам'!H336*$J$1</f>
        <v>0</v>
      </c>
      <c r="K334" s="29">
        <f>'По платам'!I336*$K$1</f>
        <v>0</v>
      </c>
      <c r="L334" s="29">
        <f>'По платам'!J336*$L$1</f>
        <v>0</v>
      </c>
      <c r="M334" s="29">
        <f>'По платам'!K336*$M$1</f>
        <v>0</v>
      </c>
      <c r="N334" s="29">
        <f>'По платам'!L336*'Состав прибора'!$B$16</f>
        <v>0</v>
      </c>
    </row>
    <row r="335" spans="1:14">
      <c r="A335" s="16" t="s">
        <v>1669</v>
      </c>
      <c r="C335" s="18" t="s">
        <v>1668</v>
      </c>
      <c r="D335" s="25">
        <f t="shared" si="5"/>
        <v>0</v>
      </c>
      <c r="E335" s="29">
        <f>'По платам'!C337*$E$1</f>
        <v>0</v>
      </c>
      <c r="F335" s="29">
        <f>'По платам'!D337*$F$1</f>
        <v>0</v>
      </c>
      <c r="G335" s="29">
        <f>'По платам'!E337*$G$1</f>
        <v>0</v>
      </c>
      <c r="H335" s="29">
        <f>'По платам'!F337*$H$1</f>
        <v>0</v>
      </c>
      <c r="I335" s="29">
        <f>'По платам'!G337*$I$1</f>
        <v>0</v>
      </c>
      <c r="J335" s="29">
        <f>'По платам'!H337*$J$1</f>
        <v>0</v>
      </c>
      <c r="K335" s="29">
        <f>'По платам'!I337*$K$1</f>
        <v>0</v>
      </c>
      <c r="L335" s="29">
        <f>'По платам'!J337*$L$1</f>
        <v>0</v>
      </c>
      <c r="M335" s="29">
        <f>'По платам'!K337*$M$1</f>
        <v>0</v>
      </c>
      <c r="N335" s="29">
        <f>'По платам'!L337*'Состав прибора'!$B$16</f>
        <v>0</v>
      </c>
    </row>
    <row r="336" spans="1:14">
      <c r="A336" s="16" t="s">
        <v>689</v>
      </c>
      <c r="C336" s="18" t="s">
        <v>688</v>
      </c>
      <c r="D336" s="25">
        <f t="shared" si="5"/>
        <v>1</v>
      </c>
      <c r="E336" s="29">
        <f>'По платам'!C338*$E$1</f>
        <v>0</v>
      </c>
      <c r="F336" s="29">
        <f>'По платам'!D338*$F$1</f>
        <v>0</v>
      </c>
      <c r="G336" s="29">
        <f>'По платам'!E338*$G$1</f>
        <v>0</v>
      </c>
      <c r="H336" s="29">
        <f>'По платам'!F338*$H$1</f>
        <v>0</v>
      </c>
      <c r="I336" s="29">
        <f>'По платам'!G338*$I$1</f>
        <v>0</v>
      </c>
      <c r="J336" s="29">
        <f>'По платам'!H338*$J$1</f>
        <v>0</v>
      </c>
      <c r="K336" s="29">
        <f>'По платам'!I338*$K$1</f>
        <v>1</v>
      </c>
      <c r="L336" s="29">
        <f>'По платам'!J338*$L$1</f>
        <v>0</v>
      </c>
      <c r="M336" s="29">
        <f>'По платам'!K338*$M$1</f>
        <v>0</v>
      </c>
      <c r="N336" s="29">
        <f>'По платам'!L338*'Состав прибора'!$B$16</f>
        <v>0</v>
      </c>
    </row>
    <row r="337" spans="1:14">
      <c r="A337" s="16" t="s">
        <v>2265</v>
      </c>
      <c r="C337" s="18" t="s">
        <v>2277</v>
      </c>
      <c r="D337" s="25">
        <f t="shared" si="5"/>
        <v>0</v>
      </c>
      <c r="E337" s="29">
        <f>'По платам'!C339*$E$1</f>
        <v>0</v>
      </c>
      <c r="F337" s="29">
        <f>'По платам'!D339*$F$1</f>
        <v>0</v>
      </c>
      <c r="G337" s="29">
        <f>'По платам'!E339*$G$1</f>
        <v>0</v>
      </c>
      <c r="H337" s="29">
        <f>'По платам'!F339*$H$1</f>
        <v>0</v>
      </c>
      <c r="I337" s="29">
        <f>'По платам'!G339*$I$1</f>
        <v>0</v>
      </c>
      <c r="J337" s="29">
        <f>'По платам'!H339*$J$1</f>
        <v>0</v>
      </c>
      <c r="K337" s="29">
        <f>'По платам'!I339*$K$1</f>
        <v>0</v>
      </c>
      <c r="L337" s="29">
        <f>'По платам'!J339*$L$1</f>
        <v>0</v>
      </c>
      <c r="M337" s="29">
        <f>'По платам'!K339*$M$1</f>
        <v>0</v>
      </c>
      <c r="N337" s="29">
        <f>'По платам'!L339*'Состав прибора'!$B$16</f>
        <v>0</v>
      </c>
    </row>
    <row r="338" spans="1:14">
      <c r="A338" s="16" t="s">
        <v>2265</v>
      </c>
      <c r="C338" s="18" t="s">
        <v>2264</v>
      </c>
      <c r="D338" s="25">
        <f t="shared" si="5"/>
        <v>0</v>
      </c>
      <c r="E338" s="29">
        <f>'По платам'!C340*$E$1</f>
        <v>0</v>
      </c>
      <c r="F338" s="29">
        <f>'По платам'!D340*$F$1</f>
        <v>0</v>
      </c>
      <c r="G338" s="29">
        <f>'По платам'!E340*$G$1</f>
        <v>0</v>
      </c>
      <c r="H338" s="29">
        <f>'По платам'!F340*$H$1</f>
        <v>0</v>
      </c>
      <c r="I338" s="29">
        <f>'По платам'!G340*$I$1</f>
        <v>0</v>
      </c>
      <c r="J338" s="29">
        <f>'По платам'!H340*$J$1</f>
        <v>0</v>
      </c>
      <c r="K338" s="29">
        <f>'По платам'!I340*$K$1</f>
        <v>0</v>
      </c>
      <c r="L338" s="29">
        <f>'По платам'!J340*$L$1</f>
        <v>0</v>
      </c>
      <c r="M338" s="29">
        <f>'По платам'!K340*$M$1</f>
        <v>0</v>
      </c>
      <c r="N338" s="29">
        <f>'По платам'!L340*'Состав прибора'!$B$16</f>
        <v>0</v>
      </c>
    </row>
    <row r="339" spans="1:14">
      <c r="A339" s="16" t="s">
        <v>70</v>
      </c>
      <c r="C339" s="18" t="s">
        <v>2821</v>
      </c>
      <c r="D339" s="25">
        <f t="shared" si="5"/>
        <v>0</v>
      </c>
      <c r="E339" s="29">
        <f>'По платам'!C341*$E$1</f>
        <v>0</v>
      </c>
      <c r="F339" s="29">
        <f>'По платам'!D341*$F$1</f>
        <v>0</v>
      </c>
      <c r="G339" s="29">
        <f>'По платам'!E341*$G$1</f>
        <v>0</v>
      </c>
      <c r="H339" s="29">
        <f>'По платам'!F341*$H$1</f>
        <v>0</v>
      </c>
      <c r="I339" s="29">
        <f>'По платам'!G341*$I$1</f>
        <v>0</v>
      </c>
      <c r="J339" s="29">
        <f>'По платам'!H341*$J$1</f>
        <v>0</v>
      </c>
      <c r="K339" s="29">
        <f>'По платам'!I341*$K$1</f>
        <v>0</v>
      </c>
      <c r="L339" s="29">
        <f>'По платам'!J341*$L$1</f>
        <v>0</v>
      </c>
      <c r="M339" s="29">
        <f>'По платам'!K341*$M$1</f>
        <v>0</v>
      </c>
      <c r="N339" s="29">
        <f>'По платам'!L341*'Состав прибора'!$B$16</f>
        <v>0</v>
      </c>
    </row>
    <row r="340" spans="1:14">
      <c r="A340" s="16" t="s">
        <v>2726</v>
      </c>
      <c r="C340" s="18" t="s">
        <v>2725</v>
      </c>
      <c r="D340" s="25">
        <f t="shared" si="5"/>
        <v>0</v>
      </c>
      <c r="E340" s="29">
        <f>'По платам'!C342*$E$1</f>
        <v>0</v>
      </c>
      <c r="F340" s="29">
        <f>'По платам'!D342*$F$1</f>
        <v>0</v>
      </c>
      <c r="G340" s="29">
        <f>'По платам'!E342*$G$1</f>
        <v>0</v>
      </c>
      <c r="H340" s="29">
        <f>'По платам'!F342*$H$1</f>
        <v>0</v>
      </c>
      <c r="I340" s="29">
        <f>'По платам'!G342*$I$1</f>
        <v>0</v>
      </c>
      <c r="J340" s="29">
        <f>'По платам'!H342*$J$1</f>
        <v>0</v>
      </c>
      <c r="K340" s="29">
        <f>'По платам'!I342*$K$1</f>
        <v>0</v>
      </c>
      <c r="L340" s="29">
        <f>'По платам'!J342*$L$1</f>
        <v>0</v>
      </c>
      <c r="M340" s="29">
        <f>'По платам'!K342*$M$1</f>
        <v>0</v>
      </c>
      <c r="N340" s="29">
        <f>'По платам'!L342*'Состав прибора'!$B$16</f>
        <v>0</v>
      </c>
    </row>
    <row r="341" spans="1:14">
      <c r="A341" s="16" t="s">
        <v>2042</v>
      </c>
      <c r="C341" s="18" t="s">
        <v>2041</v>
      </c>
      <c r="D341" s="25">
        <f t="shared" si="5"/>
        <v>0</v>
      </c>
      <c r="E341" s="29">
        <f>'По платам'!C343*$E$1</f>
        <v>0</v>
      </c>
      <c r="F341" s="29">
        <f>'По платам'!D343*$F$1</f>
        <v>0</v>
      </c>
      <c r="G341" s="29">
        <f>'По платам'!E343*$G$1</f>
        <v>0</v>
      </c>
      <c r="H341" s="29">
        <f>'По платам'!F343*$H$1</f>
        <v>0</v>
      </c>
      <c r="I341" s="29">
        <f>'По платам'!G343*$I$1</f>
        <v>0</v>
      </c>
      <c r="J341" s="29">
        <f>'По платам'!H343*$J$1</f>
        <v>0</v>
      </c>
      <c r="K341" s="29">
        <f>'По платам'!I343*$K$1</f>
        <v>0</v>
      </c>
      <c r="L341" s="29">
        <f>'По платам'!J343*$L$1</f>
        <v>0</v>
      </c>
      <c r="M341" s="29">
        <f>'По платам'!K343*$M$1</f>
        <v>0</v>
      </c>
      <c r="N341" s="29">
        <f>'По платам'!L343*'Состав прибора'!$B$16</f>
        <v>0</v>
      </c>
    </row>
    <row r="342" spans="1:14">
      <c r="A342" s="16" t="s">
        <v>2853</v>
      </c>
      <c r="C342" s="18" t="s">
        <v>129</v>
      </c>
      <c r="D342" s="25">
        <f t="shared" si="5"/>
        <v>4</v>
      </c>
      <c r="E342" s="29">
        <f>'По платам'!C344*$E$1</f>
        <v>0</v>
      </c>
      <c r="F342" s="29">
        <f>'По платам'!D344*$F$1</f>
        <v>0</v>
      </c>
      <c r="G342" s="29">
        <f>'По платам'!E344*$G$1</f>
        <v>0</v>
      </c>
      <c r="H342" s="29">
        <f>'По платам'!F344*$H$1</f>
        <v>0</v>
      </c>
      <c r="I342" s="29">
        <f>'По платам'!G344*$I$1</f>
        <v>0</v>
      </c>
      <c r="J342" s="29">
        <f>'По платам'!H344*$J$1</f>
        <v>4</v>
      </c>
      <c r="K342" s="29">
        <f>'По платам'!I344*$K$1</f>
        <v>0</v>
      </c>
      <c r="L342" s="29">
        <f>'По платам'!J344*$L$1</f>
        <v>0</v>
      </c>
      <c r="M342" s="29">
        <f>'По платам'!K344*$M$1</f>
        <v>0</v>
      </c>
      <c r="N342" s="29">
        <f>'По платам'!L344*'Состав прибора'!$B$16</f>
        <v>0</v>
      </c>
    </row>
    <row r="343" spans="1:14">
      <c r="A343" s="16" t="s">
        <v>2774</v>
      </c>
      <c r="C343" s="18" t="s">
        <v>2773</v>
      </c>
      <c r="D343" s="25">
        <f t="shared" si="5"/>
        <v>0</v>
      </c>
      <c r="E343" s="29">
        <f>'По платам'!C345*$E$1</f>
        <v>0</v>
      </c>
      <c r="F343" s="29">
        <f>'По платам'!D345*$F$1</f>
        <v>0</v>
      </c>
      <c r="G343" s="29">
        <f>'По платам'!E345*$G$1</f>
        <v>0</v>
      </c>
      <c r="H343" s="29">
        <f>'По платам'!F345*$H$1</f>
        <v>0</v>
      </c>
      <c r="I343" s="29">
        <f>'По платам'!G345*$I$1</f>
        <v>0</v>
      </c>
      <c r="J343" s="29">
        <f>'По платам'!H345*$J$1</f>
        <v>0</v>
      </c>
      <c r="K343" s="29">
        <f>'По платам'!I345*$K$1</f>
        <v>0</v>
      </c>
      <c r="L343" s="29">
        <f>'По платам'!J345*$L$1</f>
        <v>0</v>
      </c>
      <c r="M343" s="29">
        <f>'По платам'!K345*$M$1</f>
        <v>0</v>
      </c>
      <c r="N343" s="29">
        <f>'По платам'!L345*'Состав прибора'!$B$16</f>
        <v>0</v>
      </c>
    </row>
    <row r="344" spans="1:14">
      <c r="A344" s="16" t="s">
        <v>3041</v>
      </c>
      <c r="C344" s="18" t="s">
        <v>1205</v>
      </c>
      <c r="D344" s="25">
        <f t="shared" si="5"/>
        <v>1</v>
      </c>
      <c r="E344" s="29">
        <f>'По платам'!C346*$E$1</f>
        <v>0</v>
      </c>
      <c r="F344" s="29">
        <f>'По платам'!D346*$F$1</f>
        <v>0</v>
      </c>
      <c r="G344" s="29">
        <f>'По платам'!E346*$G$1</f>
        <v>0</v>
      </c>
      <c r="H344" s="29">
        <f>'По платам'!F346*$H$1</f>
        <v>0</v>
      </c>
      <c r="I344" s="29">
        <f>'По платам'!G346*$I$1</f>
        <v>0</v>
      </c>
      <c r="J344" s="29">
        <f>'По платам'!H346*$J$1</f>
        <v>1</v>
      </c>
      <c r="K344" s="29">
        <f>'По платам'!I346*$K$1</f>
        <v>0</v>
      </c>
      <c r="L344" s="29">
        <f>'По платам'!J346*$L$1</f>
        <v>0</v>
      </c>
      <c r="M344" s="29">
        <f>'По платам'!K346*$M$1</f>
        <v>0</v>
      </c>
      <c r="N344" s="29">
        <f>'По платам'!L346*'Состав прибора'!$B$16</f>
        <v>0</v>
      </c>
    </row>
    <row r="345" spans="1:14">
      <c r="A345" s="16" t="s">
        <v>3041</v>
      </c>
      <c r="C345" s="18" t="s">
        <v>1191</v>
      </c>
      <c r="D345" s="25">
        <f t="shared" si="5"/>
        <v>3</v>
      </c>
      <c r="E345" s="29">
        <f>'По платам'!C347*$E$1</f>
        <v>0</v>
      </c>
      <c r="F345" s="29">
        <f>'По платам'!D347*$F$1</f>
        <v>0</v>
      </c>
      <c r="G345" s="29">
        <f>'По платам'!E347*$G$1</f>
        <v>0</v>
      </c>
      <c r="H345" s="29">
        <f>'По платам'!F347*$H$1</f>
        <v>0</v>
      </c>
      <c r="I345" s="29">
        <f>'По платам'!G347*$I$1</f>
        <v>0</v>
      </c>
      <c r="J345" s="29">
        <f>'По платам'!H347*$J$1</f>
        <v>3</v>
      </c>
      <c r="K345" s="29">
        <f>'По платам'!I347*$K$1</f>
        <v>0</v>
      </c>
      <c r="L345" s="29">
        <f>'По платам'!J347*$L$1</f>
        <v>0</v>
      </c>
      <c r="M345" s="29">
        <f>'По платам'!K347*$M$1</f>
        <v>0</v>
      </c>
      <c r="N345" s="29">
        <f>'По платам'!L347*'Состав прибора'!$B$16</f>
        <v>0</v>
      </c>
    </row>
    <row r="346" spans="1:14">
      <c r="A346" s="16" t="s">
        <v>3041</v>
      </c>
      <c r="C346" s="18" t="s">
        <v>1216</v>
      </c>
      <c r="D346" s="25">
        <f t="shared" si="5"/>
        <v>1</v>
      </c>
      <c r="E346" s="29">
        <f>'По платам'!C348*$E$1</f>
        <v>0</v>
      </c>
      <c r="F346" s="29">
        <f>'По платам'!D348*$F$1</f>
        <v>0</v>
      </c>
      <c r="G346" s="29">
        <f>'По платам'!E348*$G$1</f>
        <v>0</v>
      </c>
      <c r="H346" s="29">
        <f>'По платам'!F348*$H$1</f>
        <v>0</v>
      </c>
      <c r="I346" s="29">
        <f>'По платам'!G348*$I$1</f>
        <v>0</v>
      </c>
      <c r="J346" s="29">
        <f>'По платам'!H348*$J$1</f>
        <v>1</v>
      </c>
      <c r="K346" s="29">
        <f>'По платам'!I348*$K$1</f>
        <v>0</v>
      </c>
      <c r="L346" s="29">
        <f>'По платам'!J348*$L$1</f>
        <v>0</v>
      </c>
      <c r="M346" s="29">
        <f>'По платам'!K348*$M$1</f>
        <v>0</v>
      </c>
      <c r="N346" s="29">
        <f>'По платам'!L348*'Состав прибора'!$B$16</f>
        <v>0</v>
      </c>
    </row>
    <row r="347" spans="1:14">
      <c r="A347" s="16" t="s">
        <v>3041</v>
      </c>
      <c r="C347" s="18" t="s">
        <v>1212</v>
      </c>
      <c r="D347" s="25">
        <f t="shared" si="5"/>
        <v>4</v>
      </c>
      <c r="E347" s="29">
        <f>'По платам'!C349*$E$1</f>
        <v>0</v>
      </c>
      <c r="F347" s="29">
        <f>'По платам'!D349*$F$1</f>
        <v>0</v>
      </c>
      <c r="G347" s="29">
        <f>'По платам'!E349*$G$1</f>
        <v>0</v>
      </c>
      <c r="H347" s="29">
        <f>'По платам'!F349*$H$1</f>
        <v>0</v>
      </c>
      <c r="I347" s="29">
        <f>'По платам'!G349*$I$1</f>
        <v>0</v>
      </c>
      <c r="J347" s="29">
        <f>'По платам'!H349*$J$1</f>
        <v>4</v>
      </c>
      <c r="K347" s="29">
        <f>'По платам'!I349*$K$1</f>
        <v>0</v>
      </c>
      <c r="L347" s="29">
        <f>'По платам'!J349*$L$1</f>
        <v>0</v>
      </c>
      <c r="M347" s="29">
        <f>'По платам'!K349*$M$1</f>
        <v>0</v>
      </c>
      <c r="N347" s="29">
        <f>'По платам'!L349*'Состав прибора'!$B$16</f>
        <v>0</v>
      </c>
    </row>
    <row r="348" spans="1:14">
      <c r="A348" s="16" t="s">
        <v>3041</v>
      </c>
      <c r="C348" s="18" t="s">
        <v>1202</v>
      </c>
      <c r="D348" s="25">
        <f t="shared" si="5"/>
        <v>2</v>
      </c>
      <c r="E348" s="29">
        <f>'По платам'!C350*$E$1</f>
        <v>0</v>
      </c>
      <c r="F348" s="29">
        <f>'По платам'!D350*$F$1</f>
        <v>0</v>
      </c>
      <c r="G348" s="29">
        <f>'По платам'!E350*$G$1</f>
        <v>0</v>
      </c>
      <c r="H348" s="29">
        <f>'По платам'!F350*$H$1</f>
        <v>0</v>
      </c>
      <c r="I348" s="29">
        <f>'По платам'!G350*$I$1</f>
        <v>0</v>
      </c>
      <c r="J348" s="29">
        <f>'По платам'!H350*$J$1</f>
        <v>2</v>
      </c>
      <c r="K348" s="29">
        <f>'По платам'!I350*$K$1</f>
        <v>0</v>
      </c>
      <c r="L348" s="29">
        <f>'По платам'!J350*$L$1</f>
        <v>0</v>
      </c>
      <c r="M348" s="29">
        <f>'По платам'!K350*$M$1</f>
        <v>0</v>
      </c>
      <c r="N348" s="29">
        <f>'По платам'!L350*'Состав прибора'!$B$16</f>
        <v>0</v>
      </c>
    </row>
    <row r="349" spans="1:14">
      <c r="A349" s="16" t="s">
        <v>3041</v>
      </c>
      <c r="C349" s="18" t="s">
        <v>1198</v>
      </c>
      <c r="D349" s="25">
        <f t="shared" si="5"/>
        <v>2</v>
      </c>
      <c r="E349" s="29">
        <f>'По платам'!C351*$E$1</f>
        <v>0</v>
      </c>
      <c r="F349" s="29">
        <f>'По платам'!D351*$F$1</f>
        <v>0</v>
      </c>
      <c r="G349" s="29">
        <f>'По платам'!E351*$G$1</f>
        <v>0</v>
      </c>
      <c r="H349" s="29">
        <f>'По платам'!F351*$H$1</f>
        <v>0</v>
      </c>
      <c r="I349" s="29">
        <f>'По платам'!G351*$I$1</f>
        <v>0</v>
      </c>
      <c r="J349" s="29">
        <f>'По платам'!H351*$J$1</f>
        <v>2</v>
      </c>
      <c r="K349" s="29">
        <f>'По платам'!I351*$K$1</f>
        <v>0</v>
      </c>
      <c r="L349" s="29">
        <f>'По платам'!J351*$L$1</f>
        <v>0</v>
      </c>
      <c r="M349" s="29">
        <f>'По платам'!K351*$M$1</f>
        <v>0</v>
      </c>
      <c r="N349" s="29">
        <f>'По платам'!L351*'Состав прибора'!$B$16</f>
        <v>0</v>
      </c>
    </row>
    <row r="350" spans="1:14">
      <c r="A350" s="16" t="s">
        <v>3041</v>
      </c>
      <c r="C350" s="18" t="s">
        <v>1209</v>
      </c>
      <c r="D350" s="25">
        <f t="shared" si="5"/>
        <v>1</v>
      </c>
      <c r="E350" s="29">
        <f>'По платам'!C352*$E$1</f>
        <v>0</v>
      </c>
      <c r="F350" s="29">
        <f>'По платам'!D352*$F$1</f>
        <v>0</v>
      </c>
      <c r="G350" s="29">
        <f>'По платам'!E352*$G$1</f>
        <v>0</v>
      </c>
      <c r="H350" s="29">
        <f>'По платам'!F352*$H$1</f>
        <v>0</v>
      </c>
      <c r="I350" s="29">
        <f>'По платам'!G352*$I$1</f>
        <v>0</v>
      </c>
      <c r="J350" s="29">
        <f>'По платам'!H352*$J$1</f>
        <v>1</v>
      </c>
      <c r="K350" s="29">
        <f>'По платам'!I352*$K$1</f>
        <v>0</v>
      </c>
      <c r="L350" s="29">
        <f>'По платам'!J352*$L$1</f>
        <v>0</v>
      </c>
      <c r="M350" s="29">
        <f>'По платам'!K352*$M$1</f>
        <v>0</v>
      </c>
      <c r="N350" s="29">
        <f>'По платам'!L352*'Состав прибора'!$B$16</f>
        <v>0</v>
      </c>
    </row>
    <row r="351" spans="1:14">
      <c r="A351" s="16" t="s">
        <v>3041</v>
      </c>
      <c r="C351" s="18" t="s">
        <v>1187</v>
      </c>
      <c r="D351" s="25">
        <f t="shared" si="5"/>
        <v>1</v>
      </c>
      <c r="E351" s="29">
        <f>'По платам'!C353*$E$1</f>
        <v>0</v>
      </c>
      <c r="F351" s="29">
        <f>'По платам'!D353*$F$1</f>
        <v>0</v>
      </c>
      <c r="G351" s="29">
        <f>'По платам'!E353*$G$1</f>
        <v>0</v>
      </c>
      <c r="H351" s="29">
        <f>'По платам'!F353*$H$1</f>
        <v>0</v>
      </c>
      <c r="I351" s="29">
        <f>'По платам'!G353*$I$1</f>
        <v>0</v>
      </c>
      <c r="J351" s="29">
        <f>'По платам'!H353*$J$1</f>
        <v>1</v>
      </c>
      <c r="K351" s="29">
        <f>'По платам'!I353*$K$1</f>
        <v>0</v>
      </c>
      <c r="L351" s="29">
        <f>'По платам'!J353*$L$1</f>
        <v>0</v>
      </c>
      <c r="M351" s="29">
        <f>'По платам'!K353*$M$1</f>
        <v>0</v>
      </c>
      <c r="N351" s="29">
        <f>'По платам'!L353*'Состав прибора'!$B$16</f>
        <v>0</v>
      </c>
    </row>
    <row r="352" spans="1:14">
      <c r="A352" s="16" t="s">
        <v>3041</v>
      </c>
      <c r="C352" s="18" t="s">
        <v>1195</v>
      </c>
      <c r="D352" s="25">
        <f t="shared" si="5"/>
        <v>1</v>
      </c>
      <c r="E352" s="29">
        <f>'По платам'!C354*$E$1</f>
        <v>0</v>
      </c>
      <c r="F352" s="29">
        <f>'По платам'!D354*$F$1</f>
        <v>0</v>
      </c>
      <c r="G352" s="29">
        <f>'По платам'!E354*$G$1</f>
        <v>0</v>
      </c>
      <c r="H352" s="29">
        <f>'По платам'!F354*$H$1</f>
        <v>0</v>
      </c>
      <c r="I352" s="29">
        <f>'По платам'!G354*$I$1</f>
        <v>0</v>
      </c>
      <c r="J352" s="29">
        <f>'По платам'!H354*$J$1</f>
        <v>1</v>
      </c>
      <c r="K352" s="29">
        <f>'По платам'!I354*$K$1</f>
        <v>0</v>
      </c>
      <c r="L352" s="29">
        <f>'По платам'!J354*$L$1</f>
        <v>0</v>
      </c>
      <c r="M352" s="29">
        <f>'По платам'!K354*$M$1</f>
        <v>0</v>
      </c>
      <c r="N352" s="29">
        <f>'По платам'!L354*'Состав прибора'!$B$16</f>
        <v>0</v>
      </c>
    </row>
    <row r="353" spans="1:14">
      <c r="A353" s="16" t="s">
        <v>57</v>
      </c>
      <c r="C353" s="18" t="s">
        <v>2814</v>
      </c>
      <c r="D353" s="25">
        <f t="shared" si="5"/>
        <v>1</v>
      </c>
      <c r="E353" s="29">
        <f>'По платам'!C355*$E$1</f>
        <v>0</v>
      </c>
      <c r="F353" s="29">
        <f>'По платам'!D355*$F$1</f>
        <v>0</v>
      </c>
      <c r="G353" s="29">
        <f>'По платам'!E355*$G$1</f>
        <v>0</v>
      </c>
      <c r="H353" s="29">
        <f>'По платам'!F355*$H$1</f>
        <v>0</v>
      </c>
      <c r="I353" s="29">
        <f>'По платам'!G355*$I$1</f>
        <v>0</v>
      </c>
      <c r="J353" s="29">
        <f>'По платам'!H355*$J$1</f>
        <v>0</v>
      </c>
      <c r="K353" s="29">
        <f>'По платам'!I355*$K$1</f>
        <v>0</v>
      </c>
      <c r="L353" s="29">
        <f>'По платам'!J355*$L$1</f>
        <v>1</v>
      </c>
      <c r="M353" s="29">
        <f>'По платам'!K355*$M$1</f>
        <v>0</v>
      </c>
      <c r="N353" s="29">
        <f>'По платам'!L355*'Состав прибора'!$B$16</f>
        <v>0</v>
      </c>
    </row>
    <row r="354" spans="1:14">
      <c r="A354" s="16" t="s">
        <v>57</v>
      </c>
      <c r="C354" s="18" t="s">
        <v>697</v>
      </c>
      <c r="D354" s="25">
        <f t="shared" si="5"/>
        <v>1</v>
      </c>
      <c r="E354" s="29">
        <f>'По платам'!C356*$E$1</f>
        <v>0</v>
      </c>
      <c r="F354" s="29">
        <f>'По платам'!D356*$F$1</f>
        <v>0</v>
      </c>
      <c r="G354" s="29">
        <f>'По платам'!E356*$G$1</f>
        <v>0</v>
      </c>
      <c r="H354" s="29">
        <f>'По платам'!F356*$H$1</f>
        <v>0</v>
      </c>
      <c r="I354" s="29">
        <f>'По платам'!G356*$I$1</f>
        <v>0</v>
      </c>
      <c r="J354" s="29">
        <f>'По платам'!H356*$J$1</f>
        <v>0</v>
      </c>
      <c r="K354" s="29">
        <f>'По платам'!I356*$K$1</f>
        <v>1</v>
      </c>
      <c r="L354" s="29">
        <f>'По платам'!J356*$L$1</f>
        <v>0</v>
      </c>
      <c r="M354" s="29">
        <f>'По платам'!K356*$M$1</f>
        <v>0</v>
      </c>
      <c r="N354" s="29">
        <f>'По платам'!L356*'Состав прибора'!$B$16</f>
        <v>0</v>
      </c>
    </row>
    <row r="355" spans="1:14">
      <c r="A355" s="16" t="s">
        <v>77</v>
      </c>
      <c r="C355" s="18" t="s">
        <v>2827</v>
      </c>
      <c r="D355" s="25">
        <f t="shared" si="5"/>
        <v>0</v>
      </c>
      <c r="E355" s="29">
        <f>'По платам'!C357*$E$1</f>
        <v>0</v>
      </c>
      <c r="F355" s="29">
        <f>'По платам'!D357*$F$1</f>
        <v>0</v>
      </c>
      <c r="G355" s="29">
        <f>'По платам'!E357*$G$1</f>
        <v>0</v>
      </c>
      <c r="H355" s="29">
        <f>'По платам'!F357*$H$1</f>
        <v>0</v>
      </c>
      <c r="I355" s="29">
        <f>'По платам'!G357*$I$1</f>
        <v>0</v>
      </c>
      <c r="J355" s="29">
        <f>'По платам'!H357*$J$1</f>
        <v>0</v>
      </c>
      <c r="K355" s="29">
        <f>'По платам'!I357*$K$1</f>
        <v>0</v>
      </c>
      <c r="L355" s="29">
        <f>'По платам'!J357*$L$1</f>
        <v>0</v>
      </c>
      <c r="M355" s="29">
        <f>'По платам'!K357*$M$1</f>
        <v>0</v>
      </c>
      <c r="N355" s="29">
        <f>'По платам'!L357*'Состав прибора'!$B$16</f>
        <v>0</v>
      </c>
    </row>
    <row r="356" spans="1:14">
      <c r="A356" s="16" t="s">
        <v>77</v>
      </c>
      <c r="C356" s="18" t="s">
        <v>2828</v>
      </c>
      <c r="D356" s="25">
        <f t="shared" si="5"/>
        <v>1</v>
      </c>
      <c r="E356" s="29">
        <f>'По платам'!C358*$E$1</f>
        <v>0</v>
      </c>
      <c r="F356" s="29">
        <f>'По платам'!D358*$F$1</f>
        <v>0</v>
      </c>
      <c r="G356" s="29">
        <f>'По платам'!E358*$G$1</f>
        <v>0</v>
      </c>
      <c r="H356" s="29">
        <f>'По платам'!F358*$H$1</f>
        <v>0</v>
      </c>
      <c r="I356" s="29">
        <f>'По платам'!G358*$I$1</f>
        <v>0</v>
      </c>
      <c r="J356" s="29">
        <f>'По платам'!H358*$J$1</f>
        <v>0</v>
      </c>
      <c r="K356" s="29">
        <f>'По платам'!I358*$K$1</f>
        <v>0</v>
      </c>
      <c r="L356" s="29">
        <f>'По платам'!J358*$L$1</f>
        <v>1</v>
      </c>
      <c r="M356" s="29">
        <f>'По платам'!K358*$M$1</f>
        <v>0</v>
      </c>
      <c r="N356" s="29">
        <f>'По платам'!L358*'Состав прибора'!$B$16</f>
        <v>0</v>
      </c>
    </row>
    <row r="357" spans="1:14">
      <c r="A357" s="16" t="s">
        <v>77</v>
      </c>
      <c r="C357" s="18" t="s">
        <v>82</v>
      </c>
      <c r="D357" s="25">
        <f t="shared" si="5"/>
        <v>7</v>
      </c>
      <c r="E357" s="29">
        <f>'По платам'!C359*$E$1</f>
        <v>0</v>
      </c>
      <c r="F357" s="29">
        <f>'По платам'!D359*$F$1</f>
        <v>0</v>
      </c>
      <c r="G357" s="29">
        <f>'По платам'!E359*$G$1</f>
        <v>0</v>
      </c>
      <c r="H357" s="29">
        <f>'По платам'!F359*$H$1</f>
        <v>0</v>
      </c>
      <c r="I357" s="29">
        <f>'По платам'!G359*$I$1</f>
        <v>4</v>
      </c>
      <c r="J357" s="29">
        <f>'По платам'!H359*$J$1</f>
        <v>0</v>
      </c>
      <c r="K357" s="29">
        <f>'По платам'!I359*$K$1</f>
        <v>0</v>
      </c>
      <c r="L357" s="29">
        <f>'По платам'!J359*$L$1</f>
        <v>3</v>
      </c>
      <c r="M357" s="29">
        <f>'По платам'!K359*$M$1</f>
        <v>0</v>
      </c>
      <c r="N357" s="29">
        <f>'По платам'!L359*'Состав прибора'!$B$16</f>
        <v>0</v>
      </c>
    </row>
    <row r="358" spans="1:14">
      <c r="A358" s="16" t="s">
        <v>235</v>
      </c>
      <c r="C358" s="18" t="s">
        <v>266</v>
      </c>
      <c r="D358" s="25">
        <f t="shared" si="5"/>
        <v>86</v>
      </c>
      <c r="E358" s="29">
        <f>'По платам'!C360*$E$1</f>
        <v>0</v>
      </c>
      <c r="F358" s="29">
        <f>'По платам'!D360*$F$1</f>
        <v>0</v>
      </c>
      <c r="G358" s="29">
        <f>'По платам'!E360*$G$1</f>
        <v>0</v>
      </c>
      <c r="H358" s="29">
        <f>'По платам'!F360*$H$1</f>
        <v>0</v>
      </c>
      <c r="I358" s="29">
        <f>'По платам'!G360*$I$1</f>
        <v>31</v>
      </c>
      <c r="J358" s="29">
        <f>'По платам'!H360*$J$1</f>
        <v>1</v>
      </c>
      <c r="K358" s="29">
        <f>'По платам'!I360*$K$1</f>
        <v>34</v>
      </c>
      <c r="L358" s="29">
        <f>'По платам'!J360*$L$1</f>
        <v>20</v>
      </c>
      <c r="M358" s="29">
        <f>'По платам'!K360*$M$1</f>
        <v>0</v>
      </c>
      <c r="N358" s="29">
        <f>'По платам'!L360*'Состав прибора'!$B$16</f>
        <v>0</v>
      </c>
    </row>
    <row r="359" spans="1:14">
      <c r="A359" s="16" t="s">
        <v>235</v>
      </c>
      <c r="C359" s="18" t="s">
        <v>263</v>
      </c>
      <c r="D359" s="25">
        <f t="shared" si="5"/>
        <v>116</v>
      </c>
      <c r="E359" s="29">
        <f>'По платам'!C361*$E$1</f>
        <v>0</v>
      </c>
      <c r="F359" s="29">
        <f>'По платам'!D361*$F$1</f>
        <v>0</v>
      </c>
      <c r="G359" s="29">
        <f>'По платам'!E361*$G$1</f>
        <v>0</v>
      </c>
      <c r="H359" s="29">
        <f>'По платам'!F361*$H$1</f>
        <v>0</v>
      </c>
      <c r="I359" s="29">
        <f>'По платам'!G361*$I$1</f>
        <v>0</v>
      </c>
      <c r="J359" s="29">
        <f>'По платам'!H361*$J$1</f>
        <v>0</v>
      </c>
      <c r="K359" s="29">
        <f>'По платам'!I361*$K$1</f>
        <v>115</v>
      </c>
      <c r="L359" s="29">
        <f>'По платам'!J361*$L$1</f>
        <v>1</v>
      </c>
      <c r="M359" s="29">
        <f>'По платам'!K361*$M$1</f>
        <v>0</v>
      </c>
      <c r="N359" s="29">
        <f>'По платам'!L361*'Состав прибора'!$B$16</f>
        <v>0</v>
      </c>
    </row>
    <row r="360" spans="1:14">
      <c r="A360" s="16" t="s">
        <v>235</v>
      </c>
      <c r="C360" s="18" t="s">
        <v>234</v>
      </c>
      <c r="D360" s="25">
        <f t="shared" si="5"/>
        <v>11</v>
      </c>
      <c r="E360" s="29">
        <f>'По платам'!C362*$E$1</f>
        <v>0</v>
      </c>
      <c r="F360" s="29">
        <f>'По платам'!D362*$F$1</f>
        <v>0</v>
      </c>
      <c r="G360" s="29">
        <f>'По платам'!E362*$G$1</f>
        <v>0</v>
      </c>
      <c r="H360" s="29">
        <f>'По платам'!F362*$H$1</f>
        <v>0</v>
      </c>
      <c r="I360" s="29">
        <f>'По платам'!G362*$I$1</f>
        <v>0</v>
      </c>
      <c r="J360" s="29">
        <f>'По платам'!H362*$J$1</f>
        <v>0</v>
      </c>
      <c r="K360" s="29">
        <f>'По платам'!I362*$K$1</f>
        <v>5</v>
      </c>
      <c r="L360" s="29">
        <f>'По платам'!J362*$L$1</f>
        <v>6</v>
      </c>
      <c r="M360" s="29">
        <f>'По платам'!K362*$M$1</f>
        <v>0</v>
      </c>
      <c r="N360" s="29">
        <f>'По платам'!L362*'Состав прибора'!$B$16</f>
        <v>0</v>
      </c>
    </row>
    <row r="361" spans="1:14">
      <c r="A361" s="16" t="s">
        <v>32</v>
      </c>
      <c r="C361" s="18" t="s">
        <v>3042</v>
      </c>
      <c r="D361" s="25">
        <f t="shared" si="5"/>
        <v>8</v>
      </c>
      <c r="E361" s="29">
        <f>'По платам'!C363*$E$1</f>
        <v>0</v>
      </c>
      <c r="F361" s="29">
        <f>'По платам'!D363*$F$1</f>
        <v>0</v>
      </c>
      <c r="G361" s="29">
        <f>'По платам'!E363*$G$1</f>
        <v>0</v>
      </c>
      <c r="H361" s="29">
        <f>'По платам'!F363*$H$1</f>
        <v>0</v>
      </c>
      <c r="I361" s="29">
        <f>'По платам'!G363*$I$1</f>
        <v>0</v>
      </c>
      <c r="J361" s="29">
        <f>'По платам'!H363*$J$1</f>
        <v>8</v>
      </c>
      <c r="K361" s="29">
        <f>'По платам'!I363*$K$1</f>
        <v>0</v>
      </c>
      <c r="L361" s="29">
        <f>'По платам'!J363*$L$1</f>
        <v>0</v>
      </c>
      <c r="M361" s="29">
        <f>'По платам'!K363*$M$1</f>
        <v>0</v>
      </c>
      <c r="N361" s="29">
        <f>'По платам'!L363*'Состав прибора'!$B$16</f>
        <v>0</v>
      </c>
    </row>
    <row r="362" spans="1:14">
      <c r="A362" s="16" t="s">
        <v>32</v>
      </c>
      <c r="C362" s="18" t="s">
        <v>246</v>
      </c>
      <c r="D362" s="25">
        <f t="shared" si="5"/>
        <v>332</v>
      </c>
      <c r="E362" s="29">
        <f>'По платам'!C364*$E$1</f>
        <v>0</v>
      </c>
      <c r="F362" s="29">
        <f>'По платам'!D364*$F$1</f>
        <v>0</v>
      </c>
      <c r="G362" s="29">
        <f>'По платам'!E364*$G$1</f>
        <v>0</v>
      </c>
      <c r="H362" s="29">
        <f>'По платам'!F364*$H$1</f>
        <v>0</v>
      </c>
      <c r="I362" s="29">
        <f>'По платам'!G364*$I$1</f>
        <v>6</v>
      </c>
      <c r="J362" s="29">
        <f>'По платам'!H364*$J$1</f>
        <v>0</v>
      </c>
      <c r="K362" s="29">
        <f>'По платам'!I364*$K$1</f>
        <v>218</v>
      </c>
      <c r="L362" s="29">
        <f>'По платам'!J364*$L$1</f>
        <v>108</v>
      </c>
      <c r="M362" s="29">
        <f>'По платам'!K364*$M$1</f>
        <v>0</v>
      </c>
      <c r="N362" s="29">
        <f>'По платам'!L364*'Состав прибора'!$B$16</f>
        <v>0</v>
      </c>
    </row>
    <row r="363" spans="1:14">
      <c r="A363" s="16" t="s">
        <v>32</v>
      </c>
      <c r="C363" s="18" t="s">
        <v>243</v>
      </c>
      <c r="D363" s="25">
        <f t="shared" si="5"/>
        <v>405</v>
      </c>
      <c r="E363" s="29">
        <f>'По платам'!C365*$E$1</f>
        <v>0</v>
      </c>
      <c r="F363" s="29">
        <f>'По платам'!D365*$F$1</f>
        <v>0</v>
      </c>
      <c r="G363" s="29">
        <f>'По платам'!E365*$G$1</f>
        <v>0</v>
      </c>
      <c r="H363" s="29">
        <f>'По платам'!F365*$H$1</f>
        <v>1</v>
      </c>
      <c r="I363" s="29">
        <f>'По платам'!G365*$I$1</f>
        <v>54</v>
      </c>
      <c r="J363" s="29">
        <f>'По платам'!H365*$J$1</f>
        <v>0</v>
      </c>
      <c r="K363" s="29">
        <f>'По платам'!I365*$K$1</f>
        <v>248</v>
      </c>
      <c r="L363" s="29">
        <f>'По платам'!J365*$L$1</f>
        <v>102</v>
      </c>
      <c r="M363" s="29">
        <f>'По платам'!K365*$M$1</f>
        <v>0</v>
      </c>
      <c r="N363" s="29">
        <f>'По платам'!L365*'Состав прибора'!$B$16</f>
        <v>0</v>
      </c>
    </row>
    <row r="364" spans="1:14">
      <c r="A364" s="16" t="s">
        <v>32</v>
      </c>
      <c r="C364" s="18" t="s">
        <v>283</v>
      </c>
      <c r="D364" s="25">
        <f t="shared" si="5"/>
        <v>7</v>
      </c>
      <c r="E364" s="29">
        <f>'По платам'!C366*$E$1</f>
        <v>0</v>
      </c>
      <c r="F364" s="29">
        <f>'По платам'!D366*$F$1</f>
        <v>0</v>
      </c>
      <c r="G364" s="29">
        <f>'По платам'!E366*$G$1</f>
        <v>0</v>
      </c>
      <c r="H364" s="29">
        <f>'По платам'!F366*$H$1</f>
        <v>0</v>
      </c>
      <c r="I364" s="29">
        <f>'По платам'!G366*$I$1</f>
        <v>0</v>
      </c>
      <c r="J364" s="29">
        <f>'По платам'!H366*$J$1</f>
        <v>0</v>
      </c>
      <c r="K364" s="29">
        <f>'По платам'!I366*$K$1</f>
        <v>4</v>
      </c>
      <c r="L364" s="29">
        <f>'По платам'!J366*$L$1</f>
        <v>3</v>
      </c>
      <c r="M364" s="29">
        <f>'По платам'!K366*$M$1</f>
        <v>0</v>
      </c>
      <c r="N364" s="29">
        <f>'По платам'!L366*'Состав прибора'!$B$16</f>
        <v>0</v>
      </c>
    </row>
    <row r="365" spans="1:14">
      <c r="A365" s="16" t="s">
        <v>32</v>
      </c>
      <c r="C365" s="18" t="s">
        <v>2910</v>
      </c>
      <c r="D365" s="25">
        <f t="shared" si="5"/>
        <v>7</v>
      </c>
      <c r="E365" s="29">
        <f>'По платам'!C367*$E$1</f>
        <v>0</v>
      </c>
      <c r="F365" s="29">
        <f>'По платам'!D367*$F$1</f>
        <v>0</v>
      </c>
      <c r="G365" s="29">
        <f>'По платам'!E367*$G$1</f>
        <v>0</v>
      </c>
      <c r="H365" s="29">
        <f>'По платам'!F367*$H$1</f>
        <v>0</v>
      </c>
      <c r="I365" s="29">
        <f>'По платам'!G367*$I$1</f>
        <v>0</v>
      </c>
      <c r="J365" s="29">
        <f>'По платам'!H367*$J$1</f>
        <v>0</v>
      </c>
      <c r="K365" s="29">
        <f>'По платам'!I367*$K$1</f>
        <v>0</v>
      </c>
      <c r="L365" s="29">
        <f>'По платам'!J367*$L$1</f>
        <v>7</v>
      </c>
      <c r="M365" s="29">
        <f>'По платам'!K367*$M$1</f>
        <v>0</v>
      </c>
      <c r="N365" s="29">
        <f>'По платам'!L367*'Состав прибора'!$B$16</f>
        <v>0</v>
      </c>
    </row>
    <row r="366" spans="1:14">
      <c r="A366" s="16" t="s">
        <v>32</v>
      </c>
      <c r="C366" s="18" t="s">
        <v>31</v>
      </c>
      <c r="D366" s="25">
        <f t="shared" si="5"/>
        <v>12</v>
      </c>
      <c r="E366" s="29">
        <f>'По платам'!C368*$E$1</f>
        <v>0</v>
      </c>
      <c r="F366" s="29">
        <f>'По платам'!D368*$F$1</f>
        <v>0</v>
      </c>
      <c r="G366" s="29">
        <f>'По платам'!E368*$G$1</f>
        <v>0</v>
      </c>
      <c r="H366" s="29">
        <f>'По платам'!F368*$H$1</f>
        <v>6</v>
      </c>
      <c r="I366" s="29">
        <f>'По платам'!G368*$I$1</f>
        <v>0</v>
      </c>
      <c r="J366" s="29">
        <f>'По платам'!H368*$J$1</f>
        <v>0</v>
      </c>
      <c r="K366" s="29">
        <f>'По платам'!I368*$K$1</f>
        <v>1</v>
      </c>
      <c r="L366" s="29">
        <f>'По платам'!J368*$L$1</f>
        <v>5</v>
      </c>
      <c r="M366" s="29">
        <f>'По платам'!K368*$M$1</f>
        <v>0</v>
      </c>
      <c r="N366" s="29">
        <f>'По платам'!L368*'Состав прибора'!$B$16</f>
        <v>0</v>
      </c>
    </row>
    <row r="367" spans="1:14">
      <c r="A367" s="16" t="s">
        <v>32</v>
      </c>
      <c r="C367" s="18" t="s">
        <v>240</v>
      </c>
      <c r="D367" s="25">
        <f t="shared" si="5"/>
        <v>87</v>
      </c>
      <c r="E367" s="29">
        <f>'По платам'!C369*$E$1</f>
        <v>0</v>
      </c>
      <c r="F367" s="29">
        <f>'По платам'!D369*$F$1</f>
        <v>0</v>
      </c>
      <c r="G367" s="29">
        <f>'По платам'!E369*$G$1</f>
        <v>0</v>
      </c>
      <c r="H367" s="29">
        <f>'По платам'!F369*$H$1</f>
        <v>19</v>
      </c>
      <c r="I367" s="29">
        <f>'По платам'!G369*$I$1</f>
        <v>4</v>
      </c>
      <c r="J367" s="29">
        <f>'По платам'!H369*$J$1</f>
        <v>4</v>
      </c>
      <c r="K367" s="29">
        <f>'По платам'!I369*$K$1</f>
        <v>30</v>
      </c>
      <c r="L367" s="29">
        <f>'По платам'!J369*$L$1</f>
        <v>30</v>
      </c>
      <c r="M367" s="29">
        <f>'По платам'!K369*$M$1</f>
        <v>0</v>
      </c>
      <c r="N367" s="29">
        <f>'По платам'!L369*'Состав прибора'!$B$16</f>
        <v>0</v>
      </c>
    </row>
    <row r="368" spans="1:14">
      <c r="A368" s="16" t="s">
        <v>32</v>
      </c>
      <c r="C368" s="18" t="s">
        <v>1317</v>
      </c>
      <c r="D368" s="25">
        <f t="shared" si="5"/>
        <v>8</v>
      </c>
      <c r="E368" s="29">
        <f>'По платам'!C370*$E$1</f>
        <v>0</v>
      </c>
      <c r="F368" s="29">
        <f>'По платам'!D370*$F$1</f>
        <v>0</v>
      </c>
      <c r="G368" s="29">
        <f>'По платам'!E370*$G$1</f>
        <v>0</v>
      </c>
      <c r="H368" s="29">
        <f>'По платам'!F370*$H$1</f>
        <v>8</v>
      </c>
      <c r="I368" s="29">
        <f>'По платам'!G370*$I$1</f>
        <v>0</v>
      </c>
      <c r="J368" s="29">
        <f>'По платам'!H370*$J$1</f>
        <v>0</v>
      </c>
      <c r="K368" s="29">
        <f>'По платам'!I370*$K$1</f>
        <v>0</v>
      </c>
      <c r="L368" s="29">
        <f>'По платам'!J370*$L$1</f>
        <v>0</v>
      </c>
      <c r="M368" s="29">
        <f>'По платам'!K370*$M$1</f>
        <v>0</v>
      </c>
      <c r="N368" s="29">
        <f>'По платам'!L370*'Состав прибора'!$B$16</f>
        <v>0</v>
      </c>
    </row>
    <row r="369" spans="1:14">
      <c r="A369" s="16" t="s">
        <v>32</v>
      </c>
      <c r="C369" s="18" t="s">
        <v>786</v>
      </c>
      <c r="D369" s="25">
        <f t="shared" si="5"/>
        <v>9</v>
      </c>
      <c r="E369" s="29">
        <f>'По платам'!C371*$E$1</f>
        <v>0</v>
      </c>
      <c r="F369" s="29">
        <f>'По платам'!D371*$F$1</f>
        <v>0</v>
      </c>
      <c r="G369" s="29">
        <f>'По платам'!E371*$G$1</f>
        <v>0</v>
      </c>
      <c r="H369" s="29">
        <f>'По платам'!F371*$H$1</f>
        <v>0</v>
      </c>
      <c r="I369" s="29">
        <f>'По платам'!G371*$I$1</f>
        <v>0</v>
      </c>
      <c r="J369" s="29">
        <f>'По платам'!H371*$J$1</f>
        <v>0</v>
      </c>
      <c r="K369" s="29">
        <f>'По платам'!I371*$K$1</f>
        <v>9</v>
      </c>
      <c r="L369" s="29">
        <f>'По платам'!J371*$L$1</f>
        <v>0</v>
      </c>
      <c r="M369" s="29">
        <f>'По платам'!K371*$M$1</f>
        <v>0</v>
      </c>
      <c r="N369" s="29">
        <f>'По платам'!L371*'Состав прибора'!$B$16</f>
        <v>0</v>
      </c>
    </row>
    <row r="370" spans="1:14">
      <c r="A370" s="16" t="s">
        <v>32</v>
      </c>
      <c r="C370" s="18" t="s">
        <v>406</v>
      </c>
      <c r="D370" s="25">
        <f t="shared" si="5"/>
        <v>31</v>
      </c>
      <c r="E370" s="29">
        <f>'По платам'!C372*$E$1</f>
        <v>0</v>
      </c>
      <c r="F370" s="29">
        <f>'По платам'!D372*$F$1</f>
        <v>0</v>
      </c>
      <c r="G370" s="29">
        <f>'По платам'!E372*$G$1</f>
        <v>0</v>
      </c>
      <c r="H370" s="29">
        <f>'По платам'!F372*$H$1</f>
        <v>0</v>
      </c>
      <c r="I370" s="29">
        <f>'По платам'!G372*$I$1</f>
        <v>0</v>
      </c>
      <c r="J370" s="29">
        <f>'По платам'!H372*$J$1</f>
        <v>0</v>
      </c>
      <c r="K370" s="29">
        <f>'По платам'!I372*$K$1</f>
        <v>23</v>
      </c>
      <c r="L370" s="29">
        <f>'По платам'!J372*$L$1</f>
        <v>8</v>
      </c>
      <c r="M370" s="29">
        <f>'По платам'!K372*$M$1</f>
        <v>0</v>
      </c>
      <c r="N370" s="29">
        <f>'По платам'!L372*'Состав прибора'!$B$16</f>
        <v>0</v>
      </c>
    </row>
    <row r="371" spans="1:14">
      <c r="A371" s="16" t="s">
        <v>32</v>
      </c>
      <c r="C371" s="18" t="s">
        <v>789</v>
      </c>
      <c r="D371" s="25">
        <f t="shared" si="5"/>
        <v>8</v>
      </c>
      <c r="E371" s="29">
        <f>'По платам'!C373*$E$1</f>
        <v>0</v>
      </c>
      <c r="F371" s="29">
        <f>'По платам'!D373*$F$1</f>
        <v>0</v>
      </c>
      <c r="G371" s="29">
        <f>'По платам'!E373*$G$1</f>
        <v>0</v>
      </c>
      <c r="H371" s="29">
        <f>'По платам'!F373*$H$1</f>
        <v>0</v>
      </c>
      <c r="I371" s="29">
        <f>'По платам'!G373*$I$1</f>
        <v>0</v>
      </c>
      <c r="J371" s="29">
        <f>'По платам'!H373*$J$1</f>
        <v>0</v>
      </c>
      <c r="K371" s="29">
        <f>'По платам'!I373*$K$1</f>
        <v>8</v>
      </c>
      <c r="L371" s="29">
        <f>'По платам'!J373*$L$1</f>
        <v>0</v>
      </c>
      <c r="M371" s="29">
        <f>'По платам'!K373*$M$1</f>
        <v>0</v>
      </c>
      <c r="N371" s="29">
        <f>'По платам'!L373*'Состав прибора'!$B$16</f>
        <v>0</v>
      </c>
    </row>
    <row r="372" spans="1:14">
      <c r="A372" s="16" t="s">
        <v>32</v>
      </c>
      <c r="C372" s="18" t="s">
        <v>1715</v>
      </c>
      <c r="D372" s="25">
        <f t="shared" si="5"/>
        <v>0</v>
      </c>
      <c r="E372" s="29">
        <f>'По платам'!C374*$E$1</f>
        <v>0</v>
      </c>
      <c r="F372" s="29">
        <f>'По платам'!D374*$F$1</f>
        <v>0</v>
      </c>
      <c r="G372" s="29">
        <f>'По платам'!E374*$G$1</f>
        <v>0</v>
      </c>
      <c r="H372" s="29">
        <f>'По платам'!F374*$H$1</f>
        <v>0</v>
      </c>
      <c r="I372" s="29">
        <f>'По платам'!G374*$I$1</f>
        <v>0</v>
      </c>
      <c r="J372" s="29">
        <f>'По платам'!H374*$J$1</f>
        <v>0</v>
      </c>
      <c r="K372" s="29">
        <f>'По платам'!I374*$K$1</f>
        <v>0</v>
      </c>
      <c r="L372" s="29">
        <f>'По платам'!J374*$L$1</f>
        <v>0</v>
      </c>
      <c r="M372" s="29">
        <f>'По платам'!K374*$M$1</f>
        <v>0</v>
      </c>
      <c r="N372" s="29">
        <f>'По платам'!L374*'Состав прибора'!$B$16</f>
        <v>0</v>
      </c>
    </row>
    <row r="373" spans="1:14">
      <c r="A373" s="16" t="s">
        <v>32</v>
      </c>
      <c r="C373" s="18" t="s">
        <v>76</v>
      </c>
      <c r="D373" s="25">
        <f t="shared" si="5"/>
        <v>18</v>
      </c>
      <c r="E373" s="29">
        <f>'По платам'!C375*$E$1</f>
        <v>0</v>
      </c>
      <c r="F373" s="29">
        <f>'По платам'!D375*$F$1</f>
        <v>0</v>
      </c>
      <c r="G373" s="29">
        <f>'По платам'!E375*$G$1</f>
        <v>0</v>
      </c>
      <c r="H373" s="29">
        <f>'По платам'!F375*$H$1</f>
        <v>0</v>
      </c>
      <c r="I373" s="29">
        <f>'По платам'!G375*$I$1</f>
        <v>4</v>
      </c>
      <c r="J373" s="29">
        <f>'По платам'!H375*$J$1</f>
        <v>6</v>
      </c>
      <c r="K373" s="29">
        <f>'По платам'!I375*$K$1</f>
        <v>4</v>
      </c>
      <c r="L373" s="29">
        <f>'По платам'!J375*$L$1</f>
        <v>4</v>
      </c>
      <c r="M373" s="29">
        <f>'По платам'!K375*$M$1</f>
        <v>0</v>
      </c>
      <c r="N373" s="29">
        <f>'По платам'!L375*'Состав прибора'!$B$16</f>
        <v>0</v>
      </c>
    </row>
    <row r="374" spans="1:14">
      <c r="A374" s="16" t="s">
        <v>32</v>
      </c>
      <c r="C374" s="18" t="s">
        <v>809</v>
      </c>
      <c r="D374" s="25">
        <f t="shared" si="5"/>
        <v>1</v>
      </c>
      <c r="E374" s="29">
        <f>'По платам'!C376*$E$1</f>
        <v>0</v>
      </c>
      <c r="F374" s="29">
        <f>'По платам'!D376*$F$1</f>
        <v>0</v>
      </c>
      <c r="G374" s="29">
        <f>'По платам'!E376*$G$1</f>
        <v>0</v>
      </c>
      <c r="H374" s="29">
        <f>'По платам'!F376*$H$1</f>
        <v>0</v>
      </c>
      <c r="I374" s="29">
        <f>'По платам'!G376*$I$1</f>
        <v>0</v>
      </c>
      <c r="J374" s="29">
        <f>'По платам'!H376*$J$1</f>
        <v>0</v>
      </c>
      <c r="K374" s="29">
        <f>'По платам'!I376*$K$1</f>
        <v>1</v>
      </c>
      <c r="L374" s="29">
        <f>'По платам'!J376*$L$1</f>
        <v>0</v>
      </c>
      <c r="M374" s="29">
        <f>'По платам'!K376*$M$1</f>
        <v>0</v>
      </c>
      <c r="N374" s="29">
        <f>'По платам'!L376*'Состав прибора'!$B$16</f>
        <v>0</v>
      </c>
    </row>
    <row r="375" spans="1:14">
      <c r="A375" s="16" t="s">
        <v>32</v>
      </c>
      <c r="C375" s="18" t="s">
        <v>793</v>
      </c>
      <c r="D375" s="25">
        <f t="shared" si="5"/>
        <v>1</v>
      </c>
      <c r="E375" s="29">
        <f>'По платам'!C377*$E$1</f>
        <v>0</v>
      </c>
      <c r="F375" s="29">
        <f>'По платам'!D377*$F$1</f>
        <v>0</v>
      </c>
      <c r="G375" s="29">
        <f>'По платам'!E377*$G$1</f>
        <v>0</v>
      </c>
      <c r="H375" s="29">
        <f>'По платам'!F377*$H$1</f>
        <v>0</v>
      </c>
      <c r="I375" s="29">
        <f>'По платам'!G377*$I$1</f>
        <v>0</v>
      </c>
      <c r="J375" s="29">
        <f>'По платам'!H377*$J$1</f>
        <v>0</v>
      </c>
      <c r="K375" s="29">
        <f>'По платам'!I377*$K$1</f>
        <v>1</v>
      </c>
      <c r="L375" s="29">
        <f>'По платам'!J377*$L$1</f>
        <v>0</v>
      </c>
      <c r="M375" s="29">
        <f>'По платам'!K377*$M$1</f>
        <v>0</v>
      </c>
      <c r="N375" s="29">
        <f>'По платам'!L377*'Состав прибора'!$B$16</f>
        <v>0</v>
      </c>
    </row>
    <row r="376" spans="1:14">
      <c r="A376" s="16" t="s">
        <v>32</v>
      </c>
      <c r="C376" s="18" t="s">
        <v>309</v>
      </c>
      <c r="D376" s="25">
        <f t="shared" si="5"/>
        <v>4</v>
      </c>
      <c r="E376" s="29">
        <f>'По платам'!C378*$E$1</f>
        <v>0</v>
      </c>
      <c r="F376" s="29">
        <f>'По платам'!D378*$F$1</f>
        <v>0</v>
      </c>
      <c r="G376" s="29">
        <f>'По платам'!E378*$G$1</f>
        <v>0</v>
      </c>
      <c r="H376" s="29">
        <f>'По платам'!F378*$H$1</f>
        <v>0</v>
      </c>
      <c r="I376" s="29">
        <f>'По платам'!G378*$I$1</f>
        <v>0</v>
      </c>
      <c r="J376" s="29">
        <f>'По платам'!H378*$J$1</f>
        <v>0</v>
      </c>
      <c r="K376" s="29">
        <f>'По платам'!I378*$K$1</f>
        <v>0</v>
      </c>
      <c r="L376" s="29">
        <f>'По платам'!J378*$L$1</f>
        <v>4</v>
      </c>
      <c r="M376" s="29">
        <f>'По платам'!K378*$M$1</f>
        <v>0</v>
      </c>
      <c r="N376" s="29">
        <f>'По платам'!L378*'Состав прибора'!$B$16</f>
        <v>0</v>
      </c>
    </row>
    <row r="377" spans="1:14">
      <c r="A377" s="16" t="s">
        <v>32</v>
      </c>
      <c r="C377" s="18" t="s">
        <v>273</v>
      </c>
      <c r="D377" s="25">
        <f t="shared" si="5"/>
        <v>14</v>
      </c>
      <c r="E377" s="29">
        <f>'По платам'!C379*$E$1</f>
        <v>0</v>
      </c>
      <c r="F377" s="29">
        <f>'По платам'!D379*$F$1</f>
        <v>0</v>
      </c>
      <c r="G377" s="29">
        <f>'По платам'!E379*$G$1</f>
        <v>0</v>
      </c>
      <c r="H377" s="29">
        <f>'По платам'!F379*$H$1</f>
        <v>0</v>
      </c>
      <c r="I377" s="29">
        <f>'По платам'!G379*$I$1</f>
        <v>0</v>
      </c>
      <c r="J377" s="29">
        <f>'По платам'!H379*$J$1</f>
        <v>5</v>
      </c>
      <c r="K377" s="29">
        <f>'По платам'!I379*$K$1</f>
        <v>3</v>
      </c>
      <c r="L377" s="29">
        <f>'По платам'!J379*$L$1</f>
        <v>6</v>
      </c>
      <c r="M377" s="29">
        <f>'По платам'!K379*$M$1</f>
        <v>0</v>
      </c>
      <c r="N377" s="29">
        <f>'По платам'!L379*'Состав прибора'!$B$16</f>
        <v>0</v>
      </c>
    </row>
    <row r="378" spans="1:14">
      <c r="A378" s="16" t="s">
        <v>32</v>
      </c>
      <c r="C378" s="18" t="s">
        <v>633</v>
      </c>
      <c r="D378" s="25">
        <f t="shared" si="5"/>
        <v>1</v>
      </c>
      <c r="E378" s="29">
        <f>'По платам'!C380*$E$1</f>
        <v>0</v>
      </c>
      <c r="F378" s="29">
        <f>'По платам'!D380*$F$1</f>
        <v>0</v>
      </c>
      <c r="G378" s="29">
        <f>'По платам'!E380*$G$1</f>
        <v>0</v>
      </c>
      <c r="H378" s="29">
        <f>'По платам'!F380*$H$1</f>
        <v>0</v>
      </c>
      <c r="I378" s="29">
        <f>'По платам'!G380*$I$1</f>
        <v>0</v>
      </c>
      <c r="J378" s="29">
        <f>'По платам'!H380*$J$1</f>
        <v>0</v>
      </c>
      <c r="K378" s="29">
        <f>'По платам'!I380*$K$1</f>
        <v>1</v>
      </c>
      <c r="L378" s="29">
        <f>'По платам'!J380*$L$1</f>
        <v>0</v>
      </c>
      <c r="M378" s="29">
        <f>'По платам'!K380*$M$1</f>
        <v>0</v>
      </c>
      <c r="N378" s="29">
        <f>'По платам'!L380*'Состав прибора'!$B$16</f>
        <v>0</v>
      </c>
    </row>
    <row r="379" spans="1:14">
      <c r="A379" s="16" t="s">
        <v>2672</v>
      </c>
      <c r="C379" s="18" t="s">
        <v>2671</v>
      </c>
      <c r="D379" s="25">
        <f t="shared" si="5"/>
        <v>0</v>
      </c>
      <c r="E379" s="29">
        <f>'По платам'!C381*$E$1</f>
        <v>0</v>
      </c>
      <c r="F379" s="29">
        <f>'По платам'!D381*$F$1</f>
        <v>0</v>
      </c>
      <c r="G379" s="29">
        <f>'По платам'!E381*$G$1</f>
        <v>0</v>
      </c>
      <c r="H379" s="29">
        <f>'По платам'!F381*$H$1</f>
        <v>0</v>
      </c>
      <c r="I379" s="29">
        <f>'По платам'!G381*$I$1</f>
        <v>0</v>
      </c>
      <c r="J379" s="29">
        <f>'По платам'!H381*$J$1</f>
        <v>0</v>
      </c>
      <c r="K379" s="29">
        <f>'По платам'!I381*$K$1</f>
        <v>0</v>
      </c>
      <c r="L379" s="29">
        <f>'По платам'!J381*$L$1</f>
        <v>0</v>
      </c>
      <c r="M379" s="29">
        <f>'По платам'!K381*$M$1</f>
        <v>0</v>
      </c>
      <c r="N379" s="29">
        <f>'По платам'!L381*'Состав прибора'!$B$16</f>
        <v>0</v>
      </c>
    </row>
    <row r="380" spans="1:14">
      <c r="A380" s="16" t="s">
        <v>118</v>
      </c>
      <c r="C380" s="18" t="s">
        <v>117</v>
      </c>
      <c r="D380" s="25">
        <f t="shared" si="5"/>
        <v>1</v>
      </c>
      <c r="E380" s="29">
        <f>'По платам'!C382*$E$1</f>
        <v>0</v>
      </c>
      <c r="F380" s="29">
        <f>'По платам'!D382*$F$1</f>
        <v>0</v>
      </c>
      <c r="G380" s="29">
        <f>'По платам'!E382*$G$1</f>
        <v>0</v>
      </c>
      <c r="H380" s="29">
        <f>'По платам'!F382*$H$1</f>
        <v>1</v>
      </c>
      <c r="I380" s="29">
        <f>'По платам'!G382*$I$1</f>
        <v>0</v>
      </c>
      <c r="J380" s="29">
        <f>'По платам'!H382*$J$1</f>
        <v>0</v>
      </c>
      <c r="K380" s="29">
        <f>'По платам'!I382*$K$1</f>
        <v>0</v>
      </c>
      <c r="L380" s="29">
        <f>'По платам'!J382*$L$1</f>
        <v>0</v>
      </c>
      <c r="M380" s="29">
        <f>'По платам'!K382*$M$1</f>
        <v>0</v>
      </c>
      <c r="N380" s="29">
        <f>'По платам'!L382*'Состав прибора'!$B$16</f>
        <v>0</v>
      </c>
    </row>
    <row r="381" spans="1:14">
      <c r="A381" s="16" t="s">
        <v>118</v>
      </c>
      <c r="C381" s="18" t="s">
        <v>2871</v>
      </c>
      <c r="D381" s="25">
        <f t="shared" si="5"/>
        <v>0</v>
      </c>
      <c r="E381" s="29">
        <f>'По платам'!C383*$E$1</f>
        <v>0</v>
      </c>
      <c r="F381" s="29">
        <f>'По платам'!D383*$F$1</f>
        <v>0</v>
      </c>
      <c r="G381" s="29">
        <f>'По платам'!E383*$G$1</f>
        <v>0</v>
      </c>
      <c r="H381" s="29">
        <f>'По платам'!F383*$H$1</f>
        <v>0</v>
      </c>
      <c r="I381" s="29">
        <f>'По платам'!G383*$I$1</f>
        <v>0</v>
      </c>
      <c r="J381" s="29">
        <f>'По платам'!H383*$J$1</f>
        <v>0</v>
      </c>
      <c r="K381" s="29">
        <f>'По платам'!I383*$K$1</f>
        <v>0</v>
      </c>
      <c r="L381" s="29">
        <f>'По платам'!J383*$L$1</f>
        <v>0</v>
      </c>
      <c r="M381" s="29">
        <f>'По платам'!K383*$M$1</f>
        <v>0</v>
      </c>
      <c r="N381" s="29">
        <f>'По платам'!L383*'Состав прибора'!$B$16</f>
        <v>0</v>
      </c>
    </row>
    <row r="382" spans="1:14">
      <c r="A382" s="16" t="s">
        <v>3043</v>
      </c>
      <c r="C382" s="18" t="s">
        <v>2221</v>
      </c>
      <c r="D382" s="25">
        <f t="shared" si="5"/>
        <v>0</v>
      </c>
      <c r="E382" s="29">
        <f>'По платам'!C384*$E$1</f>
        <v>0</v>
      </c>
      <c r="F382" s="29">
        <f>'По платам'!D384*$F$1</f>
        <v>0</v>
      </c>
      <c r="G382" s="29">
        <f>'По платам'!E384*$G$1</f>
        <v>0</v>
      </c>
      <c r="H382" s="29">
        <f>'По платам'!F384*$H$1</f>
        <v>0</v>
      </c>
      <c r="I382" s="29">
        <f>'По платам'!G384*$I$1</f>
        <v>0</v>
      </c>
      <c r="J382" s="29">
        <f>'По платам'!H384*$J$1</f>
        <v>0</v>
      </c>
      <c r="K382" s="29">
        <f>'По платам'!I384*$K$1</f>
        <v>0</v>
      </c>
      <c r="L382" s="29">
        <f>'По платам'!J384*$L$1</f>
        <v>0</v>
      </c>
      <c r="M382" s="29">
        <f>'По платам'!K384*$M$1</f>
        <v>0</v>
      </c>
      <c r="N382" s="29">
        <f>'По платам'!L384*'Состав прибора'!$B$16</f>
        <v>0</v>
      </c>
    </row>
    <row r="383" spans="1:14">
      <c r="A383" s="16" t="s">
        <v>339</v>
      </c>
      <c r="C383" s="18" t="s">
        <v>2260</v>
      </c>
      <c r="D383" s="25">
        <f t="shared" si="5"/>
        <v>0</v>
      </c>
      <c r="E383" s="29">
        <f>'По платам'!C385*$E$1</f>
        <v>0</v>
      </c>
      <c r="F383" s="29">
        <f>'По платам'!D385*$F$1</f>
        <v>0</v>
      </c>
      <c r="G383" s="29">
        <f>'По платам'!E385*$G$1</f>
        <v>0</v>
      </c>
      <c r="H383" s="29">
        <f>'По платам'!F385*$H$1</f>
        <v>0</v>
      </c>
      <c r="I383" s="29">
        <f>'По платам'!G385*$I$1</f>
        <v>0</v>
      </c>
      <c r="J383" s="29">
        <f>'По платам'!H385*$J$1</f>
        <v>0</v>
      </c>
      <c r="K383" s="29">
        <f>'По платам'!I385*$K$1</f>
        <v>0</v>
      </c>
      <c r="L383" s="29">
        <f>'По платам'!J385*$L$1</f>
        <v>0</v>
      </c>
      <c r="M383" s="29">
        <f>'По платам'!K385*$M$1</f>
        <v>0</v>
      </c>
      <c r="N383" s="29">
        <f>'По платам'!L385*'Состав прибора'!$B$16</f>
        <v>0</v>
      </c>
    </row>
    <row r="384" spans="1:14">
      <c r="A384" s="16" t="s">
        <v>339</v>
      </c>
      <c r="C384" s="18" t="s">
        <v>1609</v>
      </c>
      <c r="D384" s="25">
        <f t="shared" si="5"/>
        <v>0</v>
      </c>
      <c r="E384" s="29">
        <f>'По платам'!C386*$E$1</f>
        <v>0</v>
      </c>
      <c r="F384" s="29">
        <f>'По платам'!D386*$F$1</f>
        <v>0</v>
      </c>
      <c r="G384" s="29">
        <f>'По платам'!E386*$G$1</f>
        <v>0</v>
      </c>
      <c r="H384" s="29">
        <f>'По платам'!F386*$H$1</f>
        <v>0</v>
      </c>
      <c r="I384" s="29">
        <f>'По платам'!G386*$I$1</f>
        <v>0</v>
      </c>
      <c r="J384" s="29">
        <f>'По платам'!H386*$J$1</f>
        <v>0</v>
      </c>
      <c r="K384" s="29">
        <f>'По платам'!I386*$K$1</f>
        <v>0</v>
      </c>
      <c r="L384" s="29">
        <f>'По платам'!J386*$L$1</f>
        <v>0</v>
      </c>
      <c r="M384" s="29">
        <f>'По платам'!K386*$M$1</f>
        <v>0</v>
      </c>
      <c r="N384" s="29">
        <f>'По платам'!L386*'Состав прибора'!$B$16</f>
        <v>0</v>
      </c>
    </row>
    <row r="385" spans="1:14">
      <c r="A385" s="16" t="s">
        <v>339</v>
      </c>
      <c r="C385" s="18" t="s">
        <v>1347</v>
      </c>
      <c r="D385" s="25">
        <f t="shared" si="5"/>
        <v>1</v>
      </c>
      <c r="E385" s="29">
        <f>'По платам'!C387*$E$1</f>
        <v>0</v>
      </c>
      <c r="F385" s="29">
        <f>'По платам'!D387*$F$1</f>
        <v>0</v>
      </c>
      <c r="G385" s="29">
        <f>'По платам'!E387*$G$1</f>
        <v>0</v>
      </c>
      <c r="H385" s="29">
        <f>'По платам'!F387*$H$1</f>
        <v>1</v>
      </c>
      <c r="I385" s="29">
        <f>'По платам'!G387*$I$1</f>
        <v>0</v>
      </c>
      <c r="J385" s="29">
        <f>'По платам'!H387*$J$1</f>
        <v>0</v>
      </c>
      <c r="K385" s="29">
        <f>'По платам'!I387*$K$1</f>
        <v>0</v>
      </c>
      <c r="L385" s="29">
        <f>'По платам'!J387*$L$1</f>
        <v>0</v>
      </c>
      <c r="M385" s="29">
        <f>'По платам'!K387*$M$1</f>
        <v>0</v>
      </c>
      <c r="N385" s="29">
        <f>'По платам'!L387*'Состав прибора'!$B$16</f>
        <v>0</v>
      </c>
    </row>
    <row r="386" spans="1:14">
      <c r="A386" s="16" t="s">
        <v>339</v>
      </c>
      <c r="C386" s="18" t="s">
        <v>656</v>
      </c>
      <c r="D386" s="25">
        <f t="shared" ref="D386:D449" si="6">SUM(E386:N386)</f>
        <v>4</v>
      </c>
      <c r="E386" s="29">
        <f>'По платам'!C388*$E$1</f>
        <v>0</v>
      </c>
      <c r="F386" s="29">
        <f>'По платам'!D388*$F$1</f>
        <v>0</v>
      </c>
      <c r="G386" s="29">
        <f>'По платам'!E388*$G$1</f>
        <v>0</v>
      </c>
      <c r="H386" s="29">
        <f>'По платам'!F388*$H$1</f>
        <v>0</v>
      </c>
      <c r="I386" s="29">
        <f>'По платам'!G388*$I$1</f>
        <v>0</v>
      </c>
      <c r="J386" s="29">
        <f>'По платам'!H388*$J$1</f>
        <v>0</v>
      </c>
      <c r="K386" s="29">
        <f>'По платам'!I388*$K$1</f>
        <v>4</v>
      </c>
      <c r="L386" s="29">
        <f>'По платам'!J388*$L$1</f>
        <v>0</v>
      </c>
      <c r="M386" s="29">
        <f>'По платам'!K388*$M$1</f>
        <v>0</v>
      </c>
      <c r="N386" s="29">
        <f>'По платам'!L388*'Состав прибора'!$B$16</f>
        <v>0</v>
      </c>
    </row>
    <row r="387" spans="1:14">
      <c r="A387" s="16" t="s">
        <v>339</v>
      </c>
      <c r="C387" s="18" t="s">
        <v>2209</v>
      </c>
      <c r="D387" s="25">
        <f t="shared" si="6"/>
        <v>0</v>
      </c>
      <c r="E387" s="29">
        <f>'По платам'!C389*$E$1</f>
        <v>0</v>
      </c>
      <c r="F387" s="29">
        <f>'По платам'!D389*$F$1</f>
        <v>0</v>
      </c>
      <c r="G387" s="29">
        <f>'По платам'!E389*$G$1</f>
        <v>0</v>
      </c>
      <c r="H387" s="29">
        <f>'По платам'!F389*$H$1</f>
        <v>0</v>
      </c>
      <c r="I387" s="29">
        <f>'По платам'!G389*$I$1</f>
        <v>0</v>
      </c>
      <c r="J387" s="29">
        <f>'По платам'!H389*$J$1</f>
        <v>0</v>
      </c>
      <c r="K387" s="29">
        <f>'По платам'!I389*$K$1</f>
        <v>0</v>
      </c>
      <c r="L387" s="29">
        <f>'По платам'!J389*$L$1</f>
        <v>0</v>
      </c>
      <c r="M387" s="29">
        <f>'По платам'!K389*$M$1</f>
        <v>0</v>
      </c>
      <c r="N387" s="29">
        <f>'По платам'!L389*'Состав прибора'!$B$16</f>
        <v>0</v>
      </c>
    </row>
    <row r="388" spans="1:14">
      <c r="A388" s="16" t="s">
        <v>339</v>
      </c>
      <c r="C388" s="18" t="s">
        <v>1354</v>
      </c>
      <c r="D388" s="25">
        <f t="shared" si="6"/>
        <v>1</v>
      </c>
      <c r="E388" s="29">
        <f>'По платам'!C390*$E$1</f>
        <v>0</v>
      </c>
      <c r="F388" s="29">
        <f>'По платам'!D390*$F$1</f>
        <v>0</v>
      </c>
      <c r="G388" s="29">
        <f>'По платам'!E390*$G$1</f>
        <v>0</v>
      </c>
      <c r="H388" s="29">
        <f>'По платам'!F390*$H$1</f>
        <v>1</v>
      </c>
      <c r="I388" s="29">
        <f>'По платам'!G390*$I$1</f>
        <v>0</v>
      </c>
      <c r="J388" s="29">
        <f>'По платам'!H390*$J$1</f>
        <v>0</v>
      </c>
      <c r="K388" s="29">
        <f>'По платам'!I390*$K$1</f>
        <v>0</v>
      </c>
      <c r="L388" s="29">
        <f>'По платам'!J390*$L$1</f>
        <v>0</v>
      </c>
      <c r="M388" s="29">
        <f>'По платам'!K390*$M$1</f>
        <v>0</v>
      </c>
      <c r="N388" s="29">
        <f>'По платам'!L390*'Состав прибора'!$B$16</f>
        <v>0</v>
      </c>
    </row>
    <row r="389" spans="1:14">
      <c r="A389" s="16" t="s">
        <v>339</v>
      </c>
      <c r="C389" s="18" t="s">
        <v>388</v>
      </c>
      <c r="D389" s="25">
        <f t="shared" si="6"/>
        <v>8</v>
      </c>
      <c r="E389" s="29">
        <f>'По платам'!C391*$E$1</f>
        <v>0</v>
      </c>
      <c r="F389" s="29">
        <f>'По платам'!D391*$F$1</f>
        <v>0</v>
      </c>
      <c r="G389" s="29">
        <f>'По платам'!E391*$G$1</f>
        <v>0</v>
      </c>
      <c r="H389" s="29">
        <f>'По платам'!F391*$H$1</f>
        <v>0</v>
      </c>
      <c r="I389" s="29">
        <f>'По платам'!G391*$I$1</f>
        <v>4</v>
      </c>
      <c r="J389" s="29">
        <f>'По платам'!H391*$J$1</f>
        <v>0</v>
      </c>
      <c r="K389" s="29">
        <f>'По платам'!I391*$K$1</f>
        <v>2</v>
      </c>
      <c r="L389" s="29">
        <f>'По платам'!J391*$L$1</f>
        <v>2</v>
      </c>
      <c r="M389" s="29">
        <f>'По платам'!K391*$M$1</f>
        <v>0</v>
      </c>
      <c r="N389" s="29">
        <f>'По платам'!L391*'Состав прибора'!$B$16</f>
        <v>0</v>
      </c>
    </row>
    <row r="390" spans="1:14">
      <c r="A390" s="16" t="s">
        <v>339</v>
      </c>
      <c r="C390" s="18" t="s">
        <v>2231</v>
      </c>
      <c r="D390" s="25">
        <f t="shared" si="6"/>
        <v>0</v>
      </c>
      <c r="E390" s="29">
        <f>'По платам'!C392*$E$1</f>
        <v>0</v>
      </c>
      <c r="F390" s="29">
        <f>'По платам'!D392*$F$1</f>
        <v>0</v>
      </c>
      <c r="G390" s="29">
        <f>'По платам'!E392*$G$1</f>
        <v>0</v>
      </c>
      <c r="H390" s="29">
        <f>'По платам'!F392*$H$1</f>
        <v>0</v>
      </c>
      <c r="I390" s="29">
        <f>'По платам'!G392*$I$1</f>
        <v>0</v>
      </c>
      <c r="J390" s="29">
        <f>'По платам'!H392*$J$1</f>
        <v>0</v>
      </c>
      <c r="K390" s="29">
        <f>'По платам'!I392*$K$1</f>
        <v>0</v>
      </c>
      <c r="L390" s="29">
        <f>'По платам'!J392*$L$1</f>
        <v>0</v>
      </c>
      <c r="M390" s="29">
        <f>'По платам'!K392*$M$1</f>
        <v>0</v>
      </c>
      <c r="N390" s="29">
        <f>'По платам'!L392*'Состав прибора'!$B$16</f>
        <v>0</v>
      </c>
    </row>
    <row r="391" spans="1:14">
      <c r="A391" s="16" t="s">
        <v>339</v>
      </c>
      <c r="C391" s="18" t="s">
        <v>377</v>
      </c>
      <c r="D391" s="25">
        <f t="shared" si="6"/>
        <v>8</v>
      </c>
      <c r="E391" s="29">
        <f>'По платам'!C393*$E$1</f>
        <v>0</v>
      </c>
      <c r="F391" s="29">
        <f>'По платам'!D393*$F$1</f>
        <v>0</v>
      </c>
      <c r="G391" s="29">
        <f>'По платам'!E393*$G$1</f>
        <v>0</v>
      </c>
      <c r="H391" s="29">
        <f>'По платам'!F393*$H$1</f>
        <v>1</v>
      </c>
      <c r="I391" s="29">
        <f>'По платам'!G393*$I$1</f>
        <v>0</v>
      </c>
      <c r="J391" s="29">
        <f>'По платам'!H393*$J$1</f>
        <v>2</v>
      </c>
      <c r="K391" s="29">
        <f>'По платам'!I393*$K$1</f>
        <v>3</v>
      </c>
      <c r="L391" s="29">
        <f>'По платам'!J393*$L$1</f>
        <v>2</v>
      </c>
      <c r="M391" s="29">
        <f>'По платам'!K393*$M$1</f>
        <v>0</v>
      </c>
      <c r="N391" s="29">
        <f>'По платам'!L393*'Состав прибора'!$B$16</f>
        <v>0</v>
      </c>
    </row>
    <row r="392" spans="1:14">
      <c r="A392" s="16" t="s">
        <v>339</v>
      </c>
      <c r="C392" s="18" t="s">
        <v>674</v>
      </c>
      <c r="D392" s="25">
        <f t="shared" si="6"/>
        <v>3</v>
      </c>
      <c r="E392" s="29">
        <f>'По платам'!C394*$E$1</f>
        <v>0</v>
      </c>
      <c r="F392" s="29">
        <f>'По платам'!D394*$F$1</f>
        <v>0</v>
      </c>
      <c r="G392" s="29">
        <f>'По платам'!E394*$G$1</f>
        <v>0</v>
      </c>
      <c r="H392" s="29">
        <f>'По платам'!F394*$H$1</f>
        <v>1</v>
      </c>
      <c r="I392" s="29">
        <f>'По платам'!G394*$I$1</f>
        <v>0</v>
      </c>
      <c r="J392" s="29">
        <f>'По платам'!H394*$J$1</f>
        <v>0</v>
      </c>
      <c r="K392" s="29">
        <f>'По платам'!I394*$K$1</f>
        <v>2</v>
      </c>
      <c r="L392" s="29">
        <f>'По платам'!J394*$L$1</f>
        <v>0</v>
      </c>
      <c r="M392" s="29">
        <f>'По платам'!K394*$M$1</f>
        <v>0</v>
      </c>
      <c r="N392" s="29">
        <f>'По платам'!L394*'Состав прибора'!$B$16</f>
        <v>0</v>
      </c>
    </row>
    <row r="393" spans="1:14">
      <c r="A393" s="16" t="s">
        <v>339</v>
      </c>
      <c r="C393" s="18" t="s">
        <v>2184</v>
      </c>
      <c r="D393" s="25">
        <f t="shared" si="6"/>
        <v>0</v>
      </c>
      <c r="E393" s="29">
        <f>'По платам'!C395*$E$1</f>
        <v>0</v>
      </c>
      <c r="F393" s="29">
        <f>'По платам'!D395*$F$1</f>
        <v>0</v>
      </c>
      <c r="G393" s="29">
        <f>'По платам'!E395*$G$1</f>
        <v>0</v>
      </c>
      <c r="H393" s="29">
        <f>'По платам'!F395*$H$1</f>
        <v>0</v>
      </c>
      <c r="I393" s="29">
        <f>'По платам'!G395*$I$1</f>
        <v>0</v>
      </c>
      <c r="J393" s="29">
        <f>'По платам'!H395*$J$1</f>
        <v>0</v>
      </c>
      <c r="K393" s="29">
        <f>'По платам'!I395*$K$1</f>
        <v>0</v>
      </c>
      <c r="L393" s="29">
        <f>'По платам'!J395*$L$1</f>
        <v>0</v>
      </c>
      <c r="M393" s="29">
        <f>'По платам'!K395*$M$1</f>
        <v>0</v>
      </c>
      <c r="N393" s="29">
        <f>'По платам'!L395*'Состав прибора'!$B$16</f>
        <v>0</v>
      </c>
    </row>
    <row r="394" spans="1:14">
      <c r="A394" s="16" t="s">
        <v>339</v>
      </c>
      <c r="C394" s="18" t="s">
        <v>1351</v>
      </c>
      <c r="D394" s="25">
        <f t="shared" si="6"/>
        <v>2</v>
      </c>
      <c r="E394" s="29">
        <f>'По платам'!C396*$E$1</f>
        <v>0</v>
      </c>
      <c r="F394" s="29">
        <f>'По платам'!D396*$F$1</f>
        <v>0</v>
      </c>
      <c r="G394" s="29">
        <f>'По платам'!E396*$G$1</f>
        <v>0</v>
      </c>
      <c r="H394" s="29">
        <f>'По платам'!F396*$H$1</f>
        <v>2</v>
      </c>
      <c r="I394" s="29">
        <f>'По платам'!G396*$I$1</f>
        <v>0</v>
      </c>
      <c r="J394" s="29">
        <f>'По платам'!H396*$J$1</f>
        <v>0</v>
      </c>
      <c r="K394" s="29">
        <f>'По платам'!I396*$K$1</f>
        <v>0</v>
      </c>
      <c r="L394" s="29">
        <f>'По платам'!J396*$L$1</f>
        <v>0</v>
      </c>
      <c r="M394" s="29">
        <f>'По платам'!K396*$M$1</f>
        <v>0</v>
      </c>
      <c r="N394" s="29">
        <f>'По платам'!L396*'Состав прибора'!$B$16</f>
        <v>0</v>
      </c>
    </row>
    <row r="395" spans="1:14">
      <c r="A395" s="16" t="s">
        <v>339</v>
      </c>
      <c r="C395" s="18" t="s">
        <v>1341</v>
      </c>
      <c r="D395" s="25">
        <f t="shared" si="6"/>
        <v>1</v>
      </c>
      <c r="E395" s="29">
        <f>'По платам'!C397*$E$1</f>
        <v>0</v>
      </c>
      <c r="F395" s="29">
        <f>'По платам'!D397*$F$1</f>
        <v>0</v>
      </c>
      <c r="G395" s="29">
        <f>'По платам'!E397*$G$1</f>
        <v>0</v>
      </c>
      <c r="H395" s="29">
        <f>'По платам'!F397*$H$1</f>
        <v>1</v>
      </c>
      <c r="I395" s="29">
        <f>'По платам'!G397*$I$1</f>
        <v>0</v>
      </c>
      <c r="J395" s="29">
        <f>'По платам'!H397*$J$1</f>
        <v>0</v>
      </c>
      <c r="K395" s="29">
        <f>'По платам'!I397*$K$1</f>
        <v>0</v>
      </c>
      <c r="L395" s="29">
        <f>'По платам'!J397*$L$1</f>
        <v>0</v>
      </c>
      <c r="M395" s="29">
        <f>'По платам'!K397*$M$1</f>
        <v>0</v>
      </c>
      <c r="N395" s="29">
        <f>'По платам'!L397*'Состав прибора'!$B$16</f>
        <v>0</v>
      </c>
    </row>
    <row r="396" spans="1:14">
      <c r="A396" s="16" t="s">
        <v>339</v>
      </c>
      <c r="C396" s="18" t="s">
        <v>338</v>
      </c>
      <c r="D396" s="25">
        <f t="shared" si="6"/>
        <v>2</v>
      </c>
      <c r="E396" s="29">
        <f>'По платам'!C398*$E$1</f>
        <v>0</v>
      </c>
      <c r="F396" s="29">
        <f>'По платам'!D398*$F$1</f>
        <v>0</v>
      </c>
      <c r="G396" s="29">
        <f>'По платам'!E398*$G$1</f>
        <v>0</v>
      </c>
      <c r="H396" s="29">
        <f>'По платам'!F398*$H$1</f>
        <v>0</v>
      </c>
      <c r="I396" s="29">
        <f>'По платам'!G398*$I$1</f>
        <v>0</v>
      </c>
      <c r="J396" s="29">
        <f>'По платам'!H398*$J$1</f>
        <v>0</v>
      </c>
      <c r="K396" s="29">
        <f>'По платам'!I398*$K$1</f>
        <v>1</v>
      </c>
      <c r="L396" s="29">
        <f>'По платам'!J398*$L$1</f>
        <v>1</v>
      </c>
      <c r="M396" s="29">
        <f>'По платам'!K398*$M$1</f>
        <v>0</v>
      </c>
      <c r="N396" s="29">
        <f>'По платам'!L398*'Состав прибора'!$B$16</f>
        <v>0</v>
      </c>
    </row>
    <row r="397" spans="1:14">
      <c r="A397" s="16" t="s">
        <v>339</v>
      </c>
      <c r="C397" s="18" t="s">
        <v>348</v>
      </c>
      <c r="D397" s="25">
        <f t="shared" si="6"/>
        <v>7</v>
      </c>
      <c r="E397" s="29">
        <f>'По платам'!C399*$E$1</f>
        <v>0</v>
      </c>
      <c r="F397" s="29">
        <f>'По платам'!D399*$F$1</f>
        <v>0</v>
      </c>
      <c r="G397" s="29">
        <f>'По платам'!E399*$G$1</f>
        <v>0</v>
      </c>
      <c r="H397" s="29">
        <f>'По платам'!F399*$H$1</f>
        <v>1</v>
      </c>
      <c r="I397" s="29">
        <f>'По платам'!G399*$I$1</f>
        <v>0</v>
      </c>
      <c r="J397" s="29">
        <f>'По платам'!H399*$J$1</f>
        <v>0</v>
      </c>
      <c r="K397" s="29">
        <f>'По платам'!I399*$K$1</f>
        <v>3</v>
      </c>
      <c r="L397" s="29">
        <f>'По платам'!J399*$L$1</f>
        <v>3</v>
      </c>
      <c r="M397" s="29">
        <f>'По платам'!K399*$M$1</f>
        <v>0</v>
      </c>
      <c r="N397" s="29">
        <f>'По платам'!L399*'Состав прибора'!$B$16</f>
        <v>0</v>
      </c>
    </row>
    <row r="398" spans="1:14">
      <c r="A398" s="16" t="s">
        <v>339</v>
      </c>
      <c r="C398" s="18" t="s">
        <v>372</v>
      </c>
      <c r="D398" s="25">
        <f t="shared" si="6"/>
        <v>5</v>
      </c>
      <c r="E398" s="29">
        <f>'По платам'!C400*$E$1</f>
        <v>0</v>
      </c>
      <c r="F398" s="29">
        <f>'По платам'!D400*$F$1</f>
        <v>0</v>
      </c>
      <c r="G398" s="29">
        <f>'По платам'!E400*$G$1</f>
        <v>0</v>
      </c>
      <c r="H398" s="29">
        <f>'По платам'!F400*$H$1</f>
        <v>0</v>
      </c>
      <c r="I398" s="29">
        <f>'По платам'!G400*$I$1</f>
        <v>0</v>
      </c>
      <c r="J398" s="29">
        <f>'По платам'!H400*$J$1</f>
        <v>0</v>
      </c>
      <c r="K398" s="29">
        <f>'По платам'!I400*$K$1</f>
        <v>3</v>
      </c>
      <c r="L398" s="29">
        <f>'По платам'!J400*$L$1</f>
        <v>2</v>
      </c>
      <c r="M398" s="29">
        <f>'По платам'!K400*$M$1</f>
        <v>0</v>
      </c>
      <c r="N398" s="29">
        <f>'По платам'!L400*'Состав прибора'!$B$16</f>
        <v>0</v>
      </c>
    </row>
    <row r="399" spans="1:14">
      <c r="A399" s="16" t="s">
        <v>2022</v>
      </c>
      <c r="C399" s="18" t="s">
        <v>2021</v>
      </c>
      <c r="D399" s="25">
        <f t="shared" si="6"/>
        <v>0</v>
      </c>
      <c r="E399" s="29">
        <f>'По платам'!C401*$E$1</f>
        <v>0</v>
      </c>
      <c r="F399" s="29">
        <f>'По платам'!D401*$F$1</f>
        <v>0</v>
      </c>
      <c r="G399" s="29">
        <f>'По платам'!E401*$G$1</f>
        <v>0</v>
      </c>
      <c r="H399" s="29">
        <f>'По платам'!F401*$H$1</f>
        <v>0</v>
      </c>
      <c r="I399" s="29">
        <f>'По платам'!G401*$I$1</f>
        <v>0</v>
      </c>
      <c r="J399" s="29">
        <f>'По платам'!H401*$J$1</f>
        <v>0</v>
      </c>
      <c r="K399" s="29">
        <f>'По платам'!I401*$K$1</f>
        <v>0</v>
      </c>
      <c r="L399" s="29">
        <f>'По платам'!J401*$L$1</f>
        <v>0</v>
      </c>
      <c r="M399" s="29">
        <f>'По платам'!K401*$M$1</f>
        <v>0</v>
      </c>
      <c r="N399" s="29">
        <f>'По платам'!L401*'Состав прибора'!$B$16</f>
        <v>0</v>
      </c>
    </row>
    <row r="400" spans="1:14">
      <c r="A400" s="16" t="s">
        <v>114</v>
      </c>
      <c r="C400" s="18" t="s">
        <v>2850</v>
      </c>
      <c r="D400" s="25">
        <f t="shared" si="6"/>
        <v>1</v>
      </c>
      <c r="E400" s="29">
        <f>'По платам'!C402*$E$1</f>
        <v>0</v>
      </c>
      <c r="F400" s="29">
        <f>'По платам'!D402*$F$1</f>
        <v>0</v>
      </c>
      <c r="G400" s="29">
        <f>'По платам'!E402*$G$1</f>
        <v>0</v>
      </c>
      <c r="H400" s="29">
        <f>'По платам'!F402*$H$1</f>
        <v>0</v>
      </c>
      <c r="I400" s="29">
        <f>'По платам'!G402*$I$1</f>
        <v>0</v>
      </c>
      <c r="J400" s="29">
        <f>'По платам'!H402*$J$1</f>
        <v>0</v>
      </c>
      <c r="K400" s="29">
        <f>'По платам'!I402*$K$1</f>
        <v>0</v>
      </c>
      <c r="L400" s="29">
        <f>'По платам'!J402*$L$1</f>
        <v>1</v>
      </c>
      <c r="M400" s="29">
        <f>'По платам'!K402*$M$1</f>
        <v>0</v>
      </c>
      <c r="N400" s="29">
        <f>'По платам'!L402*'Состав прибора'!$B$16</f>
        <v>0</v>
      </c>
    </row>
    <row r="401" spans="1:14">
      <c r="A401" s="16" t="s">
        <v>114</v>
      </c>
      <c r="C401" s="18" t="s">
        <v>366</v>
      </c>
      <c r="D401" s="25">
        <f t="shared" si="6"/>
        <v>17</v>
      </c>
      <c r="E401" s="29">
        <f>'По платам'!C403*$E$1</f>
        <v>0</v>
      </c>
      <c r="F401" s="29">
        <f>'По платам'!D403*$F$1</f>
        <v>0</v>
      </c>
      <c r="G401" s="29">
        <f>'По платам'!E403*$G$1</f>
        <v>0</v>
      </c>
      <c r="H401" s="29">
        <f>'По платам'!F403*$H$1</f>
        <v>0</v>
      </c>
      <c r="I401" s="29">
        <f>'По платам'!G403*$I$1</f>
        <v>1</v>
      </c>
      <c r="J401" s="29">
        <f>'По платам'!H403*$J$1</f>
        <v>0</v>
      </c>
      <c r="K401" s="29">
        <f>'По платам'!I403*$K$1</f>
        <v>12</v>
      </c>
      <c r="L401" s="29">
        <f>'По платам'!J403*$L$1</f>
        <v>4</v>
      </c>
      <c r="M401" s="29">
        <f>'По платам'!K403*$M$1</f>
        <v>0</v>
      </c>
      <c r="N401" s="29">
        <f>'По платам'!L403*'Состав прибора'!$B$16</f>
        <v>0</v>
      </c>
    </row>
    <row r="402" spans="1:14">
      <c r="A402" s="16" t="s">
        <v>114</v>
      </c>
      <c r="C402" s="18" t="s">
        <v>380</v>
      </c>
      <c r="D402" s="25">
        <f t="shared" si="6"/>
        <v>10</v>
      </c>
      <c r="E402" s="29">
        <f>'По платам'!C404*$E$1</f>
        <v>0</v>
      </c>
      <c r="F402" s="29">
        <f>'По платам'!D404*$F$1</f>
        <v>0</v>
      </c>
      <c r="G402" s="29">
        <f>'По платам'!E404*$G$1</f>
        <v>0</v>
      </c>
      <c r="H402" s="29">
        <f>'По платам'!F404*$H$1</f>
        <v>2</v>
      </c>
      <c r="I402" s="29">
        <f>'По платам'!G404*$I$1</f>
        <v>3</v>
      </c>
      <c r="J402" s="29">
        <f>'По платам'!H404*$J$1</f>
        <v>0</v>
      </c>
      <c r="K402" s="29">
        <f>'По платам'!I404*$K$1</f>
        <v>3</v>
      </c>
      <c r="L402" s="29">
        <f>'По платам'!J404*$L$1</f>
        <v>2</v>
      </c>
      <c r="M402" s="29">
        <f>'По платам'!K404*$M$1</f>
        <v>0</v>
      </c>
      <c r="N402" s="29">
        <f>'По платам'!L404*'Состав прибора'!$B$16</f>
        <v>0</v>
      </c>
    </row>
    <row r="403" spans="1:14">
      <c r="A403" s="16" t="s">
        <v>114</v>
      </c>
      <c r="C403" s="18" t="s">
        <v>652</v>
      </c>
      <c r="D403" s="25">
        <f t="shared" si="6"/>
        <v>2</v>
      </c>
      <c r="E403" s="29">
        <f>'По платам'!C405*$E$1</f>
        <v>0</v>
      </c>
      <c r="F403" s="29">
        <f>'По платам'!D405*$F$1</f>
        <v>0</v>
      </c>
      <c r="G403" s="29">
        <f>'По платам'!E405*$G$1</f>
        <v>0</v>
      </c>
      <c r="H403" s="29">
        <f>'По платам'!F405*$H$1</f>
        <v>0</v>
      </c>
      <c r="I403" s="29">
        <f>'По платам'!G405*$I$1</f>
        <v>0</v>
      </c>
      <c r="J403" s="29">
        <f>'По платам'!H405*$J$1</f>
        <v>0</v>
      </c>
      <c r="K403" s="29">
        <f>'По платам'!I405*$K$1</f>
        <v>2</v>
      </c>
      <c r="L403" s="29">
        <f>'По платам'!J405*$L$1</f>
        <v>0</v>
      </c>
      <c r="M403" s="29">
        <f>'По платам'!K405*$M$1</f>
        <v>0</v>
      </c>
      <c r="N403" s="29">
        <f>'По платам'!L405*'Состав прибора'!$B$16</f>
        <v>0</v>
      </c>
    </row>
    <row r="404" spans="1:14">
      <c r="A404" s="16" t="s">
        <v>114</v>
      </c>
      <c r="C404" s="18" t="s">
        <v>383</v>
      </c>
      <c r="D404" s="25">
        <f t="shared" si="6"/>
        <v>15</v>
      </c>
      <c r="E404" s="29">
        <f>'По платам'!C406*$E$1</f>
        <v>0</v>
      </c>
      <c r="F404" s="29">
        <f>'По платам'!D406*$F$1</f>
        <v>0</v>
      </c>
      <c r="G404" s="29">
        <f>'По платам'!E406*$G$1</f>
        <v>0</v>
      </c>
      <c r="H404" s="29">
        <f>'По платам'!F406*$H$1</f>
        <v>0</v>
      </c>
      <c r="I404" s="29">
        <f>'По платам'!G406*$I$1</f>
        <v>0</v>
      </c>
      <c r="J404" s="29">
        <f>'По платам'!H406*$J$1</f>
        <v>0</v>
      </c>
      <c r="K404" s="29">
        <f>'По платам'!I406*$K$1</f>
        <v>11</v>
      </c>
      <c r="L404" s="29">
        <f>'По платам'!J406*$L$1</f>
        <v>4</v>
      </c>
      <c r="M404" s="29">
        <f>'По платам'!K406*$M$1</f>
        <v>0</v>
      </c>
      <c r="N404" s="29">
        <f>'По платам'!L406*'Состав прибора'!$B$16</f>
        <v>0</v>
      </c>
    </row>
    <row r="405" spans="1:14">
      <c r="A405" s="16" t="s">
        <v>3044</v>
      </c>
      <c r="C405" s="18" t="s">
        <v>2608</v>
      </c>
      <c r="D405" s="25">
        <f t="shared" si="6"/>
        <v>0</v>
      </c>
      <c r="E405" s="29">
        <f>'По платам'!C407*$E$1</f>
        <v>0</v>
      </c>
      <c r="F405" s="29">
        <f>'По платам'!D407*$F$1</f>
        <v>0</v>
      </c>
      <c r="G405" s="29">
        <f>'По платам'!E407*$G$1</f>
        <v>0</v>
      </c>
      <c r="H405" s="29">
        <f>'По платам'!F407*$H$1</f>
        <v>0</v>
      </c>
      <c r="I405" s="29">
        <f>'По платам'!G407*$I$1</f>
        <v>0</v>
      </c>
      <c r="J405" s="29">
        <f>'По платам'!H407*$J$1</f>
        <v>0</v>
      </c>
      <c r="K405" s="29">
        <f>'По платам'!I407*$K$1</f>
        <v>0</v>
      </c>
      <c r="L405" s="29">
        <f>'По платам'!J407*$L$1</f>
        <v>0</v>
      </c>
      <c r="M405" s="29">
        <f>'По платам'!K407*$M$1</f>
        <v>0</v>
      </c>
      <c r="N405" s="29">
        <f>'По платам'!L407*'Состав прибора'!$B$16</f>
        <v>0</v>
      </c>
    </row>
    <row r="406" spans="1:14">
      <c r="A406" s="16" t="s">
        <v>3044</v>
      </c>
      <c r="C406" s="18" t="s">
        <v>2618</v>
      </c>
      <c r="D406" s="25">
        <f t="shared" si="6"/>
        <v>0</v>
      </c>
      <c r="E406" s="29">
        <f>'По платам'!C408*$E$1</f>
        <v>0</v>
      </c>
      <c r="F406" s="29">
        <f>'По платам'!D408*$F$1</f>
        <v>0</v>
      </c>
      <c r="G406" s="29">
        <f>'По платам'!E408*$G$1</f>
        <v>0</v>
      </c>
      <c r="H406" s="29">
        <f>'По платам'!F408*$H$1</f>
        <v>0</v>
      </c>
      <c r="I406" s="29">
        <f>'По платам'!G408*$I$1</f>
        <v>0</v>
      </c>
      <c r="J406" s="29">
        <f>'По платам'!H408*$J$1</f>
        <v>0</v>
      </c>
      <c r="K406" s="29">
        <f>'По платам'!I408*$K$1</f>
        <v>0</v>
      </c>
      <c r="L406" s="29">
        <f>'По платам'!J408*$L$1</f>
        <v>0</v>
      </c>
      <c r="M406" s="29">
        <f>'По платам'!K408*$M$1</f>
        <v>0</v>
      </c>
      <c r="N406" s="29">
        <f>'По платам'!L408*'Состав прибора'!$B$16</f>
        <v>0</v>
      </c>
    </row>
    <row r="407" spans="1:14">
      <c r="A407" s="16" t="s">
        <v>1309</v>
      </c>
      <c r="C407" s="18" t="s">
        <v>1308</v>
      </c>
      <c r="D407" s="25">
        <f t="shared" si="6"/>
        <v>8</v>
      </c>
      <c r="E407" s="29">
        <f>'По платам'!C409*$E$1</f>
        <v>0</v>
      </c>
      <c r="F407" s="29">
        <f>'По платам'!D409*$F$1</f>
        <v>0</v>
      </c>
      <c r="G407" s="29">
        <f>'По платам'!E409*$G$1</f>
        <v>0</v>
      </c>
      <c r="H407" s="29">
        <f>'По платам'!F409*$H$1</f>
        <v>8</v>
      </c>
      <c r="I407" s="29">
        <f>'По платам'!G409*$I$1</f>
        <v>0</v>
      </c>
      <c r="J407" s="29">
        <f>'По платам'!H409*$J$1</f>
        <v>0</v>
      </c>
      <c r="K407" s="29">
        <f>'По платам'!I409*$K$1</f>
        <v>0</v>
      </c>
      <c r="L407" s="29">
        <f>'По платам'!J409*$L$1</f>
        <v>0</v>
      </c>
      <c r="M407" s="29">
        <f>'По платам'!K409*$M$1</f>
        <v>0</v>
      </c>
      <c r="N407" s="29">
        <f>'По платам'!L409*'Состав прибора'!$B$16</f>
        <v>0</v>
      </c>
    </row>
    <row r="408" spans="1:14">
      <c r="A408" s="16" t="s">
        <v>270</v>
      </c>
      <c r="C408" s="18" t="s">
        <v>478</v>
      </c>
      <c r="D408" s="25">
        <f t="shared" si="6"/>
        <v>11</v>
      </c>
      <c r="E408" s="29">
        <f>'По платам'!C410*$E$1</f>
        <v>0</v>
      </c>
      <c r="F408" s="29">
        <f>'По платам'!D410*$F$1</f>
        <v>0</v>
      </c>
      <c r="G408" s="29">
        <f>'По платам'!E410*$G$1</f>
        <v>0</v>
      </c>
      <c r="H408" s="29">
        <f>'По платам'!F410*$H$1</f>
        <v>0</v>
      </c>
      <c r="I408" s="29">
        <f>'По платам'!G410*$I$1</f>
        <v>4</v>
      </c>
      <c r="J408" s="29">
        <f>'По платам'!H410*$J$1</f>
        <v>0</v>
      </c>
      <c r="K408" s="29">
        <f>'По платам'!I410*$K$1</f>
        <v>0</v>
      </c>
      <c r="L408" s="29">
        <f>'По платам'!J410*$L$1</f>
        <v>7</v>
      </c>
      <c r="M408" s="29">
        <f>'По платам'!K410*$M$1</f>
        <v>0</v>
      </c>
      <c r="N408" s="29">
        <f>'По платам'!L410*'Состав прибора'!$B$16</f>
        <v>0</v>
      </c>
    </row>
    <row r="409" spans="1:14">
      <c r="A409" s="16" t="s">
        <v>270</v>
      </c>
      <c r="C409" s="18" t="s">
        <v>964</v>
      </c>
      <c r="D409" s="25">
        <f t="shared" si="6"/>
        <v>2</v>
      </c>
      <c r="E409" s="29">
        <f>'По платам'!C411*$E$1</f>
        <v>0</v>
      </c>
      <c r="F409" s="29">
        <f>'По платам'!D411*$F$1</f>
        <v>0</v>
      </c>
      <c r="G409" s="29">
        <f>'По платам'!E411*$G$1</f>
        <v>0</v>
      </c>
      <c r="H409" s="29">
        <f>'По платам'!F411*$H$1</f>
        <v>0</v>
      </c>
      <c r="I409" s="29">
        <f>'По платам'!G411*$I$1</f>
        <v>0</v>
      </c>
      <c r="J409" s="29">
        <f>'По платам'!H411*$J$1</f>
        <v>0</v>
      </c>
      <c r="K409" s="29">
        <f>'По платам'!I411*$K$1</f>
        <v>2</v>
      </c>
      <c r="L409" s="29">
        <f>'По платам'!J411*$L$1</f>
        <v>0</v>
      </c>
      <c r="M409" s="29">
        <f>'По платам'!K411*$M$1</f>
        <v>0</v>
      </c>
      <c r="N409" s="29">
        <f>'По платам'!L411*'Состав прибора'!$B$16</f>
        <v>0</v>
      </c>
    </row>
    <row r="410" spans="1:14">
      <c r="A410" s="16" t="s">
        <v>270</v>
      </c>
      <c r="C410" s="18" t="s">
        <v>269</v>
      </c>
      <c r="D410" s="25">
        <f t="shared" si="6"/>
        <v>6</v>
      </c>
      <c r="E410" s="29">
        <f>'По платам'!C412*$E$1</f>
        <v>0</v>
      </c>
      <c r="F410" s="29">
        <f>'По платам'!D412*$F$1</f>
        <v>0</v>
      </c>
      <c r="G410" s="29">
        <f>'По платам'!E412*$G$1</f>
        <v>0</v>
      </c>
      <c r="H410" s="29">
        <f>'По платам'!F412*$H$1</f>
        <v>0</v>
      </c>
      <c r="I410" s="29">
        <f>'По платам'!G412*$I$1</f>
        <v>0</v>
      </c>
      <c r="J410" s="29">
        <f>'По платам'!H412*$J$1</f>
        <v>0</v>
      </c>
      <c r="K410" s="29">
        <f>'По платам'!I412*$K$1</f>
        <v>4</v>
      </c>
      <c r="L410" s="29">
        <f>'По платам'!J412*$L$1</f>
        <v>2</v>
      </c>
      <c r="M410" s="29">
        <f>'По платам'!K412*$M$1</f>
        <v>0</v>
      </c>
      <c r="N410" s="29">
        <f>'По платам'!L412*'Состав прибора'!$B$16</f>
        <v>0</v>
      </c>
    </row>
    <row r="411" spans="1:14">
      <c r="A411" s="16" t="s">
        <v>270</v>
      </c>
      <c r="C411" s="18" t="s">
        <v>1396</v>
      </c>
      <c r="D411" s="25">
        <f t="shared" si="6"/>
        <v>1</v>
      </c>
      <c r="E411" s="29">
        <f>'По платам'!C413*$E$1</f>
        <v>0</v>
      </c>
      <c r="F411" s="29">
        <f>'По платам'!D413*$F$1</f>
        <v>0</v>
      </c>
      <c r="G411" s="29">
        <f>'По платам'!E413*$G$1</f>
        <v>0</v>
      </c>
      <c r="H411" s="29">
        <f>'По платам'!F413*$H$1</f>
        <v>1</v>
      </c>
      <c r="I411" s="29">
        <f>'По платам'!G413*$I$1</f>
        <v>0</v>
      </c>
      <c r="J411" s="29">
        <f>'По платам'!H413*$J$1</f>
        <v>0</v>
      </c>
      <c r="K411" s="29">
        <f>'По платам'!I413*$K$1</f>
        <v>0</v>
      </c>
      <c r="L411" s="29">
        <f>'По платам'!J413*$L$1</f>
        <v>0</v>
      </c>
      <c r="M411" s="29">
        <f>'По платам'!K413*$M$1</f>
        <v>0</v>
      </c>
      <c r="N411" s="29">
        <f>'По платам'!L413*'Состав прибора'!$B$16</f>
        <v>0</v>
      </c>
    </row>
    <row r="412" spans="1:14">
      <c r="A412" s="16" t="s">
        <v>270</v>
      </c>
      <c r="C412" s="18" t="s">
        <v>1392</v>
      </c>
      <c r="D412" s="25">
        <f t="shared" si="6"/>
        <v>1</v>
      </c>
      <c r="E412" s="29">
        <f>'По платам'!C414*$E$1</f>
        <v>0</v>
      </c>
      <c r="F412" s="29">
        <f>'По платам'!D414*$F$1</f>
        <v>0</v>
      </c>
      <c r="G412" s="29">
        <f>'По платам'!E414*$G$1</f>
        <v>0</v>
      </c>
      <c r="H412" s="29">
        <f>'По платам'!F414*$H$1</f>
        <v>1</v>
      </c>
      <c r="I412" s="29">
        <f>'По платам'!G414*$I$1</f>
        <v>0</v>
      </c>
      <c r="J412" s="29">
        <f>'По платам'!H414*$J$1</f>
        <v>0</v>
      </c>
      <c r="K412" s="29">
        <f>'По платам'!I414*$K$1</f>
        <v>0</v>
      </c>
      <c r="L412" s="29">
        <f>'По платам'!J414*$L$1</f>
        <v>0</v>
      </c>
      <c r="M412" s="29">
        <f>'По платам'!K414*$M$1</f>
        <v>0</v>
      </c>
      <c r="N412" s="29">
        <f>'По платам'!L414*'Состав прибора'!$B$16</f>
        <v>0</v>
      </c>
    </row>
    <row r="413" spans="1:14">
      <c r="A413" s="16" t="s">
        <v>270</v>
      </c>
      <c r="C413" s="18" t="s">
        <v>1405</v>
      </c>
      <c r="D413" s="25">
        <f t="shared" si="6"/>
        <v>1</v>
      </c>
      <c r="E413" s="29">
        <f>'По платам'!C415*$E$1</f>
        <v>0</v>
      </c>
      <c r="F413" s="29">
        <f>'По платам'!D415*$F$1</f>
        <v>0</v>
      </c>
      <c r="G413" s="29">
        <f>'По платам'!E415*$G$1</f>
        <v>0</v>
      </c>
      <c r="H413" s="29">
        <f>'По платам'!F415*$H$1</f>
        <v>1</v>
      </c>
      <c r="I413" s="29">
        <f>'По платам'!G415*$I$1</f>
        <v>0</v>
      </c>
      <c r="J413" s="29">
        <f>'По платам'!H415*$J$1</f>
        <v>0</v>
      </c>
      <c r="K413" s="29">
        <f>'По платам'!I415*$K$1</f>
        <v>0</v>
      </c>
      <c r="L413" s="29">
        <f>'По платам'!J415*$L$1</f>
        <v>0</v>
      </c>
      <c r="M413" s="29">
        <f>'По платам'!K415*$M$1</f>
        <v>0</v>
      </c>
      <c r="N413" s="29">
        <f>'По платам'!L415*'Состав прибора'!$B$16</f>
        <v>0</v>
      </c>
    </row>
    <row r="414" spans="1:14">
      <c r="A414" s="16" t="s">
        <v>1485</v>
      </c>
      <c r="C414" s="18" t="s">
        <v>637</v>
      </c>
      <c r="D414" s="25">
        <f t="shared" si="6"/>
        <v>1</v>
      </c>
      <c r="E414" s="29">
        <f>'По платам'!C416*$E$1</f>
        <v>0</v>
      </c>
      <c r="F414" s="29">
        <f>'По платам'!D416*$F$1</f>
        <v>0</v>
      </c>
      <c r="G414" s="29">
        <f>'По платам'!E416*$G$1</f>
        <v>0</v>
      </c>
      <c r="H414" s="29">
        <f>'По платам'!F416*$H$1</f>
        <v>0</v>
      </c>
      <c r="I414" s="29">
        <f>'По платам'!G416*$I$1</f>
        <v>0</v>
      </c>
      <c r="J414" s="29">
        <f>'По платам'!H416*$J$1</f>
        <v>0</v>
      </c>
      <c r="K414" s="29">
        <f>'По платам'!I416*$K$1</f>
        <v>1</v>
      </c>
      <c r="L414" s="29">
        <f>'По платам'!J416*$L$1</f>
        <v>0</v>
      </c>
      <c r="M414" s="29">
        <f>'По платам'!K416*$M$1</f>
        <v>0</v>
      </c>
      <c r="N414" s="29">
        <f>'По платам'!L416*'Состав прибора'!$B$16</f>
        <v>0</v>
      </c>
    </row>
    <row r="415" spans="1:14">
      <c r="A415" s="16" t="s">
        <v>1485</v>
      </c>
      <c r="C415" s="18" t="s">
        <v>1484</v>
      </c>
      <c r="D415" s="25">
        <f t="shared" si="6"/>
        <v>0</v>
      </c>
      <c r="E415" s="29">
        <f>'По платам'!C417*$E$1</f>
        <v>0</v>
      </c>
      <c r="F415" s="29">
        <f>'По платам'!D417*$F$1</f>
        <v>0</v>
      </c>
      <c r="G415" s="29">
        <f>'По платам'!E417*$G$1</f>
        <v>0</v>
      </c>
      <c r="H415" s="29">
        <f>'По платам'!F417*$H$1</f>
        <v>0</v>
      </c>
      <c r="I415" s="29">
        <f>'По платам'!G417*$I$1</f>
        <v>0</v>
      </c>
      <c r="J415" s="29">
        <f>'По платам'!H417*$J$1</f>
        <v>0</v>
      </c>
      <c r="K415" s="29">
        <f>'По платам'!I417*$K$1</f>
        <v>0</v>
      </c>
      <c r="L415" s="29">
        <f>'По платам'!J417*$L$1</f>
        <v>0</v>
      </c>
      <c r="M415" s="29">
        <f>'По платам'!K417*$M$1</f>
        <v>0</v>
      </c>
      <c r="N415" s="29">
        <f>'По платам'!L417*'Состав прибора'!$B$16</f>
        <v>0</v>
      </c>
    </row>
    <row r="416" spans="1:14">
      <c r="A416" s="16" t="s">
        <v>1485</v>
      </c>
      <c r="C416" s="18" t="s">
        <v>2894</v>
      </c>
      <c r="D416" s="25">
        <f t="shared" si="6"/>
        <v>1</v>
      </c>
      <c r="E416" s="29">
        <f>'По платам'!C418*$E$1</f>
        <v>0</v>
      </c>
      <c r="F416" s="29">
        <f>'По платам'!D418*$F$1</f>
        <v>0</v>
      </c>
      <c r="G416" s="29">
        <f>'По платам'!E418*$G$1</f>
        <v>0</v>
      </c>
      <c r="H416" s="29">
        <f>'По платам'!F418*$H$1</f>
        <v>0</v>
      </c>
      <c r="I416" s="29">
        <f>'По платам'!G418*$I$1</f>
        <v>0</v>
      </c>
      <c r="J416" s="29">
        <f>'По платам'!H418*$J$1</f>
        <v>0</v>
      </c>
      <c r="K416" s="29">
        <f>'По платам'!I418*$K$1</f>
        <v>0</v>
      </c>
      <c r="L416" s="29">
        <f>'По платам'!J418*$L$1</f>
        <v>1</v>
      </c>
      <c r="M416" s="29">
        <f>'По платам'!K418*$M$1</f>
        <v>0</v>
      </c>
      <c r="N416" s="29">
        <f>'По платам'!L418*'Состав прибора'!$B$16</f>
        <v>0</v>
      </c>
    </row>
    <row r="417" spans="1:14">
      <c r="A417" s="16" t="s">
        <v>1485</v>
      </c>
      <c r="C417" s="18" t="s">
        <v>253</v>
      </c>
      <c r="D417" s="25">
        <f t="shared" si="6"/>
        <v>6</v>
      </c>
      <c r="E417" s="29">
        <f>'По платам'!C419*$E$1</f>
        <v>0</v>
      </c>
      <c r="F417" s="29">
        <f>'По платам'!D419*$F$1</f>
        <v>0</v>
      </c>
      <c r="G417" s="29">
        <f>'По платам'!E419*$G$1</f>
        <v>0</v>
      </c>
      <c r="H417" s="29">
        <f>'По платам'!F419*$H$1</f>
        <v>0</v>
      </c>
      <c r="I417" s="29">
        <f>'По платам'!G419*$I$1</f>
        <v>0</v>
      </c>
      <c r="J417" s="29">
        <f>'По платам'!H419*$J$1</f>
        <v>0</v>
      </c>
      <c r="K417" s="29">
        <f>'По платам'!I419*$K$1</f>
        <v>4</v>
      </c>
      <c r="L417" s="29">
        <f>'По платам'!J419*$L$1</f>
        <v>2</v>
      </c>
      <c r="M417" s="29">
        <f>'По платам'!K419*$M$1</f>
        <v>0</v>
      </c>
      <c r="N417" s="29">
        <f>'По платам'!L419*'Состав прибора'!$B$16</f>
        <v>0</v>
      </c>
    </row>
    <row r="418" spans="1:14">
      <c r="A418" s="16" t="s">
        <v>1485</v>
      </c>
      <c r="C418" s="18" t="s">
        <v>1532</v>
      </c>
      <c r="D418" s="25">
        <f t="shared" si="6"/>
        <v>0</v>
      </c>
      <c r="E418" s="29">
        <f>'По платам'!C420*$E$1</f>
        <v>0</v>
      </c>
      <c r="F418" s="29">
        <f>'По платам'!D420*$F$1</f>
        <v>0</v>
      </c>
      <c r="G418" s="29">
        <f>'По платам'!E420*$G$1</f>
        <v>0</v>
      </c>
      <c r="H418" s="29">
        <f>'По платам'!F420*$H$1</f>
        <v>0</v>
      </c>
      <c r="I418" s="29">
        <f>'По платам'!G420*$I$1</f>
        <v>0</v>
      </c>
      <c r="J418" s="29">
        <f>'По платам'!H420*$J$1</f>
        <v>0</v>
      </c>
      <c r="K418" s="29">
        <f>'По платам'!I420*$K$1</f>
        <v>0</v>
      </c>
      <c r="L418" s="29">
        <f>'По платам'!J420*$L$1</f>
        <v>0</v>
      </c>
      <c r="M418" s="29">
        <f>'По платам'!K420*$M$1</f>
        <v>0</v>
      </c>
      <c r="N418" s="29">
        <f>'По платам'!L420*'Состав прибора'!$B$16</f>
        <v>0</v>
      </c>
    </row>
    <row r="419" spans="1:14">
      <c r="A419" s="16" t="s">
        <v>2027</v>
      </c>
      <c r="C419" s="18" t="s">
        <v>2026</v>
      </c>
      <c r="D419" s="25">
        <f t="shared" si="6"/>
        <v>0</v>
      </c>
      <c r="E419" s="29">
        <f>'По платам'!C421*$E$1</f>
        <v>0</v>
      </c>
      <c r="F419" s="29">
        <f>'По платам'!D421*$F$1</f>
        <v>0</v>
      </c>
      <c r="G419" s="29">
        <f>'По платам'!E421*$G$1</f>
        <v>0</v>
      </c>
      <c r="H419" s="29">
        <f>'По платам'!F421*$H$1</f>
        <v>0</v>
      </c>
      <c r="I419" s="29">
        <f>'По платам'!G421*$I$1</f>
        <v>0</v>
      </c>
      <c r="J419" s="29">
        <f>'По платам'!H421*$J$1</f>
        <v>0</v>
      </c>
      <c r="K419" s="29">
        <f>'По платам'!I421*$K$1</f>
        <v>0</v>
      </c>
      <c r="L419" s="29">
        <f>'По платам'!J421*$L$1</f>
        <v>0</v>
      </c>
      <c r="M419" s="29">
        <f>'По платам'!K421*$M$1</f>
        <v>0</v>
      </c>
      <c r="N419" s="29">
        <f>'По платам'!L421*'Состав прибора'!$B$16</f>
        <v>0</v>
      </c>
    </row>
    <row r="420" spans="1:14">
      <c r="A420" s="16" t="s">
        <v>316</v>
      </c>
      <c r="C420" s="18" t="s">
        <v>2256</v>
      </c>
      <c r="D420" s="25">
        <f t="shared" si="6"/>
        <v>0</v>
      </c>
      <c r="E420" s="29">
        <f>'По платам'!C422*$E$1</f>
        <v>0</v>
      </c>
      <c r="F420" s="29">
        <f>'По платам'!D422*$F$1</f>
        <v>0</v>
      </c>
      <c r="G420" s="29">
        <f>'По платам'!E422*$G$1</f>
        <v>0</v>
      </c>
      <c r="H420" s="29">
        <f>'По платам'!F422*$H$1</f>
        <v>0</v>
      </c>
      <c r="I420" s="29">
        <f>'По платам'!G422*$I$1</f>
        <v>0</v>
      </c>
      <c r="J420" s="29">
        <f>'По платам'!H422*$J$1</f>
        <v>0</v>
      </c>
      <c r="K420" s="29">
        <f>'По платам'!I422*$K$1</f>
        <v>0</v>
      </c>
      <c r="L420" s="29">
        <f>'По платам'!J422*$L$1</f>
        <v>0</v>
      </c>
      <c r="M420" s="29">
        <f>'По платам'!K422*$M$1</f>
        <v>0</v>
      </c>
      <c r="N420" s="29">
        <f>'По платам'!L422*'Состав прибора'!$B$16</f>
        <v>0</v>
      </c>
    </row>
    <row r="421" spans="1:14">
      <c r="A421" s="16" t="s">
        <v>316</v>
      </c>
      <c r="C421" s="18" t="s">
        <v>712</v>
      </c>
      <c r="D421" s="25">
        <f t="shared" si="6"/>
        <v>2</v>
      </c>
      <c r="E421" s="29">
        <f>'По платам'!C423*$E$1</f>
        <v>0</v>
      </c>
      <c r="F421" s="29">
        <f>'По платам'!D423*$F$1</f>
        <v>0</v>
      </c>
      <c r="G421" s="29">
        <f>'По платам'!E423*$G$1</f>
        <v>0</v>
      </c>
      <c r="H421" s="29">
        <f>'По платам'!F423*$H$1</f>
        <v>0</v>
      </c>
      <c r="I421" s="29">
        <f>'По платам'!G423*$I$1</f>
        <v>0</v>
      </c>
      <c r="J421" s="29">
        <f>'По платам'!H423*$J$1</f>
        <v>0</v>
      </c>
      <c r="K421" s="29">
        <f>'По платам'!I423*$K$1</f>
        <v>2</v>
      </c>
      <c r="L421" s="29">
        <f>'По платам'!J423*$L$1</f>
        <v>0</v>
      </c>
      <c r="M421" s="29">
        <f>'По платам'!K423*$M$1</f>
        <v>0</v>
      </c>
      <c r="N421" s="29">
        <f>'По платам'!L423*'Состав прибора'!$B$16</f>
        <v>0</v>
      </c>
    </row>
    <row r="422" spans="1:14">
      <c r="A422" s="16" t="s">
        <v>316</v>
      </c>
      <c r="C422" s="18" t="s">
        <v>315</v>
      </c>
      <c r="D422" s="25">
        <f t="shared" si="6"/>
        <v>4</v>
      </c>
      <c r="E422" s="29">
        <f>'По платам'!C424*$E$1</f>
        <v>0</v>
      </c>
      <c r="F422" s="29">
        <f>'По платам'!D424*$F$1</f>
        <v>0</v>
      </c>
      <c r="G422" s="29">
        <f>'По платам'!E424*$G$1</f>
        <v>0</v>
      </c>
      <c r="H422" s="29">
        <f>'По платам'!F424*$H$1</f>
        <v>0</v>
      </c>
      <c r="I422" s="29">
        <f>'По платам'!G424*$I$1</f>
        <v>0</v>
      </c>
      <c r="J422" s="29">
        <f>'По платам'!H424*$J$1</f>
        <v>0</v>
      </c>
      <c r="K422" s="29">
        <f>'По платам'!I424*$K$1</f>
        <v>2</v>
      </c>
      <c r="L422" s="29">
        <f>'По платам'!J424*$L$1</f>
        <v>2</v>
      </c>
      <c r="M422" s="29">
        <f>'По платам'!K424*$M$1</f>
        <v>0</v>
      </c>
      <c r="N422" s="29">
        <f>'По платам'!L424*'Состав прибора'!$B$16</f>
        <v>0</v>
      </c>
    </row>
    <row r="423" spans="1:14">
      <c r="A423" s="16" t="s">
        <v>1653</v>
      </c>
      <c r="C423" s="18" t="s">
        <v>1652</v>
      </c>
      <c r="D423" s="25">
        <f t="shared" si="6"/>
        <v>0</v>
      </c>
      <c r="E423" s="29">
        <f>'По платам'!C425*$E$1</f>
        <v>0</v>
      </c>
      <c r="F423" s="29">
        <f>'По платам'!D425*$F$1</f>
        <v>0</v>
      </c>
      <c r="G423" s="29">
        <f>'По платам'!E425*$G$1</f>
        <v>0</v>
      </c>
      <c r="H423" s="29">
        <f>'По платам'!F425*$H$1</f>
        <v>0</v>
      </c>
      <c r="I423" s="29">
        <f>'По платам'!G425*$I$1</f>
        <v>0</v>
      </c>
      <c r="J423" s="29">
        <f>'По платам'!H425*$J$1</f>
        <v>0</v>
      </c>
      <c r="K423" s="29">
        <f>'По платам'!I425*$K$1</f>
        <v>0</v>
      </c>
      <c r="L423" s="29">
        <f>'По платам'!J425*$L$1</f>
        <v>0</v>
      </c>
      <c r="M423" s="29">
        <f>'По платам'!K425*$M$1</f>
        <v>0</v>
      </c>
      <c r="N423" s="29">
        <f>'По платам'!L425*'Состав прибора'!$B$16</f>
        <v>0</v>
      </c>
    </row>
    <row r="424" spans="1:14">
      <c r="A424" s="16" t="s">
        <v>3045</v>
      </c>
      <c r="C424" s="18" t="s">
        <v>2778</v>
      </c>
      <c r="D424" s="25">
        <f t="shared" si="6"/>
        <v>0</v>
      </c>
      <c r="E424" s="29">
        <f>'По платам'!C426*$E$1</f>
        <v>0</v>
      </c>
      <c r="F424" s="29">
        <f>'По платам'!D426*$F$1</f>
        <v>0</v>
      </c>
      <c r="G424" s="29">
        <f>'По платам'!E426*$G$1</f>
        <v>0</v>
      </c>
      <c r="H424" s="29">
        <f>'По платам'!F426*$H$1</f>
        <v>0</v>
      </c>
      <c r="I424" s="29">
        <f>'По платам'!G426*$I$1</f>
        <v>0</v>
      </c>
      <c r="J424" s="29">
        <f>'По платам'!H426*$J$1</f>
        <v>0</v>
      </c>
      <c r="K424" s="29">
        <f>'По платам'!I426*$K$1</f>
        <v>0</v>
      </c>
      <c r="L424" s="29">
        <f>'По платам'!J426*$L$1</f>
        <v>0</v>
      </c>
      <c r="M424" s="29">
        <f>'По платам'!K426*$M$1</f>
        <v>0</v>
      </c>
      <c r="N424" s="29">
        <f>'По платам'!L426*'Состав прибора'!$B$16</f>
        <v>0</v>
      </c>
    </row>
    <row r="425" spans="1:14">
      <c r="A425" s="16" t="s">
        <v>3045</v>
      </c>
      <c r="B425" s="17"/>
      <c r="C425" s="18" t="s">
        <v>2747</v>
      </c>
      <c r="D425" s="25">
        <f t="shared" si="6"/>
        <v>0</v>
      </c>
      <c r="E425" s="29">
        <f>'По платам'!C427*$E$1</f>
        <v>0</v>
      </c>
      <c r="F425" s="29">
        <f>'По платам'!D427*$F$1</f>
        <v>0</v>
      </c>
      <c r="G425" s="29">
        <f>'По платам'!E427*$G$1</f>
        <v>0</v>
      </c>
      <c r="H425" s="29">
        <f>'По платам'!F427*$H$1</f>
        <v>0</v>
      </c>
      <c r="I425" s="29">
        <f>'По платам'!G427*$I$1</f>
        <v>0</v>
      </c>
      <c r="J425" s="29">
        <f>'По платам'!H427*$J$1</f>
        <v>0</v>
      </c>
      <c r="K425" s="29">
        <f>'По платам'!I427*$K$1</f>
        <v>0</v>
      </c>
      <c r="L425" s="29">
        <f>'По платам'!J427*$L$1</f>
        <v>0</v>
      </c>
      <c r="M425" s="29">
        <f>'По платам'!K427*$M$1</f>
        <v>0</v>
      </c>
      <c r="N425" s="29">
        <f>'По платам'!L427*'Состав прибора'!$B$16</f>
        <v>0</v>
      </c>
    </row>
    <row r="426" spans="1:14">
      <c r="A426" s="16" t="s">
        <v>48</v>
      </c>
      <c r="B426" s="30" t="s">
        <v>3047</v>
      </c>
      <c r="C426" s="18" t="s">
        <v>830</v>
      </c>
      <c r="D426" s="25">
        <f t="shared" si="6"/>
        <v>1</v>
      </c>
      <c r="E426" s="29">
        <f>'По платам'!C428*$E$1</f>
        <v>0</v>
      </c>
      <c r="F426" s="29">
        <f>'По платам'!D428*$F$1</f>
        <v>0</v>
      </c>
      <c r="G426" s="29">
        <f>'По платам'!E428*$G$1</f>
        <v>0</v>
      </c>
      <c r="H426" s="29">
        <f>'По платам'!F428*$H$1</f>
        <v>0</v>
      </c>
      <c r="I426" s="29">
        <f>'По платам'!G428*$I$1</f>
        <v>0</v>
      </c>
      <c r="J426" s="29">
        <f>'По платам'!H428*$J$1</f>
        <v>0</v>
      </c>
      <c r="K426" s="29">
        <f>'По платам'!I428*$K$1</f>
        <v>1</v>
      </c>
      <c r="L426" s="29">
        <f>'По платам'!J428*$L$1</f>
        <v>0</v>
      </c>
      <c r="M426" s="29">
        <f>'По платам'!K428*$M$1</f>
        <v>0</v>
      </c>
      <c r="N426" s="29">
        <f>'По платам'!L428*'Состав прибора'!$B$16</f>
        <v>0</v>
      </c>
    </row>
    <row r="427" spans="1:14">
      <c r="A427" s="16" t="s">
        <v>48</v>
      </c>
      <c r="B427" s="30" t="s">
        <v>429</v>
      </c>
      <c r="C427" s="18" t="s">
        <v>840</v>
      </c>
      <c r="D427" s="25">
        <f t="shared" si="6"/>
        <v>50</v>
      </c>
      <c r="E427" s="29">
        <f>'По платам'!C429*$E$1</f>
        <v>0</v>
      </c>
      <c r="F427" s="29">
        <f>'По платам'!D429*$F$1</f>
        <v>0</v>
      </c>
      <c r="G427" s="29">
        <f>'По платам'!E429*$G$1</f>
        <v>0</v>
      </c>
      <c r="H427" s="29">
        <f>'По платам'!F429*$H$1</f>
        <v>0</v>
      </c>
      <c r="I427" s="29">
        <f>'По платам'!G429*$I$1</f>
        <v>0</v>
      </c>
      <c r="J427" s="29">
        <f>'По платам'!H429*$J$1</f>
        <v>0</v>
      </c>
      <c r="K427" s="29">
        <f>'По платам'!I429*$K$1</f>
        <v>50</v>
      </c>
      <c r="L427" s="29">
        <f>'По платам'!J429*$L$1</f>
        <v>0</v>
      </c>
      <c r="M427" s="29">
        <f>'По платам'!K429*$M$1</f>
        <v>0</v>
      </c>
      <c r="N427" s="29">
        <f>'По платам'!L429*'Состав прибора'!$B$16</f>
        <v>0</v>
      </c>
    </row>
    <row r="428" spans="1:14">
      <c r="A428" s="16" t="s">
        <v>48</v>
      </c>
      <c r="B428" s="30" t="s">
        <v>946</v>
      </c>
      <c r="C428" s="18" t="s">
        <v>943</v>
      </c>
      <c r="D428" s="25">
        <f t="shared" si="6"/>
        <v>2</v>
      </c>
      <c r="E428" s="29">
        <f>'По платам'!C430*$E$1</f>
        <v>0</v>
      </c>
      <c r="F428" s="29">
        <f>'По платам'!D430*$F$1</f>
        <v>0</v>
      </c>
      <c r="G428" s="29">
        <f>'По платам'!E430*$G$1</f>
        <v>0</v>
      </c>
      <c r="H428" s="29">
        <f>'По платам'!F430*$H$1</f>
        <v>0</v>
      </c>
      <c r="I428" s="29">
        <f>'По платам'!G430*$I$1</f>
        <v>0</v>
      </c>
      <c r="J428" s="29">
        <f>'По платам'!H430*$J$1</f>
        <v>0</v>
      </c>
      <c r="K428" s="29">
        <f>'По платам'!I430*$K$1</f>
        <v>2</v>
      </c>
      <c r="L428" s="29">
        <f>'По платам'!J430*$L$1</f>
        <v>0</v>
      </c>
      <c r="M428" s="29">
        <f>'По платам'!K430*$M$1</f>
        <v>0</v>
      </c>
      <c r="N428" s="29">
        <f>'По платам'!L430*'Состав прибора'!$B$16</f>
        <v>0</v>
      </c>
    </row>
    <row r="429" spans="1:14">
      <c r="A429" s="16" t="s">
        <v>48</v>
      </c>
      <c r="B429" s="30" t="s">
        <v>413</v>
      </c>
      <c r="C429" s="18" t="s">
        <v>418</v>
      </c>
      <c r="D429" s="25">
        <f t="shared" si="6"/>
        <v>57</v>
      </c>
      <c r="E429" s="29">
        <f>'По платам'!C431*$E$1</f>
        <v>0</v>
      </c>
      <c r="F429" s="29">
        <f>'По платам'!D431*$F$1</f>
        <v>0</v>
      </c>
      <c r="G429" s="29">
        <f>'По платам'!E431*$G$1</f>
        <v>0</v>
      </c>
      <c r="H429" s="29">
        <f>'По платам'!F431*$H$1</f>
        <v>0</v>
      </c>
      <c r="I429" s="29">
        <f>'По платам'!G431*$I$1</f>
        <v>0</v>
      </c>
      <c r="J429" s="29">
        <f>'По платам'!H431*$J$1</f>
        <v>0</v>
      </c>
      <c r="K429" s="29">
        <f>'По платам'!I431*$K$1</f>
        <v>54</v>
      </c>
      <c r="L429" s="29">
        <f>'По платам'!J431*$L$1</f>
        <v>3</v>
      </c>
      <c r="M429" s="29">
        <f>'По платам'!K431*$M$1</f>
        <v>0</v>
      </c>
      <c r="N429" s="29">
        <f>'По платам'!L431*'Состав прибора'!$B$16</f>
        <v>0</v>
      </c>
    </row>
    <row r="430" spans="1:14">
      <c r="A430" s="16" t="s">
        <v>48</v>
      </c>
      <c r="B430" s="30" t="s">
        <v>2965</v>
      </c>
      <c r="C430" s="18" t="s">
        <v>938</v>
      </c>
      <c r="D430" s="25">
        <f t="shared" si="6"/>
        <v>2</v>
      </c>
      <c r="E430" s="29">
        <f>'По платам'!C432*$E$1</f>
        <v>0</v>
      </c>
      <c r="F430" s="29">
        <f>'По платам'!D432*$F$1</f>
        <v>0</v>
      </c>
      <c r="G430" s="29">
        <f>'По платам'!E432*$G$1</f>
        <v>0</v>
      </c>
      <c r="H430" s="29">
        <f>'По платам'!F432*$H$1</f>
        <v>0</v>
      </c>
      <c r="I430" s="29">
        <f>'По платам'!G432*$I$1</f>
        <v>0</v>
      </c>
      <c r="J430" s="29">
        <f>'По платам'!H432*$J$1</f>
        <v>0</v>
      </c>
      <c r="K430" s="29">
        <f>'По платам'!I432*$K$1</f>
        <v>2</v>
      </c>
      <c r="L430" s="29">
        <f>'По платам'!J432*$L$1</f>
        <v>0</v>
      </c>
      <c r="M430" s="29">
        <f>'По платам'!K432*$M$1</f>
        <v>0</v>
      </c>
      <c r="N430" s="29">
        <f>'По платам'!L432*'Состав прибора'!$B$16</f>
        <v>0</v>
      </c>
    </row>
    <row r="431" spans="1:14">
      <c r="A431" s="16" t="s">
        <v>48</v>
      </c>
      <c r="B431" s="30" t="s">
        <v>432</v>
      </c>
      <c r="C431" s="18" t="s">
        <v>2588</v>
      </c>
      <c r="D431" s="25">
        <f t="shared" si="6"/>
        <v>0</v>
      </c>
      <c r="E431" s="29">
        <f>'По платам'!C433*$E$1</f>
        <v>0</v>
      </c>
      <c r="F431" s="29">
        <f>'По платам'!D433*$F$1</f>
        <v>0</v>
      </c>
      <c r="G431" s="29">
        <f>'По платам'!E433*$G$1</f>
        <v>0</v>
      </c>
      <c r="H431" s="29">
        <f>'По платам'!F433*$H$1</f>
        <v>0</v>
      </c>
      <c r="I431" s="29">
        <f>'По платам'!G433*$I$1</f>
        <v>0</v>
      </c>
      <c r="J431" s="29">
        <f>'По платам'!H433*$J$1</f>
        <v>0</v>
      </c>
      <c r="K431" s="29">
        <f>'По платам'!I433*$K$1</f>
        <v>0</v>
      </c>
      <c r="L431" s="29">
        <f>'По платам'!J433*$L$1</f>
        <v>0</v>
      </c>
      <c r="M431" s="29">
        <f>'По платам'!K433*$M$1</f>
        <v>0</v>
      </c>
      <c r="N431" s="29">
        <f>'По платам'!L433*'Состав прибора'!$B$16</f>
        <v>0</v>
      </c>
    </row>
    <row r="432" spans="1:14">
      <c r="A432" s="16" t="s">
        <v>48</v>
      </c>
      <c r="B432" s="30" t="s">
        <v>3068</v>
      </c>
      <c r="C432" s="18" t="s">
        <v>2592</v>
      </c>
      <c r="D432" s="25">
        <f t="shared" si="6"/>
        <v>0</v>
      </c>
      <c r="E432" s="29">
        <f>'По платам'!C434*$E$1</f>
        <v>0</v>
      </c>
      <c r="F432" s="29">
        <f>'По платам'!D434*$F$1</f>
        <v>0</v>
      </c>
      <c r="G432" s="29">
        <f>'По платам'!E434*$G$1</f>
        <v>0</v>
      </c>
      <c r="H432" s="29">
        <f>'По платам'!F434*$H$1</f>
        <v>0</v>
      </c>
      <c r="I432" s="29">
        <f>'По платам'!G434*$I$1</f>
        <v>0</v>
      </c>
      <c r="J432" s="29">
        <f>'По платам'!H434*$J$1</f>
        <v>0</v>
      </c>
      <c r="K432" s="29">
        <f>'По платам'!I434*$K$1</f>
        <v>0</v>
      </c>
      <c r="L432" s="29">
        <f>'По платам'!J434*$L$1</f>
        <v>0</v>
      </c>
      <c r="M432" s="29">
        <f>'По платам'!K434*$M$1</f>
        <v>0</v>
      </c>
      <c r="N432" s="29">
        <f>'По платам'!L434*'Состав прибора'!$B$16</f>
        <v>0</v>
      </c>
    </row>
    <row r="433" spans="1:14">
      <c r="A433" s="16" t="s">
        <v>48</v>
      </c>
      <c r="B433" s="30" t="s">
        <v>3053</v>
      </c>
      <c r="C433" s="18" t="s">
        <v>865</v>
      </c>
      <c r="D433" s="25">
        <f t="shared" si="6"/>
        <v>1</v>
      </c>
      <c r="E433" s="29">
        <f>'По платам'!C435*$E$1</f>
        <v>0</v>
      </c>
      <c r="F433" s="29">
        <f>'По платам'!D435*$F$1</f>
        <v>0</v>
      </c>
      <c r="G433" s="29">
        <f>'По платам'!E435*$G$1</f>
        <v>0</v>
      </c>
      <c r="H433" s="29">
        <f>'По платам'!F435*$H$1</f>
        <v>0</v>
      </c>
      <c r="I433" s="29">
        <f>'По платам'!G435*$I$1</f>
        <v>0</v>
      </c>
      <c r="J433" s="29">
        <f>'По платам'!H435*$J$1</f>
        <v>0</v>
      </c>
      <c r="K433" s="29">
        <f>'По платам'!I435*$K$1</f>
        <v>1</v>
      </c>
      <c r="L433" s="29">
        <f>'По платам'!J435*$L$1</f>
        <v>0</v>
      </c>
      <c r="M433" s="29">
        <f>'По платам'!K435*$M$1</f>
        <v>0</v>
      </c>
      <c r="N433" s="29">
        <f>'По платам'!L435*'Состав прибора'!$B$16</f>
        <v>0</v>
      </c>
    </row>
    <row r="434" spans="1:14">
      <c r="A434" s="16" t="s">
        <v>48</v>
      </c>
      <c r="B434" s="30" t="s">
        <v>2977</v>
      </c>
      <c r="C434" s="18" t="s">
        <v>816</v>
      </c>
      <c r="D434" s="25">
        <f t="shared" si="6"/>
        <v>59</v>
      </c>
      <c r="E434" s="29">
        <f>'По платам'!C436*$E$1</f>
        <v>0</v>
      </c>
      <c r="F434" s="29">
        <f>'По платам'!D436*$F$1</f>
        <v>0</v>
      </c>
      <c r="G434" s="29">
        <f>'По платам'!E436*$G$1</f>
        <v>0</v>
      </c>
      <c r="H434" s="29">
        <f>'По платам'!F436*$H$1</f>
        <v>0</v>
      </c>
      <c r="I434" s="29">
        <f>'По платам'!G436*$I$1</f>
        <v>0</v>
      </c>
      <c r="J434" s="29">
        <f>'По платам'!H436*$J$1</f>
        <v>0</v>
      </c>
      <c r="K434" s="29">
        <f>'По платам'!I436*$K$1</f>
        <v>59</v>
      </c>
      <c r="L434" s="29">
        <f>'По платам'!J436*$L$1</f>
        <v>0</v>
      </c>
      <c r="M434" s="29">
        <f>'По платам'!K436*$M$1</f>
        <v>0</v>
      </c>
      <c r="N434" s="29">
        <f>'По платам'!L436*'Состав прибора'!$B$16</f>
        <v>0</v>
      </c>
    </row>
    <row r="435" spans="1:14">
      <c r="A435" s="16" t="s">
        <v>48</v>
      </c>
      <c r="B435" s="30" t="s">
        <v>441</v>
      </c>
      <c r="C435" s="18" t="s">
        <v>895</v>
      </c>
      <c r="D435" s="25">
        <f t="shared" si="6"/>
        <v>5</v>
      </c>
      <c r="E435" s="29">
        <f>'По платам'!C437*$E$1</f>
        <v>0</v>
      </c>
      <c r="F435" s="29">
        <f>'По платам'!D437*$F$1</f>
        <v>0</v>
      </c>
      <c r="G435" s="29">
        <f>'По платам'!E437*$G$1</f>
        <v>0</v>
      </c>
      <c r="H435" s="29">
        <f>'По платам'!F437*$H$1</f>
        <v>0</v>
      </c>
      <c r="I435" s="29">
        <f>'По платам'!G437*$I$1</f>
        <v>0</v>
      </c>
      <c r="J435" s="29">
        <f>'По платам'!H437*$J$1</f>
        <v>0</v>
      </c>
      <c r="K435" s="29">
        <f>'По платам'!I437*$K$1</f>
        <v>5</v>
      </c>
      <c r="L435" s="29">
        <f>'По платам'!J437*$L$1</f>
        <v>0</v>
      </c>
      <c r="M435" s="29">
        <f>'По платам'!K437*$M$1</f>
        <v>0</v>
      </c>
      <c r="N435" s="29">
        <f>'По платам'!L437*'Состав прибора'!$B$16</f>
        <v>0</v>
      </c>
    </row>
    <row r="436" spans="1:14">
      <c r="A436" s="16" t="s">
        <v>48</v>
      </c>
      <c r="B436" s="30" t="s">
        <v>861</v>
      </c>
      <c r="C436" s="18" t="s">
        <v>888</v>
      </c>
      <c r="D436" s="25">
        <f t="shared" si="6"/>
        <v>1</v>
      </c>
      <c r="E436" s="29">
        <f>'По платам'!C438*$E$1</f>
        <v>0</v>
      </c>
      <c r="F436" s="29">
        <f>'По платам'!D438*$F$1</f>
        <v>0</v>
      </c>
      <c r="G436" s="29">
        <f>'По платам'!E438*$G$1</f>
        <v>0</v>
      </c>
      <c r="H436" s="29">
        <f>'По платам'!F438*$H$1</f>
        <v>0</v>
      </c>
      <c r="I436" s="29">
        <f>'По платам'!G438*$I$1</f>
        <v>0</v>
      </c>
      <c r="J436" s="29">
        <f>'По платам'!H438*$J$1</f>
        <v>0</v>
      </c>
      <c r="K436" s="29">
        <f>'По платам'!I438*$K$1</f>
        <v>1</v>
      </c>
      <c r="L436" s="29">
        <f>'По платам'!J438*$L$1</f>
        <v>0</v>
      </c>
      <c r="M436" s="29">
        <f>'По платам'!K438*$M$1</f>
        <v>0</v>
      </c>
      <c r="N436" s="29">
        <f>'По платам'!L438*'Состав прибора'!$B$16</f>
        <v>0</v>
      </c>
    </row>
    <row r="437" spans="1:14">
      <c r="A437" s="16" t="s">
        <v>48</v>
      </c>
      <c r="B437" s="30" t="s">
        <v>2981</v>
      </c>
      <c r="C437" s="18" t="s">
        <v>885</v>
      </c>
      <c r="D437" s="25">
        <f t="shared" si="6"/>
        <v>3</v>
      </c>
      <c r="E437" s="29">
        <f>'По платам'!C439*$E$1</f>
        <v>0</v>
      </c>
      <c r="F437" s="29">
        <f>'По платам'!D439*$F$1</f>
        <v>0</v>
      </c>
      <c r="G437" s="29">
        <f>'По платам'!E439*$G$1</f>
        <v>0</v>
      </c>
      <c r="H437" s="29">
        <f>'По платам'!F439*$H$1</f>
        <v>0</v>
      </c>
      <c r="I437" s="29">
        <f>'По платам'!G439*$I$1</f>
        <v>0</v>
      </c>
      <c r="J437" s="29">
        <f>'По платам'!H439*$J$1</f>
        <v>0</v>
      </c>
      <c r="K437" s="29">
        <f>'По платам'!I439*$K$1</f>
        <v>3</v>
      </c>
      <c r="L437" s="29">
        <f>'По платам'!J439*$L$1</f>
        <v>0</v>
      </c>
      <c r="M437" s="29">
        <f>'По платам'!K439*$M$1</f>
        <v>0</v>
      </c>
      <c r="N437" s="29">
        <f>'По платам'!L439*'Состав прибора'!$B$16</f>
        <v>0</v>
      </c>
    </row>
    <row r="438" spans="1:14">
      <c r="A438" s="16" t="s">
        <v>48</v>
      </c>
      <c r="B438" s="30" t="s">
        <v>3069</v>
      </c>
      <c r="C438" s="18" t="s">
        <v>1876</v>
      </c>
      <c r="D438" s="25">
        <f t="shared" si="6"/>
        <v>0</v>
      </c>
      <c r="E438" s="29">
        <f>'По платам'!C440*$E$1</f>
        <v>0</v>
      </c>
      <c r="F438" s="29">
        <f>'По платам'!D440*$F$1</f>
        <v>0</v>
      </c>
      <c r="G438" s="29">
        <f>'По платам'!E440*$G$1</f>
        <v>0</v>
      </c>
      <c r="H438" s="29">
        <f>'По платам'!F440*$H$1</f>
        <v>0</v>
      </c>
      <c r="I438" s="29">
        <f>'По платам'!G440*$I$1</f>
        <v>0</v>
      </c>
      <c r="J438" s="29">
        <f>'По платам'!H440*$J$1</f>
        <v>0</v>
      </c>
      <c r="K438" s="29">
        <f>'По платам'!I440*$K$1</f>
        <v>0</v>
      </c>
      <c r="L438" s="29">
        <f>'По платам'!J440*$L$1</f>
        <v>0</v>
      </c>
      <c r="M438" s="29">
        <f>'По платам'!K440*$M$1</f>
        <v>0</v>
      </c>
      <c r="N438" s="29">
        <f>'По платам'!L440*'Состав прибора'!$B$16</f>
        <v>0</v>
      </c>
    </row>
    <row r="439" spans="1:14">
      <c r="A439" s="16" t="s">
        <v>48</v>
      </c>
      <c r="B439" s="30" t="s">
        <v>3070</v>
      </c>
      <c r="C439" s="18" t="s">
        <v>1913</v>
      </c>
      <c r="D439" s="25">
        <f t="shared" si="6"/>
        <v>0</v>
      </c>
      <c r="E439" s="29">
        <f>'По платам'!C441*$E$1</f>
        <v>0</v>
      </c>
      <c r="F439" s="29">
        <f>'По платам'!D441*$F$1</f>
        <v>0</v>
      </c>
      <c r="G439" s="29">
        <f>'По платам'!E441*$G$1</f>
        <v>0</v>
      </c>
      <c r="H439" s="29">
        <f>'По платам'!F441*$H$1</f>
        <v>0</v>
      </c>
      <c r="I439" s="29">
        <f>'По платам'!G441*$I$1</f>
        <v>0</v>
      </c>
      <c r="J439" s="29">
        <f>'По платам'!H441*$J$1</f>
        <v>0</v>
      </c>
      <c r="K439" s="29">
        <f>'По платам'!I441*$K$1</f>
        <v>0</v>
      </c>
      <c r="L439" s="29">
        <f>'По платам'!J441*$L$1</f>
        <v>0</v>
      </c>
      <c r="M439" s="29">
        <f>'По платам'!K441*$M$1</f>
        <v>0</v>
      </c>
      <c r="N439" s="29">
        <f>'По платам'!L441*'Состав прибора'!$B$16</f>
        <v>0</v>
      </c>
    </row>
    <row r="440" spans="1:14">
      <c r="A440" s="16" t="s">
        <v>48</v>
      </c>
      <c r="B440" s="30" t="s">
        <v>3054</v>
      </c>
      <c r="C440" s="18" t="s">
        <v>882</v>
      </c>
      <c r="D440" s="25">
        <f t="shared" si="6"/>
        <v>3</v>
      </c>
      <c r="E440" s="29">
        <f>'По платам'!C442*$E$1</f>
        <v>0</v>
      </c>
      <c r="F440" s="29">
        <f>'По платам'!D442*$F$1</f>
        <v>0</v>
      </c>
      <c r="G440" s="29">
        <f>'По платам'!E442*$G$1</f>
        <v>0</v>
      </c>
      <c r="H440" s="29">
        <f>'По платам'!F442*$H$1</f>
        <v>0</v>
      </c>
      <c r="I440" s="29">
        <f>'По платам'!G442*$I$1</f>
        <v>0</v>
      </c>
      <c r="J440" s="29">
        <f>'По платам'!H442*$J$1</f>
        <v>0</v>
      </c>
      <c r="K440" s="29">
        <f>'По платам'!I442*$K$1</f>
        <v>3</v>
      </c>
      <c r="L440" s="29">
        <f>'По платам'!J442*$L$1</f>
        <v>0</v>
      </c>
      <c r="M440" s="29">
        <f>'По платам'!K442*$M$1</f>
        <v>0</v>
      </c>
      <c r="N440" s="29">
        <f>'По платам'!L442*'Состав прибора'!$B$16</f>
        <v>0</v>
      </c>
    </row>
    <row r="441" spans="1:14">
      <c r="A441" s="16" t="s">
        <v>48</v>
      </c>
      <c r="B441" s="30" t="s">
        <v>3051</v>
      </c>
      <c r="C441" s="18" t="s">
        <v>845</v>
      </c>
      <c r="D441" s="25">
        <f t="shared" si="6"/>
        <v>2</v>
      </c>
      <c r="E441" s="29">
        <f>'По платам'!C443*$E$1</f>
        <v>0</v>
      </c>
      <c r="F441" s="29">
        <f>'По платам'!D443*$F$1</f>
        <v>0</v>
      </c>
      <c r="G441" s="29">
        <f>'По платам'!E443*$G$1</f>
        <v>0</v>
      </c>
      <c r="H441" s="29">
        <f>'По платам'!F443*$H$1</f>
        <v>0</v>
      </c>
      <c r="I441" s="29">
        <f>'По платам'!G443*$I$1</f>
        <v>0</v>
      </c>
      <c r="J441" s="29">
        <f>'По платам'!H443*$J$1</f>
        <v>0</v>
      </c>
      <c r="K441" s="29">
        <f>'По платам'!I443*$K$1</f>
        <v>2</v>
      </c>
      <c r="L441" s="29">
        <f>'По платам'!J443*$L$1</f>
        <v>0</v>
      </c>
      <c r="M441" s="29">
        <f>'По платам'!K443*$M$1</f>
        <v>0</v>
      </c>
      <c r="N441" s="29">
        <f>'По платам'!L443*'Состав прибора'!$B$16</f>
        <v>0</v>
      </c>
    </row>
    <row r="442" spans="1:14">
      <c r="A442" s="16" t="s">
        <v>48</v>
      </c>
      <c r="B442" s="30" t="s">
        <v>3050</v>
      </c>
      <c r="C442" s="18" t="s">
        <v>436</v>
      </c>
      <c r="D442" s="25">
        <f t="shared" si="6"/>
        <v>24</v>
      </c>
      <c r="E442" s="29">
        <f>'По платам'!C444*$E$1</f>
        <v>0</v>
      </c>
      <c r="F442" s="29">
        <f>'По платам'!D444*$F$1</f>
        <v>0</v>
      </c>
      <c r="G442" s="29">
        <f>'По платам'!E444*$G$1</f>
        <v>0</v>
      </c>
      <c r="H442" s="29">
        <f>'По платам'!F444*$H$1</f>
        <v>0</v>
      </c>
      <c r="I442" s="29">
        <f>'По платам'!G444*$I$1</f>
        <v>0</v>
      </c>
      <c r="J442" s="29">
        <f>'По платам'!H444*$J$1</f>
        <v>0</v>
      </c>
      <c r="K442" s="29">
        <f>'По платам'!I444*$K$1</f>
        <v>16</v>
      </c>
      <c r="L442" s="29">
        <f>'По платам'!J444*$L$1</f>
        <v>8</v>
      </c>
      <c r="M442" s="29">
        <f>'По платам'!K444*$M$1</f>
        <v>0</v>
      </c>
      <c r="N442" s="29">
        <f>'По платам'!L444*'Состав прибора'!$B$16</f>
        <v>0</v>
      </c>
    </row>
    <row r="443" spans="1:14">
      <c r="A443" s="16" t="s">
        <v>48</v>
      </c>
      <c r="B443" s="30" t="s">
        <v>3071</v>
      </c>
      <c r="C443" s="18" t="s">
        <v>1728</v>
      </c>
      <c r="D443" s="25">
        <f t="shared" si="6"/>
        <v>0</v>
      </c>
      <c r="E443" s="29">
        <f>'По платам'!C445*$E$1</f>
        <v>0</v>
      </c>
      <c r="F443" s="29">
        <f>'По платам'!D445*$F$1</f>
        <v>0</v>
      </c>
      <c r="G443" s="29">
        <f>'По платам'!E445*$G$1</f>
        <v>0</v>
      </c>
      <c r="H443" s="29">
        <f>'По платам'!F445*$H$1</f>
        <v>0</v>
      </c>
      <c r="I443" s="29">
        <f>'По платам'!G445*$I$1</f>
        <v>0</v>
      </c>
      <c r="J443" s="29">
        <f>'По платам'!H445*$J$1</f>
        <v>0</v>
      </c>
      <c r="K443" s="29">
        <f>'По платам'!I445*$K$1</f>
        <v>0</v>
      </c>
      <c r="L443" s="29">
        <f>'По платам'!J445*$L$1</f>
        <v>0</v>
      </c>
      <c r="M443" s="29">
        <f>'По платам'!K445*$M$1</f>
        <v>0</v>
      </c>
      <c r="N443" s="29">
        <f>'По платам'!L445*'Состав прибора'!$B$16</f>
        <v>0</v>
      </c>
    </row>
    <row r="444" spans="1:14">
      <c r="A444" s="16" t="s">
        <v>48</v>
      </c>
      <c r="B444" s="30" t="s">
        <v>3049</v>
      </c>
      <c r="C444" s="18" t="s">
        <v>826</v>
      </c>
      <c r="D444" s="25">
        <f t="shared" si="6"/>
        <v>1</v>
      </c>
      <c r="E444" s="29">
        <f>'По платам'!C446*$E$1</f>
        <v>0</v>
      </c>
      <c r="F444" s="29">
        <f>'По платам'!D446*$F$1</f>
        <v>0</v>
      </c>
      <c r="G444" s="29">
        <f>'По платам'!E446*$G$1</f>
        <v>0</v>
      </c>
      <c r="H444" s="29">
        <f>'По платам'!F446*$H$1</f>
        <v>0</v>
      </c>
      <c r="I444" s="29">
        <f>'По платам'!G446*$I$1</f>
        <v>0</v>
      </c>
      <c r="J444" s="29">
        <f>'По платам'!H446*$J$1</f>
        <v>0</v>
      </c>
      <c r="K444" s="29">
        <f>'По платам'!I446*$K$1</f>
        <v>1</v>
      </c>
      <c r="L444" s="29">
        <f>'По платам'!J446*$L$1</f>
        <v>0</v>
      </c>
      <c r="M444" s="29">
        <f>'По платам'!K446*$M$1</f>
        <v>0</v>
      </c>
      <c r="N444" s="29">
        <f>'По платам'!L446*'Состав прибора'!$B$16</f>
        <v>0</v>
      </c>
    </row>
    <row r="445" spans="1:14">
      <c r="A445" s="16" t="s">
        <v>48</v>
      </c>
      <c r="B445" s="30" t="s">
        <v>3072</v>
      </c>
      <c r="C445" s="18" t="s">
        <v>1725</v>
      </c>
      <c r="D445" s="25">
        <f t="shared" si="6"/>
        <v>0</v>
      </c>
      <c r="E445" s="29">
        <f>'По платам'!C447*$E$1</f>
        <v>0</v>
      </c>
      <c r="F445" s="29">
        <f>'По платам'!D447*$F$1</f>
        <v>0</v>
      </c>
      <c r="G445" s="29">
        <f>'По платам'!E447*$G$1</f>
        <v>0</v>
      </c>
      <c r="H445" s="29">
        <f>'По платам'!F447*$H$1</f>
        <v>0</v>
      </c>
      <c r="I445" s="29">
        <f>'По платам'!G447*$I$1</f>
        <v>0</v>
      </c>
      <c r="J445" s="29">
        <f>'По платам'!H447*$J$1</f>
        <v>0</v>
      </c>
      <c r="K445" s="29">
        <f>'По платам'!I447*$K$1</f>
        <v>0</v>
      </c>
      <c r="L445" s="29">
        <f>'По платам'!J447*$L$1</f>
        <v>0</v>
      </c>
      <c r="M445" s="29">
        <f>'По платам'!K447*$M$1</f>
        <v>0</v>
      </c>
      <c r="N445" s="29">
        <f>'По платам'!L447*'Состав прибора'!$B$16</f>
        <v>0</v>
      </c>
    </row>
    <row r="446" spans="1:14">
      <c r="A446" s="16" t="s">
        <v>48</v>
      </c>
      <c r="B446" s="30" t="s">
        <v>3073</v>
      </c>
      <c r="C446" s="18" t="s">
        <v>1786</v>
      </c>
      <c r="D446" s="25">
        <f t="shared" si="6"/>
        <v>0</v>
      </c>
      <c r="E446" s="29">
        <f>'По платам'!C448*$E$1</f>
        <v>0</v>
      </c>
      <c r="F446" s="29">
        <f>'По платам'!D448*$F$1</f>
        <v>0</v>
      </c>
      <c r="G446" s="29">
        <f>'По платам'!E448*$G$1</f>
        <v>0</v>
      </c>
      <c r="H446" s="29">
        <f>'По платам'!F448*$H$1</f>
        <v>0</v>
      </c>
      <c r="I446" s="29">
        <f>'По платам'!G448*$I$1</f>
        <v>0</v>
      </c>
      <c r="J446" s="29">
        <f>'По платам'!H448*$J$1</f>
        <v>0</v>
      </c>
      <c r="K446" s="29">
        <f>'По платам'!I448*$K$1</f>
        <v>0</v>
      </c>
      <c r="L446" s="29">
        <f>'По платам'!J448*$L$1</f>
        <v>0</v>
      </c>
      <c r="M446" s="29">
        <f>'По платам'!K448*$M$1</f>
        <v>0</v>
      </c>
      <c r="N446" s="29">
        <f>'По платам'!L448*'Состав прибора'!$B$16</f>
        <v>0</v>
      </c>
    </row>
    <row r="447" spans="1:14">
      <c r="A447" s="16" t="s">
        <v>48</v>
      </c>
      <c r="B447" s="30" t="s">
        <v>3057</v>
      </c>
      <c r="C447" s="18" t="s">
        <v>927</v>
      </c>
      <c r="D447" s="25">
        <f t="shared" si="6"/>
        <v>6</v>
      </c>
      <c r="E447" s="29">
        <f>'По платам'!C449*$E$1</f>
        <v>0</v>
      </c>
      <c r="F447" s="29">
        <f>'По платам'!D449*$F$1</f>
        <v>0</v>
      </c>
      <c r="G447" s="29">
        <f>'По платам'!E449*$G$1</f>
        <v>0</v>
      </c>
      <c r="H447" s="29">
        <f>'По платам'!F449*$H$1</f>
        <v>0</v>
      </c>
      <c r="I447" s="29">
        <f>'По платам'!G449*$I$1</f>
        <v>0</v>
      </c>
      <c r="J447" s="29">
        <f>'По платам'!H449*$J$1</f>
        <v>0</v>
      </c>
      <c r="K447" s="29">
        <f>'По платам'!I449*$K$1</f>
        <v>6</v>
      </c>
      <c r="L447" s="29">
        <f>'По платам'!J449*$L$1</f>
        <v>0</v>
      </c>
      <c r="M447" s="29">
        <f>'По платам'!K449*$M$1</f>
        <v>0</v>
      </c>
      <c r="N447" s="29">
        <f>'По платам'!L449*'Состав прибора'!$B$16</f>
        <v>0</v>
      </c>
    </row>
    <row r="448" spans="1:14">
      <c r="A448" s="16" t="s">
        <v>48</v>
      </c>
      <c r="B448" s="30" t="s">
        <v>3048</v>
      </c>
      <c r="C448" s="18" t="s">
        <v>821</v>
      </c>
      <c r="D448" s="25">
        <f t="shared" si="6"/>
        <v>12</v>
      </c>
      <c r="E448" s="29">
        <f>'По платам'!C450*$E$1</f>
        <v>0</v>
      </c>
      <c r="F448" s="29">
        <f>'По платам'!D450*$F$1</f>
        <v>0</v>
      </c>
      <c r="G448" s="29">
        <f>'По платам'!E450*$G$1</f>
        <v>0</v>
      </c>
      <c r="H448" s="29">
        <f>'По платам'!F450*$H$1</f>
        <v>0</v>
      </c>
      <c r="I448" s="29">
        <f>'По платам'!G450*$I$1</f>
        <v>0</v>
      </c>
      <c r="J448" s="29">
        <f>'По платам'!H450*$J$1</f>
        <v>0</v>
      </c>
      <c r="K448" s="29">
        <f>'По платам'!I450*$K$1</f>
        <v>12</v>
      </c>
      <c r="L448" s="29">
        <f>'По платам'!J450*$L$1</f>
        <v>0</v>
      </c>
      <c r="M448" s="29">
        <f>'По платам'!K450*$M$1</f>
        <v>0</v>
      </c>
      <c r="N448" s="29">
        <f>'По платам'!L450*'Состав прибора'!$B$16</f>
        <v>0</v>
      </c>
    </row>
    <row r="449" spans="1:14">
      <c r="A449" s="16" t="s">
        <v>48</v>
      </c>
      <c r="B449" s="30" t="s">
        <v>3052</v>
      </c>
      <c r="C449" s="18" t="s">
        <v>849</v>
      </c>
      <c r="D449" s="25">
        <f t="shared" si="6"/>
        <v>10</v>
      </c>
      <c r="E449" s="29">
        <f>'По платам'!C451*$E$1</f>
        <v>0</v>
      </c>
      <c r="F449" s="29">
        <f>'По платам'!D451*$F$1</f>
        <v>0</v>
      </c>
      <c r="G449" s="29">
        <f>'По платам'!E451*$G$1</f>
        <v>0</v>
      </c>
      <c r="H449" s="29">
        <f>'По платам'!F451*$H$1</f>
        <v>0</v>
      </c>
      <c r="I449" s="29">
        <f>'По платам'!G451*$I$1</f>
        <v>0</v>
      </c>
      <c r="J449" s="29">
        <f>'По платам'!H451*$J$1</f>
        <v>0</v>
      </c>
      <c r="K449" s="29">
        <f>'По платам'!I451*$K$1</f>
        <v>10</v>
      </c>
      <c r="L449" s="29">
        <f>'По платам'!J451*$L$1</f>
        <v>0</v>
      </c>
      <c r="M449" s="29">
        <f>'По платам'!K451*$M$1</f>
        <v>0</v>
      </c>
      <c r="N449" s="29">
        <f>'По платам'!L451*'Состав прибора'!$B$16</f>
        <v>0</v>
      </c>
    </row>
    <row r="450" spans="1:14">
      <c r="A450" s="16" t="s">
        <v>48</v>
      </c>
      <c r="B450" s="30" t="s">
        <v>3074</v>
      </c>
      <c r="C450" s="18" t="s">
        <v>1803</v>
      </c>
      <c r="D450" s="25">
        <f t="shared" ref="D450:D513" si="7">SUM(E450:N450)</f>
        <v>0</v>
      </c>
      <c r="E450" s="29">
        <f>'По платам'!C452*$E$1</f>
        <v>0</v>
      </c>
      <c r="F450" s="29">
        <f>'По платам'!D452*$F$1</f>
        <v>0</v>
      </c>
      <c r="G450" s="29">
        <f>'По платам'!E452*$G$1</f>
        <v>0</v>
      </c>
      <c r="H450" s="29">
        <f>'По платам'!F452*$H$1</f>
        <v>0</v>
      </c>
      <c r="I450" s="29">
        <f>'По платам'!G452*$I$1</f>
        <v>0</v>
      </c>
      <c r="J450" s="29">
        <f>'По платам'!H452*$J$1</f>
        <v>0</v>
      </c>
      <c r="K450" s="29">
        <f>'По платам'!I452*$K$1</f>
        <v>0</v>
      </c>
      <c r="L450" s="29">
        <f>'По платам'!J452*$L$1</f>
        <v>0</v>
      </c>
      <c r="M450" s="29">
        <f>'По платам'!K452*$M$1</f>
        <v>0</v>
      </c>
      <c r="N450" s="29">
        <f>'По платам'!L452*'Состав прибора'!$B$16</f>
        <v>0</v>
      </c>
    </row>
    <row r="451" spans="1:14">
      <c r="A451" s="16" t="s">
        <v>48</v>
      </c>
      <c r="B451" s="30" t="s">
        <v>3059</v>
      </c>
      <c r="C451" s="18" t="s">
        <v>960</v>
      </c>
      <c r="D451" s="25">
        <f t="shared" si="7"/>
        <v>6</v>
      </c>
      <c r="E451" s="29">
        <f>'По платам'!C453*$E$1</f>
        <v>0</v>
      </c>
      <c r="F451" s="29">
        <f>'По платам'!D453*$F$1</f>
        <v>0</v>
      </c>
      <c r="G451" s="29">
        <f>'По платам'!E453*$G$1</f>
        <v>0</v>
      </c>
      <c r="H451" s="29">
        <f>'По платам'!F453*$H$1</f>
        <v>0</v>
      </c>
      <c r="I451" s="29">
        <f>'По платам'!G453*$I$1</f>
        <v>0</v>
      </c>
      <c r="J451" s="29">
        <f>'По платам'!H453*$J$1</f>
        <v>0</v>
      </c>
      <c r="K451" s="29">
        <f>'По платам'!I453*$K$1</f>
        <v>6</v>
      </c>
      <c r="L451" s="29">
        <f>'По платам'!J453*$L$1</f>
        <v>0</v>
      </c>
      <c r="M451" s="29">
        <f>'По платам'!K453*$M$1</f>
        <v>0</v>
      </c>
      <c r="N451" s="29">
        <f>'По платам'!L453*'Состав прибора'!$B$16</f>
        <v>0</v>
      </c>
    </row>
    <row r="452" spans="1:14">
      <c r="A452" s="16" t="s">
        <v>48</v>
      </c>
      <c r="B452" s="30" t="s">
        <v>3075</v>
      </c>
      <c r="C452" s="18" t="s">
        <v>1872</v>
      </c>
      <c r="D452" s="25">
        <f t="shared" si="7"/>
        <v>0</v>
      </c>
      <c r="E452" s="29">
        <f>'По платам'!C454*$E$1</f>
        <v>0</v>
      </c>
      <c r="F452" s="29">
        <f>'По платам'!D454*$F$1</f>
        <v>0</v>
      </c>
      <c r="G452" s="29">
        <f>'По платам'!E454*$G$1</f>
        <v>0</v>
      </c>
      <c r="H452" s="29">
        <f>'По платам'!F454*$H$1</f>
        <v>0</v>
      </c>
      <c r="I452" s="29">
        <f>'По платам'!G454*$I$1</f>
        <v>0</v>
      </c>
      <c r="J452" s="29">
        <f>'По платам'!H454*$J$1</f>
        <v>0</v>
      </c>
      <c r="K452" s="29">
        <f>'По платам'!I454*$K$1</f>
        <v>0</v>
      </c>
      <c r="L452" s="29">
        <f>'По платам'!J454*$L$1</f>
        <v>0</v>
      </c>
      <c r="M452" s="29">
        <f>'По платам'!K454*$M$1</f>
        <v>0</v>
      </c>
      <c r="N452" s="29">
        <f>'По платам'!L454*'Состав прибора'!$B$16</f>
        <v>0</v>
      </c>
    </row>
    <row r="453" spans="1:14">
      <c r="A453" s="16" t="s">
        <v>48</v>
      </c>
      <c r="B453" s="30" t="s">
        <v>3056</v>
      </c>
      <c r="C453" s="18" t="s">
        <v>908</v>
      </c>
      <c r="D453" s="25">
        <f t="shared" si="7"/>
        <v>1</v>
      </c>
      <c r="E453" s="29">
        <f>'По платам'!C455*$E$1</f>
        <v>0</v>
      </c>
      <c r="F453" s="29">
        <f>'По платам'!D455*$F$1</f>
        <v>0</v>
      </c>
      <c r="G453" s="29">
        <f>'По платам'!E455*$G$1</f>
        <v>0</v>
      </c>
      <c r="H453" s="29">
        <f>'По платам'!F455*$H$1</f>
        <v>0</v>
      </c>
      <c r="I453" s="29">
        <f>'По платам'!G455*$I$1</f>
        <v>0</v>
      </c>
      <c r="J453" s="29">
        <f>'По платам'!H455*$J$1</f>
        <v>0</v>
      </c>
      <c r="K453" s="29">
        <f>'По платам'!I455*$K$1</f>
        <v>1</v>
      </c>
      <c r="L453" s="29">
        <f>'По платам'!J455*$L$1</f>
        <v>0</v>
      </c>
      <c r="M453" s="29">
        <f>'По платам'!K455*$M$1</f>
        <v>0</v>
      </c>
      <c r="N453" s="29">
        <f>'По платам'!L455*'Состав прибора'!$B$16</f>
        <v>0</v>
      </c>
    </row>
    <row r="454" spans="1:14">
      <c r="A454" s="16" t="s">
        <v>48</v>
      </c>
      <c r="B454" s="30" t="s">
        <v>3058</v>
      </c>
      <c r="C454" s="18" t="s">
        <v>957</v>
      </c>
      <c r="D454" s="25">
        <f t="shared" si="7"/>
        <v>1</v>
      </c>
      <c r="E454" s="29">
        <f>'По платам'!C456*$E$1</f>
        <v>0</v>
      </c>
      <c r="F454" s="29">
        <f>'По платам'!D456*$F$1</f>
        <v>0</v>
      </c>
      <c r="G454" s="29">
        <f>'По платам'!E456*$G$1</f>
        <v>0</v>
      </c>
      <c r="H454" s="29">
        <f>'По платам'!F456*$H$1</f>
        <v>0</v>
      </c>
      <c r="I454" s="29">
        <f>'По платам'!G456*$I$1</f>
        <v>0</v>
      </c>
      <c r="J454" s="29">
        <f>'По платам'!H456*$J$1</f>
        <v>0</v>
      </c>
      <c r="K454" s="29">
        <f>'По платам'!I456*$K$1</f>
        <v>1</v>
      </c>
      <c r="L454" s="29">
        <f>'По платам'!J456*$L$1</f>
        <v>0</v>
      </c>
      <c r="M454" s="29">
        <f>'По платам'!K456*$M$1</f>
        <v>0</v>
      </c>
      <c r="N454" s="29">
        <f>'По платам'!L456*'Состав прибора'!$B$16</f>
        <v>0</v>
      </c>
    </row>
    <row r="455" spans="1:14">
      <c r="A455" s="16" t="s">
        <v>48</v>
      </c>
      <c r="B455" s="30" t="s">
        <v>3076</v>
      </c>
      <c r="C455" s="18" t="s">
        <v>2584</v>
      </c>
      <c r="D455" s="25">
        <f t="shared" si="7"/>
        <v>0</v>
      </c>
      <c r="E455" s="29">
        <f>'По платам'!C457*$E$1</f>
        <v>0</v>
      </c>
      <c r="F455" s="29">
        <f>'По платам'!D457*$F$1</f>
        <v>0</v>
      </c>
      <c r="G455" s="29">
        <f>'По платам'!E457*$G$1</f>
        <v>0</v>
      </c>
      <c r="H455" s="29">
        <f>'По платам'!F457*$H$1</f>
        <v>0</v>
      </c>
      <c r="I455" s="29">
        <f>'По платам'!G457*$I$1</f>
        <v>0</v>
      </c>
      <c r="J455" s="29">
        <f>'По платам'!H457*$J$1</f>
        <v>0</v>
      </c>
      <c r="K455" s="29">
        <f>'По платам'!I457*$K$1</f>
        <v>0</v>
      </c>
      <c r="L455" s="29">
        <f>'По платам'!J457*$L$1</f>
        <v>0</v>
      </c>
      <c r="M455" s="29">
        <f>'По платам'!K457*$M$1</f>
        <v>0</v>
      </c>
      <c r="N455" s="29">
        <f>'По платам'!L457*'Состав прибора'!$B$16</f>
        <v>0</v>
      </c>
    </row>
    <row r="456" spans="1:14">
      <c r="A456" s="16" t="s">
        <v>48</v>
      </c>
      <c r="B456" s="30" t="s">
        <v>424</v>
      </c>
      <c r="C456" s="18" t="s">
        <v>898</v>
      </c>
      <c r="D456" s="25">
        <f t="shared" si="7"/>
        <v>5</v>
      </c>
      <c r="E456" s="29">
        <f>'По платам'!C458*$E$1</f>
        <v>0</v>
      </c>
      <c r="F456" s="29">
        <f>'По платам'!D458*$F$1</f>
        <v>0</v>
      </c>
      <c r="G456" s="29">
        <f>'По платам'!E458*$G$1</f>
        <v>0</v>
      </c>
      <c r="H456" s="29">
        <f>'По платам'!F458*$H$1</f>
        <v>0</v>
      </c>
      <c r="I456" s="29">
        <f>'По платам'!G458*$I$1</f>
        <v>0</v>
      </c>
      <c r="J456" s="29">
        <f>'По платам'!H458*$J$1</f>
        <v>0</v>
      </c>
      <c r="K456" s="29">
        <f>'По платам'!I458*$K$1</f>
        <v>5</v>
      </c>
      <c r="L456" s="29">
        <f>'По платам'!J458*$L$1</f>
        <v>0</v>
      </c>
      <c r="M456" s="29">
        <f>'По платам'!K458*$M$1</f>
        <v>0</v>
      </c>
      <c r="N456" s="29">
        <f>'По платам'!L458*'Состав прибора'!$B$16</f>
        <v>0</v>
      </c>
    </row>
    <row r="457" spans="1:14">
      <c r="A457" s="16" t="s">
        <v>48</v>
      </c>
      <c r="B457" s="30" t="s">
        <v>3055</v>
      </c>
      <c r="C457" s="18" t="s">
        <v>904</v>
      </c>
      <c r="D457" s="25">
        <f t="shared" si="7"/>
        <v>1</v>
      </c>
      <c r="E457" s="29">
        <f>'По платам'!C459*$E$1</f>
        <v>0</v>
      </c>
      <c r="F457" s="29">
        <f>'По платам'!D459*$F$1</f>
        <v>0</v>
      </c>
      <c r="G457" s="29">
        <f>'По платам'!E459*$G$1</f>
        <v>0</v>
      </c>
      <c r="H457" s="29">
        <f>'По платам'!F459*$H$1</f>
        <v>0</v>
      </c>
      <c r="I457" s="29">
        <f>'По платам'!G459*$I$1</f>
        <v>0</v>
      </c>
      <c r="J457" s="29">
        <f>'По платам'!H459*$J$1</f>
        <v>0</v>
      </c>
      <c r="K457" s="29">
        <f>'По платам'!I459*$K$1</f>
        <v>1</v>
      </c>
      <c r="L457" s="29">
        <f>'По платам'!J459*$L$1</f>
        <v>0</v>
      </c>
      <c r="M457" s="29">
        <f>'По платам'!K459*$M$1</f>
        <v>0</v>
      </c>
      <c r="N457" s="29">
        <f>'По платам'!L459*'Состав прибора'!$B$16</f>
        <v>0</v>
      </c>
    </row>
    <row r="458" spans="1:14">
      <c r="A458" s="16" t="s">
        <v>48</v>
      </c>
      <c r="B458" s="30" t="s">
        <v>3077</v>
      </c>
      <c r="C458" s="18" t="s">
        <v>1738</v>
      </c>
      <c r="D458" s="25">
        <f t="shared" si="7"/>
        <v>0</v>
      </c>
      <c r="E458" s="29">
        <f>'По платам'!C460*$E$1</f>
        <v>0</v>
      </c>
      <c r="F458" s="29">
        <f>'По платам'!D460*$F$1</f>
        <v>0</v>
      </c>
      <c r="G458" s="29">
        <f>'По платам'!E460*$G$1</f>
        <v>0</v>
      </c>
      <c r="H458" s="29">
        <f>'По платам'!F460*$H$1</f>
        <v>0</v>
      </c>
      <c r="I458" s="29">
        <f>'По платам'!G460*$I$1</f>
        <v>0</v>
      </c>
      <c r="J458" s="29">
        <f>'По платам'!H460*$J$1</f>
        <v>0</v>
      </c>
      <c r="K458" s="29">
        <f>'По платам'!I460*$K$1</f>
        <v>0</v>
      </c>
      <c r="L458" s="29">
        <f>'По платам'!J460*$L$1</f>
        <v>0</v>
      </c>
      <c r="M458" s="29">
        <f>'По платам'!K460*$M$1</f>
        <v>0</v>
      </c>
      <c r="N458" s="29">
        <f>'По платам'!L460*'Состав прибора'!$B$16</f>
        <v>0</v>
      </c>
    </row>
    <row r="459" spans="1:14">
      <c r="A459" s="16" t="s">
        <v>48</v>
      </c>
      <c r="B459" s="30" t="s">
        <v>3078</v>
      </c>
      <c r="C459" s="18" t="s">
        <v>1756</v>
      </c>
      <c r="D459" s="25">
        <f t="shared" si="7"/>
        <v>0</v>
      </c>
      <c r="E459" s="29">
        <f>'По платам'!C461*$E$1</f>
        <v>0</v>
      </c>
      <c r="F459" s="29">
        <f>'По платам'!D461*$F$1</f>
        <v>0</v>
      </c>
      <c r="G459" s="29">
        <f>'По платам'!E461*$G$1</f>
        <v>0</v>
      </c>
      <c r="H459" s="29">
        <f>'По платам'!F461*$H$1</f>
        <v>0</v>
      </c>
      <c r="I459" s="29">
        <f>'По платам'!G461*$I$1</f>
        <v>0</v>
      </c>
      <c r="J459" s="29">
        <f>'По платам'!H461*$J$1</f>
        <v>0</v>
      </c>
      <c r="K459" s="29">
        <f>'По платам'!I461*$K$1</f>
        <v>0</v>
      </c>
      <c r="L459" s="29">
        <f>'По платам'!J461*$L$1</f>
        <v>0</v>
      </c>
      <c r="M459" s="29">
        <f>'По платам'!K461*$M$1</f>
        <v>0</v>
      </c>
      <c r="N459" s="29">
        <f>'По платам'!L461*'Состав прибора'!$B$16</f>
        <v>0</v>
      </c>
    </row>
    <row r="460" spans="1:14">
      <c r="A460" s="16" t="s">
        <v>48</v>
      </c>
      <c r="B460" s="30" t="s">
        <v>3079</v>
      </c>
      <c r="C460" s="18" t="s">
        <v>1795</v>
      </c>
      <c r="D460" s="25">
        <f t="shared" si="7"/>
        <v>0</v>
      </c>
      <c r="E460" s="29">
        <f>'По платам'!C462*$E$1</f>
        <v>0</v>
      </c>
      <c r="F460" s="29">
        <f>'По платам'!D462*$F$1</f>
        <v>0</v>
      </c>
      <c r="G460" s="29">
        <f>'По платам'!E462*$G$1</f>
        <v>0</v>
      </c>
      <c r="H460" s="29">
        <f>'По платам'!F462*$H$1</f>
        <v>0</v>
      </c>
      <c r="I460" s="29">
        <f>'По платам'!G462*$I$1</f>
        <v>0</v>
      </c>
      <c r="J460" s="29">
        <f>'По платам'!H462*$J$1</f>
        <v>0</v>
      </c>
      <c r="K460" s="29">
        <f>'По платам'!I462*$K$1</f>
        <v>0</v>
      </c>
      <c r="L460" s="29">
        <f>'По платам'!J462*$L$1</f>
        <v>0</v>
      </c>
      <c r="M460" s="29">
        <f>'По платам'!K462*$M$1</f>
        <v>0</v>
      </c>
      <c r="N460" s="29">
        <f>'По платам'!L462*'Состав прибора'!$B$16</f>
        <v>0</v>
      </c>
    </row>
    <row r="461" spans="1:14">
      <c r="A461" s="16" t="s">
        <v>48</v>
      </c>
      <c r="B461" s="30" t="s">
        <v>207</v>
      </c>
      <c r="C461" s="18" t="s">
        <v>1762</v>
      </c>
      <c r="D461" s="25">
        <f t="shared" si="7"/>
        <v>0</v>
      </c>
      <c r="E461" s="29">
        <f>'По платам'!C463*$E$1</f>
        <v>0</v>
      </c>
      <c r="F461" s="29">
        <f>'По платам'!D463*$F$1</f>
        <v>0</v>
      </c>
      <c r="G461" s="29">
        <f>'По платам'!E463*$G$1</f>
        <v>0</v>
      </c>
      <c r="H461" s="29">
        <f>'По платам'!F463*$H$1</f>
        <v>0</v>
      </c>
      <c r="I461" s="29">
        <f>'По платам'!G463*$I$1</f>
        <v>0</v>
      </c>
      <c r="J461" s="29">
        <f>'По платам'!H463*$J$1</f>
        <v>0</v>
      </c>
      <c r="K461" s="29">
        <f>'По платам'!I463*$K$1</f>
        <v>0</v>
      </c>
      <c r="L461" s="29">
        <f>'По платам'!J463*$L$1</f>
        <v>0</v>
      </c>
      <c r="M461" s="29">
        <f>'По платам'!K463*$M$1</f>
        <v>0</v>
      </c>
      <c r="N461" s="29">
        <f>'По платам'!L463*'Состав прибора'!$B$16</f>
        <v>0</v>
      </c>
    </row>
    <row r="462" spans="1:14">
      <c r="A462" s="16" t="s">
        <v>48</v>
      </c>
      <c r="B462" s="30" t="s">
        <v>873</v>
      </c>
      <c r="C462" s="18" t="s">
        <v>1778</v>
      </c>
      <c r="D462" s="25">
        <f t="shared" si="7"/>
        <v>0</v>
      </c>
      <c r="E462" s="29">
        <f>'По платам'!C464*$E$1</f>
        <v>0</v>
      </c>
      <c r="F462" s="29">
        <f>'По платам'!D464*$F$1</f>
        <v>0</v>
      </c>
      <c r="G462" s="29">
        <f>'По платам'!E464*$G$1</f>
        <v>0</v>
      </c>
      <c r="H462" s="29">
        <f>'По платам'!F464*$H$1</f>
        <v>0</v>
      </c>
      <c r="I462" s="29">
        <f>'По платам'!G464*$I$1</f>
        <v>0</v>
      </c>
      <c r="J462" s="29">
        <f>'По платам'!H464*$J$1</f>
        <v>0</v>
      </c>
      <c r="K462" s="29">
        <f>'По платам'!I464*$K$1</f>
        <v>0</v>
      </c>
      <c r="L462" s="29">
        <f>'По платам'!J464*$L$1</f>
        <v>0</v>
      </c>
      <c r="M462" s="29">
        <f>'По платам'!K464*$M$1</f>
        <v>0</v>
      </c>
      <c r="N462" s="29">
        <f>'По платам'!L464*'Состав прибора'!$B$16</f>
        <v>0</v>
      </c>
    </row>
    <row r="463" spans="1:14">
      <c r="A463" s="16" t="s">
        <v>48</v>
      </c>
      <c r="B463" s="30" t="s">
        <v>1149</v>
      </c>
      <c r="C463" s="18" t="s">
        <v>1744</v>
      </c>
      <c r="D463" s="25">
        <f t="shared" si="7"/>
        <v>0</v>
      </c>
      <c r="E463" s="29">
        <f>'По платам'!C465*$E$1</f>
        <v>0</v>
      </c>
      <c r="F463" s="29">
        <f>'По платам'!D465*$F$1</f>
        <v>0</v>
      </c>
      <c r="G463" s="29">
        <f>'По платам'!E465*$G$1</f>
        <v>0</v>
      </c>
      <c r="H463" s="29">
        <f>'По платам'!F465*$H$1</f>
        <v>0</v>
      </c>
      <c r="I463" s="29">
        <f>'По платам'!G465*$I$1</f>
        <v>0</v>
      </c>
      <c r="J463" s="29">
        <f>'По платам'!H465*$J$1</f>
        <v>0</v>
      </c>
      <c r="K463" s="29">
        <f>'По платам'!I465*$K$1</f>
        <v>0</v>
      </c>
      <c r="L463" s="29">
        <f>'По платам'!J465*$L$1</f>
        <v>0</v>
      </c>
      <c r="M463" s="29">
        <f>'По платам'!K465*$M$1</f>
        <v>0</v>
      </c>
      <c r="N463" s="29">
        <f>'По платам'!L465*'Состав прибора'!$B$16</f>
        <v>0</v>
      </c>
    </row>
    <row r="464" spans="1:14">
      <c r="A464" s="16" t="s">
        <v>48</v>
      </c>
      <c r="B464" s="30" t="s">
        <v>3080</v>
      </c>
      <c r="C464" s="18" t="s">
        <v>1860</v>
      </c>
      <c r="D464" s="25">
        <f t="shared" si="7"/>
        <v>0</v>
      </c>
      <c r="E464" s="29">
        <f>'По платам'!C466*$E$1</f>
        <v>0</v>
      </c>
      <c r="F464" s="29">
        <f>'По платам'!D466*$F$1</f>
        <v>0</v>
      </c>
      <c r="G464" s="29">
        <f>'По платам'!E466*$G$1</f>
        <v>0</v>
      </c>
      <c r="H464" s="29">
        <f>'По платам'!F466*$H$1</f>
        <v>0</v>
      </c>
      <c r="I464" s="29">
        <f>'По платам'!G466*$I$1</f>
        <v>0</v>
      </c>
      <c r="J464" s="29">
        <f>'По платам'!H466*$J$1</f>
        <v>0</v>
      </c>
      <c r="K464" s="29">
        <f>'По платам'!I466*$K$1</f>
        <v>0</v>
      </c>
      <c r="L464" s="29">
        <f>'По платам'!J466*$L$1</f>
        <v>0</v>
      </c>
      <c r="M464" s="29">
        <f>'По платам'!K466*$M$1</f>
        <v>0</v>
      </c>
      <c r="N464" s="29">
        <f>'По платам'!L466*'Состав прибора'!$B$16</f>
        <v>0</v>
      </c>
    </row>
    <row r="465" spans="1:14">
      <c r="A465" s="16" t="s">
        <v>48</v>
      </c>
      <c r="B465" s="30" t="s">
        <v>3081</v>
      </c>
      <c r="C465" s="18" t="s">
        <v>1748</v>
      </c>
      <c r="D465" s="25">
        <f t="shared" si="7"/>
        <v>0</v>
      </c>
      <c r="E465" s="29">
        <f>'По платам'!C467*$E$1</f>
        <v>0</v>
      </c>
      <c r="F465" s="29">
        <f>'По платам'!D467*$F$1</f>
        <v>0</v>
      </c>
      <c r="G465" s="29">
        <f>'По платам'!E467*$G$1</f>
        <v>0</v>
      </c>
      <c r="H465" s="29">
        <f>'По платам'!F467*$H$1</f>
        <v>0</v>
      </c>
      <c r="I465" s="29">
        <f>'По платам'!G467*$I$1</f>
        <v>0</v>
      </c>
      <c r="J465" s="29">
        <f>'По платам'!H467*$J$1</f>
        <v>0</v>
      </c>
      <c r="K465" s="29">
        <f>'По платам'!I467*$K$1</f>
        <v>0</v>
      </c>
      <c r="L465" s="29">
        <f>'По платам'!J467*$L$1</f>
        <v>0</v>
      </c>
      <c r="M465" s="29">
        <f>'По платам'!K467*$M$1</f>
        <v>0</v>
      </c>
      <c r="N465" s="29">
        <f>'По платам'!L467*'Состав прибора'!$B$16</f>
        <v>0</v>
      </c>
    </row>
    <row r="466" spans="1:14">
      <c r="A466" s="16" t="s">
        <v>48</v>
      </c>
      <c r="B466" s="30" t="s">
        <v>2454</v>
      </c>
      <c r="C466" s="18" t="s">
        <v>1908</v>
      </c>
      <c r="D466" s="25">
        <f t="shared" si="7"/>
        <v>0</v>
      </c>
      <c r="E466" s="29">
        <f>'По платам'!C468*$E$1</f>
        <v>0</v>
      </c>
      <c r="F466" s="29">
        <f>'По платам'!D468*$F$1</f>
        <v>0</v>
      </c>
      <c r="G466" s="29">
        <f>'По платам'!E468*$G$1</f>
        <v>0</v>
      </c>
      <c r="H466" s="29">
        <f>'По платам'!F468*$H$1</f>
        <v>0</v>
      </c>
      <c r="I466" s="29">
        <f>'По платам'!G468*$I$1</f>
        <v>0</v>
      </c>
      <c r="J466" s="29">
        <f>'По платам'!H468*$J$1</f>
        <v>0</v>
      </c>
      <c r="K466" s="29">
        <f>'По платам'!I468*$K$1</f>
        <v>0</v>
      </c>
      <c r="L466" s="29">
        <f>'По платам'!J468*$L$1</f>
        <v>0</v>
      </c>
      <c r="M466" s="29">
        <f>'По платам'!K468*$M$1</f>
        <v>0</v>
      </c>
      <c r="N466" s="29">
        <f>'По платам'!L468*'Состав прибора'!$B$16</f>
        <v>0</v>
      </c>
    </row>
    <row r="467" spans="1:14">
      <c r="A467" s="16" t="s">
        <v>48</v>
      </c>
      <c r="B467" s="30" t="s">
        <v>2492</v>
      </c>
      <c r="C467" s="18" t="s">
        <v>1892</v>
      </c>
      <c r="D467" s="25">
        <f t="shared" si="7"/>
        <v>0</v>
      </c>
      <c r="E467" s="29">
        <f>'По платам'!C469*$E$1</f>
        <v>0</v>
      </c>
      <c r="F467" s="29">
        <f>'По платам'!D469*$F$1</f>
        <v>0</v>
      </c>
      <c r="G467" s="29">
        <f>'По платам'!E469*$G$1</f>
        <v>0</v>
      </c>
      <c r="H467" s="29">
        <f>'По платам'!F469*$H$1</f>
        <v>0</v>
      </c>
      <c r="I467" s="29">
        <f>'По платам'!G469*$I$1</f>
        <v>0</v>
      </c>
      <c r="J467" s="29">
        <f>'По платам'!H469*$J$1</f>
        <v>0</v>
      </c>
      <c r="K467" s="29">
        <f>'По платам'!I469*$K$1</f>
        <v>0</v>
      </c>
      <c r="L467" s="29">
        <f>'По платам'!J469*$L$1</f>
        <v>0</v>
      </c>
      <c r="M467" s="29">
        <f>'По платам'!K469*$M$1</f>
        <v>0</v>
      </c>
      <c r="N467" s="29">
        <f>'По платам'!L469*'Состав прибора'!$B$16</f>
        <v>0</v>
      </c>
    </row>
    <row r="468" spans="1:14">
      <c r="A468" s="16" t="s">
        <v>48</v>
      </c>
      <c r="B468" s="30" t="s">
        <v>1008</v>
      </c>
      <c r="C468" s="18" t="s">
        <v>1834</v>
      </c>
      <c r="D468" s="25">
        <f t="shared" si="7"/>
        <v>0</v>
      </c>
      <c r="E468" s="29">
        <f>'По платам'!C470*$E$1</f>
        <v>0</v>
      </c>
      <c r="F468" s="29">
        <f>'По платам'!D470*$F$1</f>
        <v>0</v>
      </c>
      <c r="G468" s="29">
        <f>'По платам'!E470*$G$1</f>
        <v>0</v>
      </c>
      <c r="H468" s="29">
        <f>'По платам'!F470*$H$1</f>
        <v>0</v>
      </c>
      <c r="I468" s="29">
        <f>'По платам'!G470*$I$1</f>
        <v>0</v>
      </c>
      <c r="J468" s="29">
        <f>'По платам'!H470*$J$1</f>
        <v>0</v>
      </c>
      <c r="K468" s="29">
        <f>'По платам'!I470*$K$1</f>
        <v>0</v>
      </c>
      <c r="L468" s="29">
        <f>'По платам'!J470*$L$1</f>
        <v>0</v>
      </c>
      <c r="M468" s="29">
        <f>'По платам'!K470*$M$1</f>
        <v>0</v>
      </c>
      <c r="N468" s="29">
        <f>'По платам'!L470*'Состав прибора'!$B$16</f>
        <v>0</v>
      </c>
    </row>
    <row r="469" spans="1:14">
      <c r="A469" s="16" t="s">
        <v>48</v>
      </c>
      <c r="B469" s="30" t="s">
        <v>3060</v>
      </c>
      <c r="C469" s="18" t="s">
        <v>968</v>
      </c>
      <c r="D469" s="25">
        <f t="shared" si="7"/>
        <v>1</v>
      </c>
      <c r="E469" s="29">
        <f>'По платам'!C471*$E$1</f>
        <v>0</v>
      </c>
      <c r="F469" s="29">
        <f>'По платам'!D471*$F$1</f>
        <v>0</v>
      </c>
      <c r="G469" s="29">
        <f>'По платам'!E471*$G$1</f>
        <v>0</v>
      </c>
      <c r="H469" s="29">
        <f>'По платам'!F471*$H$1</f>
        <v>0</v>
      </c>
      <c r="I469" s="29">
        <f>'По платам'!G471*$I$1</f>
        <v>0</v>
      </c>
      <c r="J469" s="29">
        <f>'По платам'!H471*$J$1</f>
        <v>0</v>
      </c>
      <c r="K469" s="29">
        <f>'По платам'!I471*$K$1</f>
        <v>1</v>
      </c>
      <c r="L469" s="29">
        <f>'По платам'!J471*$L$1</f>
        <v>0</v>
      </c>
      <c r="M469" s="29">
        <f>'По платам'!K471*$M$1</f>
        <v>0</v>
      </c>
      <c r="N469" s="29">
        <f>'По платам'!L471*'Состав прибора'!$B$16</f>
        <v>0</v>
      </c>
    </row>
    <row r="470" spans="1:14">
      <c r="A470" s="16" t="s">
        <v>48</v>
      </c>
      <c r="B470" s="30" t="s">
        <v>2834</v>
      </c>
      <c r="C470" s="18" t="s">
        <v>911</v>
      </c>
      <c r="D470" s="25">
        <f t="shared" si="7"/>
        <v>1</v>
      </c>
      <c r="E470" s="29">
        <f>'По платам'!C472*$E$1</f>
        <v>0</v>
      </c>
      <c r="F470" s="29">
        <f>'По платам'!D472*$F$1</f>
        <v>0</v>
      </c>
      <c r="G470" s="29">
        <f>'По платам'!E472*$G$1</f>
        <v>0</v>
      </c>
      <c r="H470" s="29">
        <f>'По платам'!F472*$H$1</f>
        <v>0</v>
      </c>
      <c r="I470" s="29">
        <f>'По платам'!G472*$I$1</f>
        <v>0</v>
      </c>
      <c r="J470" s="29">
        <f>'По платам'!H472*$J$1</f>
        <v>0</v>
      </c>
      <c r="K470" s="29">
        <f>'По платам'!I472*$K$1</f>
        <v>1</v>
      </c>
      <c r="L470" s="29">
        <f>'По платам'!J472*$L$1</f>
        <v>0</v>
      </c>
      <c r="M470" s="29">
        <f>'По платам'!K472*$M$1</f>
        <v>0</v>
      </c>
      <c r="N470" s="29">
        <f>'По платам'!L472*'Состав прибора'!$B$16</f>
        <v>0</v>
      </c>
    </row>
    <row r="471" spans="1:14">
      <c r="A471" s="16" t="s">
        <v>48</v>
      </c>
      <c r="B471" s="30" t="s">
        <v>3082</v>
      </c>
      <c r="C471" s="18" t="s">
        <v>1900</v>
      </c>
      <c r="D471" s="25">
        <f t="shared" si="7"/>
        <v>0</v>
      </c>
      <c r="E471" s="29">
        <f>'По платам'!C473*$E$1</f>
        <v>0</v>
      </c>
      <c r="F471" s="29">
        <f>'По платам'!D473*$F$1</f>
        <v>0</v>
      </c>
      <c r="G471" s="29">
        <f>'По платам'!E473*$G$1</f>
        <v>0</v>
      </c>
      <c r="H471" s="29">
        <f>'По платам'!F473*$H$1</f>
        <v>0</v>
      </c>
      <c r="I471" s="29">
        <f>'По платам'!G473*$I$1</f>
        <v>0</v>
      </c>
      <c r="J471" s="29">
        <f>'По платам'!H473*$J$1</f>
        <v>0</v>
      </c>
      <c r="K471" s="29">
        <f>'По платам'!I473*$K$1</f>
        <v>0</v>
      </c>
      <c r="L471" s="29">
        <f>'По платам'!J473*$L$1</f>
        <v>0</v>
      </c>
      <c r="M471" s="29">
        <f>'По платам'!K473*$M$1</f>
        <v>0</v>
      </c>
      <c r="N471" s="29">
        <f>'По платам'!L473*'Состав прибора'!$B$16</f>
        <v>0</v>
      </c>
    </row>
    <row r="472" spans="1:14">
      <c r="A472" s="16" t="s">
        <v>48</v>
      </c>
      <c r="B472" s="30" t="s">
        <v>3083</v>
      </c>
      <c r="C472" s="18" t="s">
        <v>1884</v>
      </c>
      <c r="D472" s="25">
        <f t="shared" si="7"/>
        <v>0</v>
      </c>
      <c r="E472" s="29">
        <f>'По платам'!C474*$E$1</f>
        <v>0</v>
      </c>
      <c r="F472" s="29">
        <f>'По платам'!D474*$F$1</f>
        <v>0</v>
      </c>
      <c r="G472" s="29">
        <f>'По платам'!E474*$G$1</f>
        <v>0</v>
      </c>
      <c r="H472" s="29">
        <f>'По платам'!F474*$H$1</f>
        <v>0</v>
      </c>
      <c r="I472" s="29">
        <f>'По платам'!G474*$I$1</f>
        <v>0</v>
      </c>
      <c r="J472" s="29">
        <f>'По платам'!H474*$J$1</f>
        <v>0</v>
      </c>
      <c r="K472" s="29">
        <f>'По платам'!I474*$K$1</f>
        <v>0</v>
      </c>
      <c r="L472" s="29">
        <f>'По платам'!J474*$L$1</f>
        <v>0</v>
      </c>
      <c r="M472" s="29">
        <f>'По платам'!K474*$M$1</f>
        <v>0</v>
      </c>
      <c r="N472" s="29">
        <f>'По платам'!L474*'Состав прибора'!$B$16</f>
        <v>0</v>
      </c>
    </row>
    <row r="473" spans="1:14">
      <c r="A473" s="16" t="s">
        <v>48</v>
      </c>
      <c r="B473" s="30" t="s">
        <v>87</v>
      </c>
      <c r="C473" s="18" t="s">
        <v>2866</v>
      </c>
      <c r="D473" s="25">
        <f t="shared" si="7"/>
        <v>0</v>
      </c>
      <c r="E473" s="29">
        <f>'По платам'!C475*$E$1</f>
        <v>0</v>
      </c>
      <c r="F473" s="29">
        <f>'По платам'!D475*$F$1</f>
        <v>0</v>
      </c>
      <c r="G473" s="29">
        <f>'По платам'!E475*$G$1</f>
        <v>0</v>
      </c>
      <c r="H473" s="29">
        <f>'По платам'!F475*$H$1</f>
        <v>0</v>
      </c>
      <c r="I473" s="29">
        <f>'По платам'!G475*$I$1</f>
        <v>0</v>
      </c>
      <c r="J473" s="29">
        <f>'По платам'!H475*$J$1</f>
        <v>0</v>
      </c>
      <c r="K473" s="29">
        <f>'По платам'!I475*$K$1</f>
        <v>0</v>
      </c>
      <c r="L473" s="29">
        <f>'По платам'!J475*$L$1</f>
        <v>0</v>
      </c>
      <c r="M473" s="29">
        <f>'По платам'!K475*$M$1</f>
        <v>0</v>
      </c>
      <c r="N473" s="29">
        <f>'По платам'!L475*'Состав прибора'!$B$16</f>
        <v>0</v>
      </c>
    </row>
    <row r="474" spans="1:14">
      <c r="A474" s="16" t="s">
        <v>48</v>
      </c>
      <c r="B474" s="30" t="s">
        <v>3084</v>
      </c>
      <c r="C474" s="18" t="s">
        <v>1776</v>
      </c>
      <c r="D474" s="25">
        <f t="shared" si="7"/>
        <v>0</v>
      </c>
      <c r="E474" s="29">
        <f>'По платам'!C476*$E$1</f>
        <v>0</v>
      </c>
      <c r="F474" s="29">
        <f>'По платам'!D476*$F$1</f>
        <v>0</v>
      </c>
      <c r="G474" s="29">
        <f>'По платам'!E476*$G$1</f>
        <v>0</v>
      </c>
      <c r="H474" s="29">
        <f>'По платам'!F476*$H$1</f>
        <v>0</v>
      </c>
      <c r="I474" s="29">
        <f>'По платам'!G476*$I$1</f>
        <v>0</v>
      </c>
      <c r="J474" s="29">
        <f>'По платам'!H476*$J$1</f>
        <v>0</v>
      </c>
      <c r="K474" s="29">
        <f>'По платам'!I476*$K$1</f>
        <v>0</v>
      </c>
      <c r="L474" s="29">
        <f>'По платам'!J476*$L$1</f>
        <v>0</v>
      </c>
      <c r="M474" s="29">
        <f>'По платам'!K476*$M$1</f>
        <v>0</v>
      </c>
      <c r="N474" s="29">
        <f>'По платам'!L476*'Состав прибора'!$B$16</f>
        <v>0</v>
      </c>
    </row>
    <row r="475" spans="1:14">
      <c r="A475" s="16" t="s">
        <v>48</v>
      </c>
      <c r="B475" s="30" t="s">
        <v>1004</v>
      </c>
      <c r="C475" s="18" t="s">
        <v>1837</v>
      </c>
      <c r="D475" s="25">
        <f t="shared" si="7"/>
        <v>0</v>
      </c>
      <c r="E475" s="29">
        <f>'По платам'!C477*$E$1</f>
        <v>0</v>
      </c>
      <c r="F475" s="29">
        <f>'По платам'!D477*$F$1</f>
        <v>0</v>
      </c>
      <c r="G475" s="29">
        <f>'По платам'!E477*$G$1</f>
        <v>0</v>
      </c>
      <c r="H475" s="29">
        <f>'По платам'!F477*$H$1</f>
        <v>0</v>
      </c>
      <c r="I475" s="29">
        <f>'По платам'!G477*$I$1</f>
        <v>0</v>
      </c>
      <c r="J475" s="29">
        <f>'По платам'!H477*$J$1</f>
        <v>0</v>
      </c>
      <c r="K475" s="29">
        <f>'По платам'!I477*$K$1</f>
        <v>0</v>
      </c>
      <c r="L475" s="29">
        <f>'По платам'!J477*$L$1</f>
        <v>0</v>
      </c>
      <c r="M475" s="29">
        <f>'По платам'!K477*$M$1</f>
        <v>0</v>
      </c>
      <c r="N475" s="29">
        <f>'По платам'!L477*'Состав прибора'!$B$16</f>
        <v>0</v>
      </c>
    </row>
    <row r="476" spans="1:14">
      <c r="A476" s="16" t="s">
        <v>48</v>
      </c>
      <c r="B476" s="30" t="s">
        <v>3085</v>
      </c>
      <c r="C476" s="18" t="s">
        <v>1851</v>
      </c>
      <c r="D476" s="25">
        <f t="shared" si="7"/>
        <v>0</v>
      </c>
      <c r="E476" s="29">
        <f>'По платам'!C478*$E$1</f>
        <v>0</v>
      </c>
      <c r="F476" s="29">
        <f>'По платам'!D478*$F$1</f>
        <v>0</v>
      </c>
      <c r="G476" s="29">
        <f>'По платам'!E478*$G$1</f>
        <v>0</v>
      </c>
      <c r="H476" s="29">
        <f>'По платам'!F478*$H$1</f>
        <v>0</v>
      </c>
      <c r="I476" s="29">
        <f>'По платам'!G478*$I$1</f>
        <v>0</v>
      </c>
      <c r="J476" s="29">
        <f>'По платам'!H478*$J$1</f>
        <v>0</v>
      </c>
      <c r="K476" s="29">
        <f>'По платам'!I478*$K$1</f>
        <v>0</v>
      </c>
      <c r="L476" s="29">
        <f>'По платам'!J478*$L$1</f>
        <v>0</v>
      </c>
      <c r="M476" s="29">
        <f>'По платам'!K478*$M$1</f>
        <v>0</v>
      </c>
      <c r="N476" s="29">
        <f>'По платам'!L478*'Состав прибора'!$B$16</f>
        <v>0</v>
      </c>
    </row>
    <row r="477" spans="1:14">
      <c r="A477" s="16" t="s">
        <v>48</v>
      </c>
      <c r="B477" s="30" t="s">
        <v>3061</v>
      </c>
      <c r="C477" s="18" t="s">
        <v>972</v>
      </c>
      <c r="D477" s="25">
        <f t="shared" si="7"/>
        <v>1</v>
      </c>
      <c r="E477" s="29">
        <f>'По платам'!C479*$E$1</f>
        <v>0</v>
      </c>
      <c r="F477" s="29">
        <f>'По платам'!D479*$F$1</f>
        <v>0</v>
      </c>
      <c r="G477" s="29">
        <f>'По платам'!E479*$G$1</f>
        <v>0</v>
      </c>
      <c r="H477" s="29">
        <f>'По платам'!F479*$H$1</f>
        <v>0</v>
      </c>
      <c r="I477" s="29">
        <f>'По платам'!G479*$I$1</f>
        <v>0</v>
      </c>
      <c r="J477" s="29">
        <f>'По платам'!H479*$J$1</f>
        <v>0</v>
      </c>
      <c r="K477" s="29">
        <f>'По платам'!I479*$K$1</f>
        <v>1</v>
      </c>
      <c r="L477" s="29">
        <f>'По платам'!J479*$L$1</f>
        <v>0</v>
      </c>
      <c r="M477" s="29">
        <f>'По платам'!K479*$M$1</f>
        <v>0</v>
      </c>
      <c r="N477" s="29">
        <f>'По платам'!L479*'Состав прибора'!$B$16</f>
        <v>0</v>
      </c>
    </row>
    <row r="478" spans="1:14">
      <c r="A478" s="16" t="s">
        <v>48</v>
      </c>
      <c r="B478" s="30" t="s">
        <v>1157</v>
      </c>
      <c r="C478" s="18" t="s">
        <v>2865</v>
      </c>
      <c r="D478" s="25">
        <f t="shared" si="7"/>
        <v>0</v>
      </c>
      <c r="E478" s="29">
        <f>'По платам'!C480*$E$1</f>
        <v>0</v>
      </c>
      <c r="F478" s="29">
        <f>'По платам'!D480*$F$1</f>
        <v>0</v>
      </c>
      <c r="G478" s="29">
        <f>'По платам'!E480*$G$1</f>
        <v>0</v>
      </c>
      <c r="H478" s="29">
        <f>'По платам'!F480*$H$1</f>
        <v>0</v>
      </c>
      <c r="I478" s="29">
        <f>'По платам'!G480*$I$1</f>
        <v>0</v>
      </c>
      <c r="J478" s="29">
        <f>'По платам'!H480*$J$1</f>
        <v>0</v>
      </c>
      <c r="K478" s="29">
        <f>'По платам'!I480*$K$1</f>
        <v>0</v>
      </c>
      <c r="L478" s="29">
        <f>'По платам'!J480*$L$1</f>
        <v>0</v>
      </c>
      <c r="M478" s="29">
        <f>'По платам'!K480*$M$1</f>
        <v>0</v>
      </c>
      <c r="N478" s="29">
        <f>'По платам'!L480*'Состав прибора'!$B$16</f>
        <v>0</v>
      </c>
    </row>
    <row r="479" spans="1:14">
      <c r="A479" s="16" t="s">
        <v>48</v>
      </c>
      <c r="B479" s="30" t="s">
        <v>3086</v>
      </c>
      <c r="C479" s="18" t="s">
        <v>1868</v>
      </c>
      <c r="D479" s="25">
        <f t="shared" si="7"/>
        <v>0</v>
      </c>
      <c r="E479" s="29">
        <f>'По платам'!C481*$E$1</f>
        <v>0</v>
      </c>
      <c r="F479" s="29">
        <f>'По платам'!D481*$F$1</f>
        <v>0</v>
      </c>
      <c r="G479" s="29">
        <f>'По платам'!E481*$G$1</f>
        <v>0</v>
      </c>
      <c r="H479" s="29">
        <f>'По платам'!F481*$H$1</f>
        <v>0</v>
      </c>
      <c r="I479" s="29">
        <f>'По платам'!G481*$I$1</f>
        <v>0</v>
      </c>
      <c r="J479" s="29">
        <f>'По платам'!H481*$J$1</f>
        <v>0</v>
      </c>
      <c r="K479" s="29">
        <f>'По платам'!I481*$K$1</f>
        <v>0</v>
      </c>
      <c r="L479" s="29">
        <f>'По платам'!J481*$L$1</f>
        <v>0</v>
      </c>
      <c r="M479" s="29">
        <f>'По платам'!K481*$M$1</f>
        <v>0</v>
      </c>
      <c r="N479" s="29">
        <f>'По платам'!L481*'Состав прибора'!$B$16</f>
        <v>0</v>
      </c>
    </row>
    <row r="480" spans="1:14">
      <c r="A480" s="16" t="s">
        <v>48</v>
      </c>
      <c r="B480" s="30" t="s">
        <v>2969</v>
      </c>
      <c r="C480" s="18" t="s">
        <v>868</v>
      </c>
      <c r="D480" s="25">
        <f t="shared" si="7"/>
        <v>1</v>
      </c>
      <c r="E480" s="29">
        <f>'По платам'!C482*$E$1</f>
        <v>0</v>
      </c>
      <c r="F480" s="29">
        <f>'По платам'!D482*$F$1</f>
        <v>0</v>
      </c>
      <c r="G480" s="29">
        <f>'По платам'!E482*$G$1</f>
        <v>0</v>
      </c>
      <c r="H480" s="29">
        <f>'По платам'!F482*$H$1</f>
        <v>0</v>
      </c>
      <c r="I480" s="29">
        <f>'По платам'!G482*$I$1</f>
        <v>0</v>
      </c>
      <c r="J480" s="29">
        <f>'По платам'!H482*$J$1</f>
        <v>0</v>
      </c>
      <c r="K480" s="29">
        <f>'По платам'!I482*$K$1</f>
        <v>1</v>
      </c>
      <c r="L480" s="29">
        <f>'По платам'!J482*$L$1</f>
        <v>0</v>
      </c>
      <c r="M480" s="29">
        <f>'По платам'!K482*$M$1</f>
        <v>0</v>
      </c>
      <c r="N480" s="29">
        <f>'По платам'!L482*'Состав прибора'!$B$16</f>
        <v>0</v>
      </c>
    </row>
    <row r="481" spans="1:14">
      <c r="A481" s="16" t="s">
        <v>48</v>
      </c>
      <c r="B481" s="30" t="s">
        <v>3063</v>
      </c>
      <c r="C481" s="18" t="s">
        <v>980</v>
      </c>
      <c r="D481" s="25">
        <f t="shared" si="7"/>
        <v>1</v>
      </c>
      <c r="E481" s="29">
        <f>'По платам'!C483*$E$1</f>
        <v>0</v>
      </c>
      <c r="F481" s="29">
        <f>'По платам'!D483*$F$1</f>
        <v>0</v>
      </c>
      <c r="G481" s="29">
        <f>'По платам'!E483*$G$1</f>
        <v>0</v>
      </c>
      <c r="H481" s="29">
        <f>'По платам'!F483*$H$1</f>
        <v>0</v>
      </c>
      <c r="I481" s="29">
        <f>'По платам'!G483*$I$1</f>
        <v>0</v>
      </c>
      <c r="J481" s="29">
        <f>'По платам'!H483*$J$1</f>
        <v>0</v>
      </c>
      <c r="K481" s="29">
        <f>'По платам'!I483*$K$1</f>
        <v>1</v>
      </c>
      <c r="L481" s="29">
        <f>'По платам'!J483*$L$1</f>
        <v>0</v>
      </c>
      <c r="M481" s="29">
        <f>'По платам'!K483*$M$1</f>
        <v>0</v>
      </c>
      <c r="N481" s="29">
        <f>'По платам'!L483*'Состав прибора'!$B$16</f>
        <v>0</v>
      </c>
    </row>
    <row r="482" spans="1:14">
      <c r="A482" s="16" t="s">
        <v>48</v>
      </c>
      <c r="B482" s="30" t="s">
        <v>3087</v>
      </c>
      <c r="C482" s="18" t="s">
        <v>1790</v>
      </c>
      <c r="D482" s="25">
        <f t="shared" si="7"/>
        <v>0</v>
      </c>
      <c r="E482" s="29">
        <f>'По платам'!C484*$E$1</f>
        <v>0</v>
      </c>
      <c r="F482" s="29">
        <f>'По платам'!D484*$F$1</f>
        <v>0</v>
      </c>
      <c r="G482" s="29">
        <f>'По платам'!E484*$G$1</f>
        <v>0</v>
      </c>
      <c r="H482" s="29">
        <f>'По платам'!F484*$H$1</f>
        <v>0</v>
      </c>
      <c r="I482" s="29">
        <f>'По платам'!G484*$I$1</f>
        <v>0</v>
      </c>
      <c r="J482" s="29">
        <f>'По платам'!H484*$J$1</f>
        <v>0</v>
      </c>
      <c r="K482" s="29">
        <f>'По платам'!I484*$K$1</f>
        <v>0</v>
      </c>
      <c r="L482" s="29">
        <f>'По платам'!J484*$L$1</f>
        <v>0</v>
      </c>
      <c r="M482" s="29">
        <f>'По платам'!K484*$M$1</f>
        <v>0</v>
      </c>
      <c r="N482" s="29">
        <f>'По платам'!L484*'Состав прибора'!$B$16</f>
        <v>0</v>
      </c>
    </row>
    <row r="483" spans="1:14">
      <c r="A483" s="16" t="s">
        <v>48</v>
      </c>
      <c r="B483" s="30" t="s">
        <v>3066</v>
      </c>
      <c r="C483" s="18" t="s">
        <v>996</v>
      </c>
      <c r="D483" s="25">
        <f t="shared" si="7"/>
        <v>1</v>
      </c>
      <c r="E483" s="29">
        <f>'По платам'!C485*$E$1</f>
        <v>0</v>
      </c>
      <c r="F483" s="29">
        <f>'По платам'!D485*$F$1</f>
        <v>0</v>
      </c>
      <c r="G483" s="29">
        <f>'По платам'!E485*$G$1</f>
        <v>0</v>
      </c>
      <c r="H483" s="29">
        <f>'По платам'!F485*$H$1</f>
        <v>0</v>
      </c>
      <c r="I483" s="29">
        <f>'По платам'!G485*$I$1</f>
        <v>0</v>
      </c>
      <c r="J483" s="29">
        <f>'По платам'!H485*$J$1</f>
        <v>0</v>
      </c>
      <c r="K483" s="29">
        <f>'По платам'!I485*$K$1</f>
        <v>1</v>
      </c>
      <c r="L483" s="29">
        <f>'По платам'!J485*$L$1</f>
        <v>0</v>
      </c>
      <c r="M483" s="29">
        <f>'По платам'!K485*$M$1</f>
        <v>0</v>
      </c>
      <c r="N483" s="29">
        <f>'По платам'!L485*'Состав прибора'!$B$16</f>
        <v>0</v>
      </c>
    </row>
    <row r="484" spans="1:14">
      <c r="A484" s="16" t="s">
        <v>48</v>
      </c>
      <c r="B484" s="30" t="s">
        <v>3088</v>
      </c>
      <c r="C484" s="18" t="s">
        <v>1752</v>
      </c>
      <c r="D484" s="25">
        <f t="shared" si="7"/>
        <v>0</v>
      </c>
      <c r="E484" s="29">
        <f>'По платам'!C486*$E$1</f>
        <v>0</v>
      </c>
      <c r="F484" s="29">
        <f>'По платам'!D486*$F$1</f>
        <v>0</v>
      </c>
      <c r="G484" s="29">
        <f>'По платам'!E486*$G$1</f>
        <v>0</v>
      </c>
      <c r="H484" s="29">
        <f>'По платам'!F486*$H$1</f>
        <v>0</v>
      </c>
      <c r="I484" s="29">
        <f>'По платам'!G486*$I$1</f>
        <v>0</v>
      </c>
      <c r="J484" s="29">
        <f>'По платам'!H486*$J$1</f>
        <v>0</v>
      </c>
      <c r="K484" s="29">
        <f>'По платам'!I486*$K$1</f>
        <v>0</v>
      </c>
      <c r="L484" s="29">
        <f>'По платам'!J486*$L$1</f>
        <v>0</v>
      </c>
      <c r="M484" s="29">
        <f>'По платам'!K486*$M$1</f>
        <v>0</v>
      </c>
      <c r="N484" s="29">
        <f>'По платам'!L486*'Состав прибора'!$B$16</f>
        <v>0</v>
      </c>
    </row>
    <row r="485" spans="1:14">
      <c r="A485" s="16" t="s">
        <v>48</v>
      </c>
      <c r="B485" s="30" t="s">
        <v>90</v>
      </c>
      <c r="C485" s="18" t="s">
        <v>1813</v>
      </c>
      <c r="D485" s="25">
        <f t="shared" si="7"/>
        <v>0</v>
      </c>
      <c r="E485" s="29">
        <f>'По платам'!C487*$E$1</f>
        <v>0</v>
      </c>
      <c r="F485" s="29">
        <f>'По платам'!D487*$F$1</f>
        <v>0</v>
      </c>
      <c r="G485" s="29">
        <f>'По платам'!E487*$G$1</f>
        <v>0</v>
      </c>
      <c r="H485" s="29">
        <f>'По платам'!F487*$H$1</f>
        <v>0</v>
      </c>
      <c r="I485" s="29">
        <f>'По платам'!G487*$I$1</f>
        <v>0</v>
      </c>
      <c r="J485" s="29">
        <f>'По платам'!H487*$J$1</f>
        <v>0</v>
      </c>
      <c r="K485" s="29">
        <f>'По платам'!I487*$K$1</f>
        <v>0</v>
      </c>
      <c r="L485" s="29">
        <f>'По платам'!J487*$L$1</f>
        <v>0</v>
      </c>
      <c r="M485" s="29">
        <f>'По платам'!K487*$M$1</f>
        <v>0</v>
      </c>
      <c r="N485" s="29">
        <f>'По платам'!L487*'Состав прибора'!$B$16</f>
        <v>0</v>
      </c>
    </row>
    <row r="486" spans="1:14">
      <c r="A486" s="16" t="s">
        <v>48</v>
      </c>
      <c r="B486" s="30" t="s">
        <v>1374</v>
      </c>
      <c r="C486" s="18" t="s">
        <v>1740</v>
      </c>
      <c r="D486" s="25">
        <f t="shared" si="7"/>
        <v>0</v>
      </c>
      <c r="E486" s="29">
        <f>'По платам'!C488*$E$1</f>
        <v>0</v>
      </c>
      <c r="F486" s="29">
        <f>'По платам'!D488*$F$1</f>
        <v>0</v>
      </c>
      <c r="G486" s="29">
        <f>'По платам'!E488*$G$1</f>
        <v>0</v>
      </c>
      <c r="H486" s="29">
        <f>'По платам'!F488*$H$1</f>
        <v>0</v>
      </c>
      <c r="I486" s="29">
        <f>'По платам'!G488*$I$1</f>
        <v>0</v>
      </c>
      <c r="J486" s="29">
        <f>'По платам'!H488*$J$1</f>
        <v>0</v>
      </c>
      <c r="K486" s="29">
        <f>'По платам'!I488*$K$1</f>
        <v>0</v>
      </c>
      <c r="L486" s="29">
        <f>'По платам'!J488*$L$1</f>
        <v>0</v>
      </c>
      <c r="M486" s="29">
        <f>'По платам'!K488*$M$1</f>
        <v>0</v>
      </c>
      <c r="N486" s="29">
        <f>'По платам'!L488*'Состав прибора'!$B$16</f>
        <v>0</v>
      </c>
    </row>
    <row r="487" spans="1:14">
      <c r="A487" s="16" t="s">
        <v>48</v>
      </c>
      <c r="B487" s="30" t="s">
        <v>919</v>
      </c>
      <c r="C487" s="18" t="s">
        <v>1759</v>
      </c>
      <c r="D487" s="25">
        <f t="shared" si="7"/>
        <v>0</v>
      </c>
      <c r="E487" s="29">
        <f>'По платам'!C489*$E$1</f>
        <v>0</v>
      </c>
      <c r="F487" s="29">
        <f>'По платам'!D489*$F$1</f>
        <v>0</v>
      </c>
      <c r="G487" s="29">
        <f>'По платам'!E489*$G$1</f>
        <v>0</v>
      </c>
      <c r="H487" s="29">
        <f>'По платам'!F489*$H$1</f>
        <v>0</v>
      </c>
      <c r="I487" s="29">
        <f>'По платам'!G489*$I$1</f>
        <v>0</v>
      </c>
      <c r="J487" s="29">
        <f>'По платам'!H489*$J$1</f>
        <v>0</v>
      </c>
      <c r="K487" s="29">
        <f>'По платам'!I489*$K$1</f>
        <v>0</v>
      </c>
      <c r="L487" s="29">
        <f>'По платам'!J489*$L$1</f>
        <v>0</v>
      </c>
      <c r="M487" s="29">
        <f>'По платам'!K489*$M$1</f>
        <v>0</v>
      </c>
      <c r="N487" s="29">
        <f>'По платам'!L489*'Состав прибора'!$B$16</f>
        <v>0</v>
      </c>
    </row>
    <row r="488" spans="1:14">
      <c r="A488" s="16" t="s">
        <v>48</v>
      </c>
      <c r="B488" s="30" t="s">
        <v>3064</v>
      </c>
      <c r="C488" s="18" t="s">
        <v>988</v>
      </c>
      <c r="D488" s="25">
        <f t="shared" si="7"/>
        <v>1</v>
      </c>
      <c r="E488" s="29">
        <f>'По платам'!C490*$E$1</f>
        <v>0</v>
      </c>
      <c r="F488" s="29">
        <f>'По платам'!D490*$F$1</f>
        <v>0</v>
      </c>
      <c r="G488" s="29">
        <f>'По платам'!E490*$G$1</f>
        <v>0</v>
      </c>
      <c r="H488" s="29">
        <f>'По платам'!F490*$H$1</f>
        <v>0</v>
      </c>
      <c r="I488" s="29">
        <f>'По платам'!G490*$I$1</f>
        <v>0</v>
      </c>
      <c r="J488" s="29">
        <f>'По платам'!H490*$J$1</f>
        <v>0</v>
      </c>
      <c r="K488" s="29">
        <f>'По платам'!I490*$K$1</f>
        <v>1</v>
      </c>
      <c r="L488" s="29">
        <f>'По платам'!J490*$L$1</f>
        <v>0</v>
      </c>
      <c r="M488" s="29">
        <f>'По платам'!K490*$M$1</f>
        <v>0</v>
      </c>
      <c r="N488" s="29">
        <f>'По платам'!L490*'Состав прибора'!$B$16</f>
        <v>0</v>
      </c>
    </row>
    <row r="489" spans="1:14">
      <c r="A489" s="16" t="s">
        <v>48</v>
      </c>
      <c r="B489" s="30" t="s">
        <v>3089</v>
      </c>
      <c r="C489" s="18" t="s">
        <v>1888</v>
      </c>
      <c r="D489" s="25">
        <f t="shared" si="7"/>
        <v>0</v>
      </c>
      <c r="E489" s="29">
        <f>'По платам'!C491*$E$1</f>
        <v>0</v>
      </c>
      <c r="F489" s="29">
        <f>'По платам'!D491*$F$1</f>
        <v>0</v>
      </c>
      <c r="G489" s="29">
        <f>'По платам'!E491*$G$1</f>
        <v>0</v>
      </c>
      <c r="H489" s="29">
        <f>'По платам'!F491*$H$1</f>
        <v>0</v>
      </c>
      <c r="I489" s="29">
        <f>'По платам'!G491*$I$1</f>
        <v>0</v>
      </c>
      <c r="J489" s="29">
        <f>'По платам'!H491*$J$1</f>
        <v>0</v>
      </c>
      <c r="K489" s="29">
        <f>'По платам'!I491*$K$1</f>
        <v>0</v>
      </c>
      <c r="L489" s="29">
        <f>'По платам'!J491*$L$1</f>
        <v>0</v>
      </c>
      <c r="M489" s="29">
        <f>'По платам'!K491*$M$1</f>
        <v>0</v>
      </c>
      <c r="N489" s="29">
        <f>'По платам'!L491*'Состав прибора'!$B$16</f>
        <v>0</v>
      </c>
    </row>
    <row r="490" spans="1:14">
      <c r="A490" s="16" t="s">
        <v>48</v>
      </c>
      <c r="B490" s="30" t="s">
        <v>3090</v>
      </c>
      <c r="C490" s="18" t="s">
        <v>1880</v>
      </c>
      <c r="D490" s="25">
        <f t="shared" si="7"/>
        <v>0</v>
      </c>
      <c r="E490" s="29">
        <f>'По платам'!C492*$E$1</f>
        <v>0</v>
      </c>
      <c r="F490" s="29">
        <f>'По платам'!D492*$F$1</f>
        <v>0</v>
      </c>
      <c r="G490" s="29">
        <f>'По платам'!E492*$G$1</f>
        <v>0</v>
      </c>
      <c r="H490" s="29">
        <f>'По платам'!F492*$H$1</f>
        <v>0</v>
      </c>
      <c r="I490" s="29">
        <f>'По платам'!G492*$I$1</f>
        <v>0</v>
      </c>
      <c r="J490" s="29">
        <f>'По платам'!H492*$J$1</f>
        <v>0</v>
      </c>
      <c r="K490" s="29">
        <f>'По платам'!I492*$K$1</f>
        <v>0</v>
      </c>
      <c r="L490" s="29">
        <f>'По платам'!J492*$L$1</f>
        <v>0</v>
      </c>
      <c r="M490" s="29">
        <f>'По платам'!K492*$M$1</f>
        <v>0</v>
      </c>
      <c r="N490" s="29">
        <f>'По платам'!L492*'Состав прибора'!$B$16</f>
        <v>0</v>
      </c>
    </row>
    <row r="491" spans="1:14">
      <c r="A491" s="16" t="s">
        <v>48</v>
      </c>
      <c r="B491" s="30" t="s">
        <v>3091</v>
      </c>
      <c r="C491" s="18" t="s">
        <v>1896</v>
      </c>
      <c r="D491" s="25">
        <f t="shared" si="7"/>
        <v>0</v>
      </c>
      <c r="E491" s="29">
        <f>'По платам'!C493*$E$1</f>
        <v>0</v>
      </c>
      <c r="F491" s="29">
        <f>'По платам'!D493*$F$1</f>
        <v>0</v>
      </c>
      <c r="G491" s="29">
        <f>'По платам'!E493*$G$1</f>
        <v>0</v>
      </c>
      <c r="H491" s="29">
        <f>'По платам'!F493*$H$1</f>
        <v>0</v>
      </c>
      <c r="I491" s="29">
        <f>'По платам'!G493*$I$1</f>
        <v>0</v>
      </c>
      <c r="J491" s="29">
        <f>'По платам'!H493*$J$1</f>
        <v>0</v>
      </c>
      <c r="K491" s="29">
        <f>'По платам'!I493*$K$1</f>
        <v>0</v>
      </c>
      <c r="L491" s="29">
        <f>'По платам'!J493*$L$1</f>
        <v>0</v>
      </c>
      <c r="M491" s="29">
        <f>'По платам'!K493*$M$1</f>
        <v>0</v>
      </c>
      <c r="N491" s="29">
        <f>'По платам'!L493*'Состав прибора'!$B$16</f>
        <v>0</v>
      </c>
    </row>
    <row r="492" spans="1:14">
      <c r="A492" s="16" t="s">
        <v>48</v>
      </c>
      <c r="B492" s="30" t="s">
        <v>3062</v>
      </c>
      <c r="C492" s="18" t="s">
        <v>976</v>
      </c>
      <c r="D492" s="25">
        <f t="shared" si="7"/>
        <v>1</v>
      </c>
      <c r="E492" s="29">
        <f>'По платам'!C494*$E$1</f>
        <v>0</v>
      </c>
      <c r="F492" s="29">
        <f>'По платам'!D494*$F$1</f>
        <v>0</v>
      </c>
      <c r="G492" s="29">
        <f>'По платам'!E494*$G$1</f>
        <v>0</v>
      </c>
      <c r="H492" s="29">
        <f>'По платам'!F494*$H$1</f>
        <v>0</v>
      </c>
      <c r="I492" s="29">
        <f>'По платам'!G494*$I$1</f>
        <v>0</v>
      </c>
      <c r="J492" s="29">
        <f>'По платам'!H494*$J$1</f>
        <v>0</v>
      </c>
      <c r="K492" s="29">
        <f>'По платам'!I494*$K$1</f>
        <v>1</v>
      </c>
      <c r="L492" s="29">
        <f>'По платам'!J494*$L$1</f>
        <v>0</v>
      </c>
      <c r="M492" s="29">
        <f>'По платам'!K494*$M$1</f>
        <v>0</v>
      </c>
      <c r="N492" s="29">
        <f>'По платам'!L494*'Состав прибора'!$B$16</f>
        <v>0</v>
      </c>
    </row>
    <row r="493" spans="1:14">
      <c r="A493" s="16" t="s">
        <v>48</v>
      </c>
      <c r="B493" s="30" t="s">
        <v>3092</v>
      </c>
      <c r="C493" s="18" t="s">
        <v>1782</v>
      </c>
      <c r="D493" s="25">
        <f t="shared" si="7"/>
        <v>0</v>
      </c>
      <c r="E493" s="29">
        <f>'По платам'!C495*$E$1</f>
        <v>0</v>
      </c>
      <c r="F493" s="29">
        <f>'По платам'!D495*$F$1</f>
        <v>0</v>
      </c>
      <c r="G493" s="29">
        <f>'По платам'!E495*$G$1</f>
        <v>0</v>
      </c>
      <c r="H493" s="29">
        <f>'По платам'!F495*$H$1</f>
        <v>0</v>
      </c>
      <c r="I493" s="29">
        <f>'По платам'!G495*$I$1</f>
        <v>0</v>
      </c>
      <c r="J493" s="29">
        <f>'По платам'!H495*$J$1</f>
        <v>0</v>
      </c>
      <c r="K493" s="29">
        <f>'По платам'!I495*$K$1</f>
        <v>0</v>
      </c>
      <c r="L493" s="29">
        <f>'По платам'!J495*$L$1</f>
        <v>0</v>
      </c>
      <c r="M493" s="29">
        <f>'По платам'!K495*$M$1</f>
        <v>0</v>
      </c>
      <c r="N493" s="29">
        <f>'По платам'!L495*'Состав прибора'!$B$16</f>
        <v>0</v>
      </c>
    </row>
    <row r="494" spans="1:14">
      <c r="A494" s="16" t="s">
        <v>48</v>
      </c>
      <c r="B494" s="30" t="s">
        <v>212</v>
      </c>
      <c r="C494" s="18" t="s">
        <v>95</v>
      </c>
      <c r="D494" s="25">
        <f t="shared" si="7"/>
        <v>5</v>
      </c>
      <c r="E494" s="29">
        <f>'По платам'!C496*$E$1</f>
        <v>0</v>
      </c>
      <c r="F494" s="29">
        <f>'По платам'!D496*$F$1</f>
        <v>0</v>
      </c>
      <c r="G494" s="29">
        <f>'По платам'!E496*$G$1</f>
        <v>0</v>
      </c>
      <c r="H494" s="29">
        <f>'По платам'!F496*$H$1</f>
        <v>0</v>
      </c>
      <c r="I494" s="29">
        <f>'По платам'!G496*$I$1</f>
        <v>0</v>
      </c>
      <c r="J494" s="29">
        <f>'По платам'!H496*$J$1</f>
        <v>0</v>
      </c>
      <c r="K494" s="29">
        <f>'По платам'!I496*$K$1</f>
        <v>5</v>
      </c>
      <c r="L494" s="29">
        <f>'По платам'!J496*$L$1</f>
        <v>0</v>
      </c>
      <c r="M494" s="29">
        <f>'По платам'!K496*$M$1</f>
        <v>0</v>
      </c>
      <c r="N494" s="29">
        <f>'По платам'!L496*'Состав прибора'!$B$16</f>
        <v>0</v>
      </c>
    </row>
    <row r="495" spans="1:14">
      <c r="A495" s="16" t="s">
        <v>48</v>
      </c>
      <c r="B495" s="30" t="s">
        <v>950</v>
      </c>
      <c r="C495" s="18" t="s">
        <v>1806</v>
      </c>
      <c r="D495" s="25">
        <f t="shared" si="7"/>
        <v>0</v>
      </c>
      <c r="E495" s="29">
        <f>'По платам'!C497*$E$1</f>
        <v>0</v>
      </c>
      <c r="F495" s="29">
        <f>'По платам'!D497*$F$1</f>
        <v>0</v>
      </c>
      <c r="G495" s="29">
        <f>'По платам'!E497*$G$1</f>
        <v>0</v>
      </c>
      <c r="H495" s="29">
        <f>'По платам'!F497*$H$1</f>
        <v>0</v>
      </c>
      <c r="I495" s="29">
        <f>'По платам'!G497*$I$1</f>
        <v>0</v>
      </c>
      <c r="J495" s="29">
        <f>'По платам'!H497*$J$1</f>
        <v>0</v>
      </c>
      <c r="K495" s="29">
        <f>'По платам'!I497*$K$1</f>
        <v>0</v>
      </c>
      <c r="L495" s="29">
        <f>'По платам'!J497*$L$1</f>
        <v>0</v>
      </c>
      <c r="M495" s="29">
        <f>'По платам'!K497*$M$1</f>
        <v>0</v>
      </c>
      <c r="N495" s="29">
        <f>'По платам'!L497*'Состав прибора'!$B$16</f>
        <v>0</v>
      </c>
    </row>
    <row r="496" spans="1:14">
      <c r="A496" s="16" t="s">
        <v>48</v>
      </c>
      <c r="B496" s="30" t="s">
        <v>3065</v>
      </c>
      <c r="C496" s="18" t="s">
        <v>992</v>
      </c>
      <c r="D496" s="25">
        <f t="shared" si="7"/>
        <v>1</v>
      </c>
      <c r="E496" s="29">
        <f>'По платам'!C498*$E$1</f>
        <v>0</v>
      </c>
      <c r="F496" s="29">
        <f>'По платам'!D498*$F$1</f>
        <v>0</v>
      </c>
      <c r="G496" s="29">
        <f>'По платам'!E498*$G$1</f>
        <v>0</v>
      </c>
      <c r="H496" s="29">
        <f>'По платам'!F498*$H$1</f>
        <v>0</v>
      </c>
      <c r="I496" s="29">
        <f>'По платам'!G498*$I$1</f>
        <v>0</v>
      </c>
      <c r="J496" s="29">
        <f>'По платам'!H498*$J$1</f>
        <v>0</v>
      </c>
      <c r="K496" s="29">
        <f>'По платам'!I498*$K$1</f>
        <v>1</v>
      </c>
      <c r="L496" s="29">
        <f>'По платам'!J498*$L$1</f>
        <v>0</v>
      </c>
      <c r="M496" s="29">
        <f>'По платам'!K498*$M$1</f>
        <v>0</v>
      </c>
      <c r="N496" s="29">
        <f>'По платам'!L498*'Состав прибора'!$B$16</f>
        <v>0</v>
      </c>
    </row>
    <row r="497" spans="1:14">
      <c r="A497" s="16" t="s">
        <v>48</v>
      </c>
      <c r="B497" s="30" t="s">
        <v>3093</v>
      </c>
      <c r="C497" s="18" t="s">
        <v>1842</v>
      </c>
      <c r="D497" s="25">
        <f t="shared" si="7"/>
        <v>0</v>
      </c>
      <c r="E497" s="29">
        <f>'По платам'!C499*$E$1</f>
        <v>0</v>
      </c>
      <c r="F497" s="29">
        <f>'По платам'!D499*$F$1</f>
        <v>0</v>
      </c>
      <c r="G497" s="29">
        <f>'По платам'!E499*$G$1</f>
        <v>0</v>
      </c>
      <c r="H497" s="29">
        <f>'По платам'!F499*$H$1</f>
        <v>0</v>
      </c>
      <c r="I497" s="29">
        <f>'По платам'!G499*$I$1</f>
        <v>0</v>
      </c>
      <c r="J497" s="29">
        <f>'По платам'!H499*$J$1</f>
        <v>0</v>
      </c>
      <c r="K497" s="29">
        <f>'По платам'!I499*$K$1</f>
        <v>0</v>
      </c>
      <c r="L497" s="29">
        <f>'По платам'!J499*$L$1</f>
        <v>0</v>
      </c>
      <c r="M497" s="29">
        <f>'По платам'!K499*$M$1</f>
        <v>0</v>
      </c>
      <c r="N497" s="29">
        <f>'По платам'!L499*'Состав прибора'!$B$16</f>
        <v>0</v>
      </c>
    </row>
    <row r="498" spans="1:14">
      <c r="A498" s="16" t="s">
        <v>48</v>
      </c>
      <c r="B498" s="30" t="s">
        <v>3094</v>
      </c>
      <c r="C498" s="18" t="s">
        <v>1847</v>
      </c>
      <c r="D498" s="25">
        <f t="shared" si="7"/>
        <v>0</v>
      </c>
      <c r="E498" s="29">
        <f>'По платам'!C500*$E$1</f>
        <v>0</v>
      </c>
      <c r="F498" s="29">
        <f>'По платам'!D500*$F$1</f>
        <v>0</v>
      </c>
      <c r="G498" s="29">
        <f>'По платам'!E500*$G$1</f>
        <v>0</v>
      </c>
      <c r="H498" s="29">
        <f>'По платам'!F500*$H$1</f>
        <v>0</v>
      </c>
      <c r="I498" s="29">
        <f>'По платам'!G500*$I$1</f>
        <v>0</v>
      </c>
      <c r="J498" s="29">
        <f>'По платам'!H500*$J$1</f>
        <v>0</v>
      </c>
      <c r="K498" s="29">
        <f>'По платам'!I500*$K$1</f>
        <v>0</v>
      </c>
      <c r="L498" s="29">
        <f>'По платам'!J500*$L$1</f>
        <v>0</v>
      </c>
      <c r="M498" s="29">
        <f>'По платам'!K500*$M$1</f>
        <v>0</v>
      </c>
      <c r="N498" s="29">
        <f>'По платам'!L500*'Состав прибора'!$B$16</f>
        <v>0</v>
      </c>
    </row>
    <row r="499" spans="1:14">
      <c r="A499" s="16" t="s">
        <v>48</v>
      </c>
      <c r="B499" s="30" t="s">
        <v>3067</v>
      </c>
      <c r="C499" s="18" t="s">
        <v>1000</v>
      </c>
      <c r="D499" s="25">
        <f t="shared" si="7"/>
        <v>1</v>
      </c>
      <c r="E499" s="29">
        <f>'По платам'!C501*$E$1</f>
        <v>0</v>
      </c>
      <c r="F499" s="29">
        <f>'По платам'!D501*$F$1</f>
        <v>0</v>
      </c>
      <c r="G499" s="29">
        <f>'По платам'!E501*$G$1</f>
        <v>0</v>
      </c>
      <c r="H499" s="29">
        <f>'По платам'!F501*$H$1</f>
        <v>0</v>
      </c>
      <c r="I499" s="29">
        <f>'По платам'!G501*$I$1</f>
        <v>0</v>
      </c>
      <c r="J499" s="29">
        <f>'По платам'!H501*$J$1</f>
        <v>0</v>
      </c>
      <c r="K499" s="29">
        <f>'По платам'!I501*$K$1</f>
        <v>1</v>
      </c>
      <c r="L499" s="29">
        <f>'По платам'!J501*$L$1</f>
        <v>0</v>
      </c>
      <c r="M499" s="29">
        <f>'По платам'!K501*$M$1</f>
        <v>0</v>
      </c>
      <c r="N499" s="29">
        <f>'По платам'!L501*'Состав прибора'!$B$16</f>
        <v>0</v>
      </c>
    </row>
    <row r="500" spans="1:14">
      <c r="A500" s="16" t="s">
        <v>48</v>
      </c>
      <c r="B500" s="30" t="s">
        <v>3095</v>
      </c>
      <c r="C500" s="18" t="s">
        <v>1766</v>
      </c>
      <c r="D500" s="25">
        <f t="shared" si="7"/>
        <v>0</v>
      </c>
      <c r="E500" s="29">
        <f>'По платам'!C502*$E$1</f>
        <v>0</v>
      </c>
      <c r="F500" s="29">
        <f>'По платам'!D502*$F$1</f>
        <v>0</v>
      </c>
      <c r="G500" s="29">
        <f>'По платам'!E502*$G$1</f>
        <v>0</v>
      </c>
      <c r="H500" s="29">
        <f>'По платам'!F502*$H$1</f>
        <v>0</v>
      </c>
      <c r="I500" s="29">
        <f>'По платам'!G502*$I$1</f>
        <v>0</v>
      </c>
      <c r="J500" s="29">
        <f>'По платам'!H502*$J$1</f>
        <v>0</v>
      </c>
      <c r="K500" s="29">
        <f>'По платам'!I502*$K$1</f>
        <v>0</v>
      </c>
      <c r="L500" s="29">
        <f>'По платам'!J502*$L$1</f>
        <v>0</v>
      </c>
      <c r="M500" s="29">
        <f>'По платам'!K502*$M$1</f>
        <v>0</v>
      </c>
      <c r="N500" s="29">
        <f>'По платам'!L502*'Состав прибора'!$B$16</f>
        <v>0</v>
      </c>
    </row>
    <row r="501" spans="1:14">
      <c r="A501" s="16" t="s">
        <v>48</v>
      </c>
      <c r="B501" s="30" t="s">
        <v>3096</v>
      </c>
      <c r="C501" s="18" t="s">
        <v>2839</v>
      </c>
      <c r="D501" s="25">
        <f t="shared" si="7"/>
        <v>0</v>
      </c>
      <c r="E501" s="29">
        <f>'По платам'!C503*$E$1</f>
        <v>0</v>
      </c>
      <c r="F501" s="29">
        <f>'По платам'!D503*$F$1</f>
        <v>0</v>
      </c>
      <c r="G501" s="29">
        <f>'По платам'!E503*$G$1</f>
        <v>0</v>
      </c>
      <c r="H501" s="29">
        <f>'По платам'!F503*$H$1</f>
        <v>0</v>
      </c>
      <c r="I501" s="29">
        <f>'По платам'!G503*$I$1</f>
        <v>0</v>
      </c>
      <c r="J501" s="29">
        <f>'По платам'!H503*$J$1</f>
        <v>0</v>
      </c>
      <c r="K501" s="29">
        <f>'По платам'!I503*$K$1</f>
        <v>0</v>
      </c>
      <c r="L501" s="29">
        <f>'По платам'!J503*$L$1</f>
        <v>0</v>
      </c>
      <c r="M501" s="29">
        <f>'По платам'!K503*$M$1</f>
        <v>0</v>
      </c>
      <c r="N501" s="29">
        <f>'По платам'!L503*'Состав прибора'!$B$16</f>
        <v>0</v>
      </c>
    </row>
    <row r="502" spans="1:14">
      <c r="A502" s="16" t="s">
        <v>48</v>
      </c>
      <c r="B502" s="30" t="s">
        <v>3097</v>
      </c>
      <c r="C502" s="18" t="s">
        <v>1800</v>
      </c>
      <c r="D502" s="25">
        <f t="shared" si="7"/>
        <v>0</v>
      </c>
      <c r="E502" s="29">
        <f>'По платам'!C504*$E$1</f>
        <v>0</v>
      </c>
      <c r="F502" s="29">
        <f>'По платам'!D504*$F$1</f>
        <v>0</v>
      </c>
      <c r="G502" s="29">
        <f>'По платам'!E504*$G$1</f>
        <v>0</v>
      </c>
      <c r="H502" s="29">
        <f>'По платам'!F504*$H$1</f>
        <v>0</v>
      </c>
      <c r="I502" s="29">
        <f>'По платам'!G504*$I$1</f>
        <v>0</v>
      </c>
      <c r="J502" s="29">
        <f>'По платам'!H504*$J$1</f>
        <v>0</v>
      </c>
      <c r="K502" s="29">
        <f>'По платам'!I504*$K$1</f>
        <v>0</v>
      </c>
      <c r="L502" s="29">
        <f>'По платам'!J504*$L$1</f>
        <v>0</v>
      </c>
      <c r="M502" s="29">
        <f>'По платам'!K504*$M$1</f>
        <v>0</v>
      </c>
      <c r="N502" s="29">
        <f>'По платам'!L504*'Состав прибора'!$B$16</f>
        <v>0</v>
      </c>
    </row>
    <row r="503" spans="1:14">
      <c r="A503" s="16" t="s">
        <v>48</v>
      </c>
      <c r="B503" s="30" t="s">
        <v>3098</v>
      </c>
      <c r="C503" s="18" t="s">
        <v>2845</v>
      </c>
      <c r="D503" s="25">
        <f t="shared" si="7"/>
        <v>2</v>
      </c>
      <c r="E503" s="29">
        <f>'По платам'!C505*$E$1</f>
        <v>0</v>
      </c>
      <c r="F503" s="29">
        <f>'По платам'!D505*$F$1</f>
        <v>0</v>
      </c>
      <c r="G503" s="29">
        <f>'По платам'!E505*$G$1</f>
        <v>0</v>
      </c>
      <c r="H503" s="29">
        <f>'По платам'!F505*$H$1</f>
        <v>0</v>
      </c>
      <c r="I503" s="29">
        <f>'По платам'!G505*$I$1</f>
        <v>0</v>
      </c>
      <c r="J503" s="29">
        <f>'По платам'!H505*$J$1</f>
        <v>0</v>
      </c>
      <c r="K503" s="29">
        <f>'По платам'!I505*$K$1</f>
        <v>0</v>
      </c>
      <c r="L503" s="29">
        <f>'По платам'!J505*$L$1</f>
        <v>2</v>
      </c>
      <c r="M503" s="29">
        <f>'По платам'!K505*$M$1</f>
        <v>0</v>
      </c>
      <c r="N503" s="29">
        <f>'По платам'!L505*'Состав прибора'!$B$16</f>
        <v>0</v>
      </c>
    </row>
    <row r="504" spans="1:14">
      <c r="A504" s="16" t="s">
        <v>48</v>
      </c>
      <c r="C504" s="18" t="s">
        <v>260</v>
      </c>
      <c r="D504" s="25">
        <f t="shared" si="7"/>
        <v>16</v>
      </c>
      <c r="E504" s="29">
        <f>'По платам'!C506*$E$1</f>
        <v>0</v>
      </c>
      <c r="F504" s="29">
        <f>'По платам'!D506*$F$1</f>
        <v>0</v>
      </c>
      <c r="G504" s="29">
        <f>'По платам'!E506*$G$1</f>
        <v>0</v>
      </c>
      <c r="H504" s="29">
        <f>'По платам'!F506*$H$1</f>
        <v>0</v>
      </c>
      <c r="I504" s="29">
        <f>'По платам'!G506*$I$1</f>
        <v>0</v>
      </c>
      <c r="J504" s="29">
        <f>'По платам'!H506*$J$1</f>
        <v>0</v>
      </c>
      <c r="K504" s="29">
        <f>'По платам'!I506*$K$1</f>
        <v>11</v>
      </c>
      <c r="L504" s="29">
        <f>'По платам'!J506*$L$1</f>
        <v>5</v>
      </c>
      <c r="M504" s="29">
        <f>'По платам'!K506*$M$1</f>
        <v>0</v>
      </c>
      <c r="N504" s="29">
        <f>'По платам'!L506*'Состав прибора'!$B$16</f>
        <v>0</v>
      </c>
    </row>
    <row r="505" spans="1:14">
      <c r="A505" s="16" t="s">
        <v>48</v>
      </c>
      <c r="C505" s="18" t="s">
        <v>1496</v>
      </c>
      <c r="D505" s="25">
        <f t="shared" si="7"/>
        <v>0</v>
      </c>
      <c r="E505" s="29">
        <f>'По платам'!C507*$E$1</f>
        <v>0</v>
      </c>
      <c r="F505" s="29">
        <f>'По платам'!D507*$F$1</f>
        <v>0</v>
      </c>
      <c r="G505" s="29">
        <f>'По платам'!E507*$G$1</f>
        <v>0</v>
      </c>
      <c r="H505" s="29">
        <f>'По платам'!F507*$H$1</f>
        <v>0</v>
      </c>
      <c r="I505" s="29">
        <f>'По платам'!G507*$I$1</f>
        <v>0</v>
      </c>
      <c r="J505" s="29">
        <f>'По платам'!H507*$J$1</f>
        <v>0</v>
      </c>
      <c r="K505" s="29">
        <f>'По платам'!I507*$K$1</f>
        <v>0</v>
      </c>
      <c r="L505" s="29">
        <f>'По платам'!J507*$L$1</f>
        <v>0</v>
      </c>
      <c r="M505" s="29">
        <f>'По платам'!K507*$M$1</f>
        <v>0</v>
      </c>
      <c r="N505" s="29">
        <f>'По платам'!L507*'Состав прибора'!$B$16</f>
        <v>0</v>
      </c>
    </row>
    <row r="506" spans="1:14">
      <c r="A506" s="16" t="s">
        <v>48</v>
      </c>
      <c r="C506" s="18" t="s">
        <v>616</v>
      </c>
      <c r="D506" s="25">
        <f t="shared" si="7"/>
        <v>8</v>
      </c>
      <c r="E506" s="29">
        <f>'По платам'!C508*$E$1</f>
        <v>0</v>
      </c>
      <c r="F506" s="29">
        <f>'По платам'!D508*$F$1</f>
        <v>0</v>
      </c>
      <c r="G506" s="29">
        <f>'По платам'!E508*$G$1</f>
        <v>0</v>
      </c>
      <c r="H506" s="29">
        <f>'По платам'!F508*$H$1</f>
        <v>0</v>
      </c>
      <c r="I506" s="29">
        <f>'По платам'!G508*$I$1</f>
        <v>0</v>
      </c>
      <c r="J506" s="29">
        <f>'По платам'!H508*$J$1</f>
        <v>4</v>
      </c>
      <c r="K506" s="29">
        <f>'По платам'!I508*$K$1</f>
        <v>4</v>
      </c>
      <c r="L506" s="29">
        <f>'По платам'!J508*$L$1</f>
        <v>0</v>
      </c>
      <c r="M506" s="29">
        <f>'По платам'!K508*$M$1</f>
        <v>0</v>
      </c>
      <c r="N506" s="29">
        <f>'По платам'!L508*'Состав прибора'!$B$16</f>
        <v>0</v>
      </c>
    </row>
    <row r="507" spans="1:14">
      <c r="A507" s="16" t="s">
        <v>48</v>
      </c>
      <c r="C507" s="18" t="s">
        <v>257</v>
      </c>
      <c r="D507" s="25">
        <f t="shared" si="7"/>
        <v>65</v>
      </c>
      <c r="E507" s="29">
        <f>'По платам'!C509*$E$1</f>
        <v>0</v>
      </c>
      <c r="F507" s="29">
        <f>'По платам'!D509*$F$1</f>
        <v>0</v>
      </c>
      <c r="G507" s="29">
        <f>'По платам'!E509*$G$1</f>
        <v>0</v>
      </c>
      <c r="H507" s="29">
        <f>'По платам'!F509*$H$1</f>
        <v>0</v>
      </c>
      <c r="I507" s="29">
        <f>'По платам'!G509*$I$1</f>
        <v>3</v>
      </c>
      <c r="J507" s="29">
        <f>'По платам'!H509*$J$1</f>
        <v>0</v>
      </c>
      <c r="K507" s="29">
        <f>'По платам'!I509*$K$1</f>
        <v>42</v>
      </c>
      <c r="L507" s="29">
        <f>'По платам'!J509*$L$1</f>
        <v>20</v>
      </c>
      <c r="M507" s="29">
        <f>'По платам'!K509*$M$1</f>
        <v>0</v>
      </c>
      <c r="N507" s="29">
        <f>'По платам'!L509*'Состав прибора'!$B$16</f>
        <v>0</v>
      </c>
    </row>
    <row r="508" spans="1:14">
      <c r="A508" s="16" t="s">
        <v>48</v>
      </c>
      <c r="C508" s="18" t="s">
        <v>298</v>
      </c>
      <c r="D508" s="25">
        <f t="shared" si="7"/>
        <v>13</v>
      </c>
      <c r="E508" s="29">
        <f>'По платам'!C510*$E$1</f>
        <v>0</v>
      </c>
      <c r="F508" s="29">
        <f>'По платам'!D510*$F$1</f>
        <v>0</v>
      </c>
      <c r="G508" s="29">
        <f>'По платам'!E510*$G$1</f>
        <v>0</v>
      </c>
      <c r="H508" s="29">
        <f>'По платам'!F510*$H$1</f>
        <v>0</v>
      </c>
      <c r="I508" s="29">
        <f>'По платам'!G510*$I$1</f>
        <v>4</v>
      </c>
      <c r="J508" s="29">
        <f>'По платам'!H510*$J$1</f>
        <v>0</v>
      </c>
      <c r="K508" s="29">
        <f>'По платам'!I510*$K$1</f>
        <v>4</v>
      </c>
      <c r="L508" s="29">
        <f>'По платам'!J510*$L$1</f>
        <v>5</v>
      </c>
      <c r="M508" s="29">
        <f>'По платам'!K510*$M$1</f>
        <v>0</v>
      </c>
      <c r="N508" s="29">
        <f>'По платам'!L510*'Состав прибора'!$B$16</f>
        <v>0</v>
      </c>
    </row>
    <row r="509" spans="1:14">
      <c r="A509" s="16" t="s">
        <v>48</v>
      </c>
      <c r="C509" s="18" t="s">
        <v>601</v>
      </c>
      <c r="D509" s="25">
        <f t="shared" si="7"/>
        <v>2</v>
      </c>
      <c r="E509" s="29">
        <f>'По платам'!C511*$E$1</f>
        <v>0</v>
      </c>
      <c r="F509" s="29">
        <f>'По платам'!D511*$F$1</f>
        <v>0</v>
      </c>
      <c r="G509" s="29">
        <f>'По платам'!E511*$G$1</f>
        <v>0</v>
      </c>
      <c r="H509" s="29">
        <f>'По платам'!F511*$H$1</f>
        <v>0</v>
      </c>
      <c r="I509" s="29">
        <f>'По платам'!G511*$I$1</f>
        <v>0</v>
      </c>
      <c r="J509" s="29">
        <f>'По платам'!H511*$J$1</f>
        <v>0</v>
      </c>
      <c r="K509" s="29">
        <f>'По платам'!I511*$K$1</f>
        <v>2</v>
      </c>
      <c r="L509" s="29">
        <f>'По платам'!J511*$L$1</f>
        <v>0</v>
      </c>
      <c r="M509" s="29">
        <f>'По платам'!K511*$M$1</f>
        <v>0</v>
      </c>
      <c r="N509" s="29">
        <f>'По платам'!L511*'Состав прибора'!$B$16</f>
        <v>0</v>
      </c>
    </row>
    <row r="510" spans="1:14">
      <c r="A510" s="16" t="s">
        <v>48</v>
      </c>
      <c r="C510" s="18" t="s">
        <v>2914</v>
      </c>
      <c r="D510" s="25">
        <f t="shared" si="7"/>
        <v>2</v>
      </c>
      <c r="E510" s="29">
        <f>'По платам'!C512*$E$1</f>
        <v>0</v>
      </c>
      <c r="F510" s="29">
        <f>'По платам'!D512*$F$1</f>
        <v>0</v>
      </c>
      <c r="G510" s="29">
        <f>'По платам'!E512*$G$1</f>
        <v>0</v>
      </c>
      <c r="H510" s="29">
        <f>'По платам'!F512*$H$1</f>
        <v>0</v>
      </c>
      <c r="I510" s="29">
        <f>'По платам'!G512*$I$1</f>
        <v>0</v>
      </c>
      <c r="J510" s="29">
        <f>'По платам'!H512*$J$1</f>
        <v>0</v>
      </c>
      <c r="K510" s="29">
        <f>'По платам'!I512*$K$1</f>
        <v>0</v>
      </c>
      <c r="L510" s="29">
        <f>'По платам'!J512*$L$1</f>
        <v>2</v>
      </c>
      <c r="M510" s="29">
        <f>'По платам'!K512*$M$1</f>
        <v>0</v>
      </c>
      <c r="N510" s="29">
        <f>'По платам'!L512*'Состав прибора'!$B$16</f>
        <v>0</v>
      </c>
    </row>
    <row r="511" spans="1:14">
      <c r="A511" s="16" t="s">
        <v>48</v>
      </c>
      <c r="C511" s="18" t="s">
        <v>573</v>
      </c>
      <c r="D511" s="25">
        <f t="shared" si="7"/>
        <v>1</v>
      </c>
      <c r="E511" s="29">
        <f>'По платам'!C513*$E$1</f>
        <v>0</v>
      </c>
      <c r="F511" s="29">
        <f>'По платам'!D513*$F$1</f>
        <v>0</v>
      </c>
      <c r="G511" s="29">
        <f>'По платам'!E513*$G$1</f>
        <v>0</v>
      </c>
      <c r="H511" s="29">
        <f>'По платам'!F513*$H$1</f>
        <v>0</v>
      </c>
      <c r="I511" s="29">
        <f>'По платам'!G513*$I$1</f>
        <v>0</v>
      </c>
      <c r="J511" s="29">
        <f>'По платам'!H513*$J$1</f>
        <v>0</v>
      </c>
      <c r="K511" s="29">
        <f>'По платам'!I513*$K$1</f>
        <v>1</v>
      </c>
      <c r="L511" s="29">
        <f>'По платам'!J513*$L$1</f>
        <v>0</v>
      </c>
      <c r="M511" s="29">
        <f>'По платам'!K513*$M$1</f>
        <v>0</v>
      </c>
      <c r="N511" s="29">
        <f>'По платам'!L513*'Состав прибора'!$B$16</f>
        <v>0</v>
      </c>
    </row>
    <row r="512" spans="1:14">
      <c r="A512" s="16" t="s">
        <v>48</v>
      </c>
      <c r="C512" s="18" t="s">
        <v>578</v>
      </c>
      <c r="D512" s="25">
        <f t="shared" si="7"/>
        <v>1</v>
      </c>
      <c r="E512" s="29">
        <f>'По платам'!C514*$E$1</f>
        <v>0</v>
      </c>
      <c r="F512" s="29">
        <f>'По платам'!D514*$F$1</f>
        <v>0</v>
      </c>
      <c r="G512" s="29">
        <f>'По платам'!E514*$G$1</f>
        <v>0</v>
      </c>
      <c r="H512" s="29">
        <f>'По платам'!F514*$H$1</f>
        <v>0</v>
      </c>
      <c r="I512" s="29">
        <f>'По платам'!G514*$I$1</f>
        <v>0</v>
      </c>
      <c r="J512" s="29">
        <f>'По платам'!H514*$J$1</f>
        <v>0</v>
      </c>
      <c r="K512" s="29">
        <f>'По платам'!I514*$K$1</f>
        <v>1</v>
      </c>
      <c r="L512" s="29">
        <f>'По платам'!J514*$L$1</f>
        <v>0</v>
      </c>
      <c r="M512" s="29">
        <f>'По платам'!K514*$M$1</f>
        <v>0</v>
      </c>
      <c r="N512" s="29">
        <f>'По платам'!L514*'Состав прибора'!$B$16</f>
        <v>0</v>
      </c>
    </row>
    <row r="513" spans="1:14">
      <c r="A513" s="16" t="s">
        <v>48</v>
      </c>
      <c r="C513" s="18" t="s">
        <v>565</v>
      </c>
      <c r="D513" s="25">
        <f t="shared" si="7"/>
        <v>1</v>
      </c>
      <c r="E513" s="29">
        <f>'По платам'!C515*$E$1</f>
        <v>0</v>
      </c>
      <c r="F513" s="29">
        <f>'По платам'!D515*$F$1</f>
        <v>0</v>
      </c>
      <c r="G513" s="29">
        <f>'По платам'!E515*$G$1</f>
        <v>0</v>
      </c>
      <c r="H513" s="29">
        <f>'По платам'!F515*$H$1</f>
        <v>0</v>
      </c>
      <c r="I513" s="29">
        <f>'По платам'!G515*$I$1</f>
        <v>0</v>
      </c>
      <c r="J513" s="29">
        <f>'По платам'!H515*$J$1</f>
        <v>0</v>
      </c>
      <c r="K513" s="29">
        <f>'По платам'!I515*$K$1</f>
        <v>1</v>
      </c>
      <c r="L513" s="29">
        <f>'По платам'!J515*$L$1</f>
        <v>0</v>
      </c>
      <c r="M513" s="29">
        <f>'По платам'!K515*$M$1</f>
        <v>0</v>
      </c>
      <c r="N513" s="29">
        <f>'По платам'!L515*'Состав прибора'!$B$16</f>
        <v>0</v>
      </c>
    </row>
    <row r="514" spans="1:14">
      <c r="A514" s="16" t="s">
        <v>48</v>
      </c>
      <c r="C514" s="18" t="s">
        <v>569</v>
      </c>
      <c r="D514" s="25">
        <f t="shared" ref="D514:D577" si="8">SUM(E514:N514)</f>
        <v>2</v>
      </c>
      <c r="E514" s="29">
        <f>'По платам'!C516*$E$1</f>
        <v>0</v>
      </c>
      <c r="F514" s="29">
        <f>'По платам'!D516*$F$1</f>
        <v>0</v>
      </c>
      <c r="G514" s="29">
        <f>'По платам'!E516*$G$1</f>
        <v>0</v>
      </c>
      <c r="H514" s="29">
        <f>'По платам'!F516*$H$1</f>
        <v>0</v>
      </c>
      <c r="I514" s="29">
        <f>'По платам'!G516*$I$1</f>
        <v>0</v>
      </c>
      <c r="J514" s="29">
        <f>'По платам'!H516*$J$1</f>
        <v>0</v>
      </c>
      <c r="K514" s="29">
        <f>'По платам'!I516*$K$1</f>
        <v>2</v>
      </c>
      <c r="L514" s="29">
        <f>'По платам'!J516*$L$1</f>
        <v>0</v>
      </c>
      <c r="M514" s="29">
        <f>'По платам'!K516*$M$1</f>
        <v>0</v>
      </c>
      <c r="N514" s="29">
        <f>'По платам'!L516*'Состав прибора'!$B$16</f>
        <v>0</v>
      </c>
    </row>
    <row r="515" spans="1:14">
      <c r="A515" s="16" t="s">
        <v>48</v>
      </c>
      <c r="C515" s="18" t="s">
        <v>629</v>
      </c>
      <c r="D515" s="25">
        <f t="shared" si="8"/>
        <v>1</v>
      </c>
      <c r="E515" s="29">
        <f>'По платам'!C517*$E$1</f>
        <v>0</v>
      </c>
      <c r="F515" s="29">
        <f>'По платам'!D517*$F$1</f>
        <v>0</v>
      </c>
      <c r="G515" s="29">
        <f>'По платам'!E517*$G$1</f>
        <v>0</v>
      </c>
      <c r="H515" s="29">
        <f>'По платам'!F517*$H$1</f>
        <v>0</v>
      </c>
      <c r="I515" s="29">
        <f>'По платам'!G517*$I$1</f>
        <v>0</v>
      </c>
      <c r="J515" s="29">
        <f>'По платам'!H517*$J$1</f>
        <v>0</v>
      </c>
      <c r="K515" s="29">
        <f>'По платам'!I517*$K$1</f>
        <v>1</v>
      </c>
      <c r="L515" s="29">
        <f>'По платам'!J517*$L$1</f>
        <v>0</v>
      </c>
      <c r="M515" s="29">
        <f>'По платам'!K517*$M$1</f>
        <v>0</v>
      </c>
      <c r="N515" s="29">
        <f>'По платам'!L517*'Состав прибора'!$B$16</f>
        <v>0</v>
      </c>
    </row>
    <row r="516" spans="1:14">
      <c r="A516" s="16" t="s">
        <v>48</v>
      </c>
      <c r="C516" s="18" t="s">
        <v>280</v>
      </c>
      <c r="D516" s="25">
        <f t="shared" si="8"/>
        <v>18</v>
      </c>
      <c r="E516" s="29">
        <f>'По платам'!C518*$E$1</f>
        <v>0</v>
      </c>
      <c r="F516" s="29">
        <f>'По платам'!D518*$F$1</f>
        <v>0</v>
      </c>
      <c r="G516" s="29">
        <f>'По платам'!E518*$G$1</f>
        <v>0</v>
      </c>
      <c r="H516" s="29">
        <f>'По платам'!F518*$H$1</f>
        <v>0</v>
      </c>
      <c r="I516" s="29">
        <f>'По платам'!G518*$I$1</f>
        <v>0</v>
      </c>
      <c r="J516" s="29">
        <f>'По платам'!H518*$J$1</f>
        <v>0</v>
      </c>
      <c r="K516" s="29">
        <f>'По платам'!I518*$K$1</f>
        <v>7</v>
      </c>
      <c r="L516" s="29">
        <f>'По платам'!J518*$L$1</f>
        <v>11</v>
      </c>
      <c r="M516" s="29">
        <f>'По платам'!K518*$M$1</f>
        <v>0</v>
      </c>
      <c r="N516" s="29">
        <f>'По платам'!L518*'Состав прибора'!$B$16</f>
        <v>0</v>
      </c>
    </row>
    <row r="517" spans="1:14">
      <c r="A517" s="16" t="s">
        <v>48</v>
      </c>
      <c r="C517" s="18" t="s">
        <v>312</v>
      </c>
      <c r="D517" s="25">
        <f t="shared" si="8"/>
        <v>33</v>
      </c>
      <c r="E517" s="29">
        <f>'По платам'!C519*$E$1</f>
        <v>0</v>
      </c>
      <c r="F517" s="29">
        <f>'По платам'!D519*$F$1</f>
        <v>0</v>
      </c>
      <c r="G517" s="29">
        <f>'По платам'!E519*$G$1</f>
        <v>0</v>
      </c>
      <c r="H517" s="29">
        <f>'По платам'!F519*$H$1</f>
        <v>0</v>
      </c>
      <c r="I517" s="29">
        <f>'По платам'!G519*$I$1</f>
        <v>16</v>
      </c>
      <c r="J517" s="29">
        <f>'По платам'!H519*$J$1</f>
        <v>0</v>
      </c>
      <c r="K517" s="29">
        <f>'По платам'!I519*$K$1</f>
        <v>10</v>
      </c>
      <c r="L517" s="29">
        <f>'По платам'!J519*$L$1</f>
        <v>7</v>
      </c>
      <c r="M517" s="29">
        <f>'По платам'!K519*$M$1</f>
        <v>0</v>
      </c>
      <c r="N517" s="29">
        <f>'По платам'!L519*'Состав прибора'!$B$16</f>
        <v>0</v>
      </c>
    </row>
    <row r="518" spans="1:14">
      <c r="A518" s="16" t="s">
        <v>48</v>
      </c>
      <c r="C518" s="18" t="s">
        <v>2168</v>
      </c>
      <c r="D518" s="25">
        <f t="shared" si="8"/>
        <v>0</v>
      </c>
      <c r="E518" s="29">
        <f>'По платам'!C520*$E$1</f>
        <v>0</v>
      </c>
      <c r="F518" s="29">
        <f>'По платам'!D520*$F$1</f>
        <v>0</v>
      </c>
      <c r="G518" s="29">
        <f>'По платам'!E520*$G$1</f>
        <v>0</v>
      </c>
      <c r="H518" s="29">
        <f>'По платам'!F520*$H$1</f>
        <v>0</v>
      </c>
      <c r="I518" s="29">
        <f>'По платам'!G520*$I$1</f>
        <v>0</v>
      </c>
      <c r="J518" s="29">
        <f>'По платам'!H520*$J$1</f>
        <v>0</v>
      </c>
      <c r="K518" s="29">
        <f>'По платам'!I520*$K$1</f>
        <v>0</v>
      </c>
      <c r="L518" s="29">
        <f>'По платам'!J520*$L$1</f>
        <v>0</v>
      </c>
      <c r="M518" s="29">
        <f>'По платам'!K520*$M$1</f>
        <v>0</v>
      </c>
      <c r="N518" s="29">
        <f>'По платам'!L520*'Состав прибора'!$B$16</f>
        <v>0</v>
      </c>
    </row>
    <row r="519" spans="1:14">
      <c r="A519" s="16" t="s">
        <v>48</v>
      </c>
      <c r="C519" s="18" t="s">
        <v>1521</v>
      </c>
      <c r="D519" s="25">
        <f t="shared" si="8"/>
        <v>0</v>
      </c>
      <c r="E519" s="29">
        <f>'По платам'!C521*$E$1</f>
        <v>0</v>
      </c>
      <c r="F519" s="29">
        <f>'По платам'!D521*$F$1</f>
        <v>0</v>
      </c>
      <c r="G519" s="29">
        <f>'По платам'!E521*$G$1</f>
        <v>0</v>
      </c>
      <c r="H519" s="29">
        <f>'По платам'!F521*$H$1</f>
        <v>0</v>
      </c>
      <c r="I519" s="29">
        <f>'По платам'!G521*$I$1</f>
        <v>0</v>
      </c>
      <c r="J519" s="29">
        <f>'По платам'!H521*$J$1</f>
        <v>0</v>
      </c>
      <c r="K519" s="29">
        <f>'По платам'!I521*$K$1</f>
        <v>0</v>
      </c>
      <c r="L519" s="29">
        <f>'По платам'!J521*$L$1</f>
        <v>0</v>
      </c>
      <c r="M519" s="29">
        <f>'По платам'!K521*$M$1</f>
        <v>0</v>
      </c>
      <c r="N519" s="29">
        <f>'По платам'!L521*'Состав прибора'!$B$16</f>
        <v>0</v>
      </c>
    </row>
    <row r="520" spans="1:14">
      <c r="A520" s="16" t="s">
        <v>48</v>
      </c>
      <c r="C520" s="18" t="s">
        <v>606</v>
      </c>
      <c r="D520" s="25">
        <f t="shared" si="8"/>
        <v>8</v>
      </c>
      <c r="E520" s="29">
        <f>'По платам'!C522*$E$1</f>
        <v>0</v>
      </c>
      <c r="F520" s="29">
        <f>'По платам'!D522*$F$1</f>
        <v>0</v>
      </c>
      <c r="G520" s="29">
        <f>'По платам'!E522*$G$1</f>
        <v>0</v>
      </c>
      <c r="H520" s="29">
        <f>'По платам'!F522*$H$1</f>
        <v>0</v>
      </c>
      <c r="I520" s="29">
        <f>'По платам'!G522*$I$1</f>
        <v>0</v>
      </c>
      <c r="J520" s="29">
        <f>'По платам'!H522*$J$1</f>
        <v>0</v>
      </c>
      <c r="K520" s="29">
        <f>'По платам'!I522*$K$1</f>
        <v>8</v>
      </c>
      <c r="L520" s="29">
        <f>'По платам'!J522*$L$1</f>
        <v>0</v>
      </c>
      <c r="M520" s="29">
        <f>'По платам'!K522*$M$1</f>
        <v>0</v>
      </c>
      <c r="N520" s="29">
        <f>'По платам'!L522*'Состав прибора'!$B$16</f>
        <v>0</v>
      </c>
    </row>
    <row r="521" spans="1:14">
      <c r="A521" s="16" t="s">
        <v>48</v>
      </c>
      <c r="C521" s="18" t="s">
        <v>238</v>
      </c>
      <c r="D521" s="25">
        <f t="shared" si="8"/>
        <v>60</v>
      </c>
      <c r="E521" s="29">
        <f>'По платам'!C523*$E$1</f>
        <v>0</v>
      </c>
      <c r="F521" s="29">
        <f>'По платам'!D523*$F$1</f>
        <v>0</v>
      </c>
      <c r="G521" s="29">
        <f>'По платам'!E523*$G$1</f>
        <v>0</v>
      </c>
      <c r="H521" s="29">
        <f>'По платам'!F523*$H$1</f>
        <v>0</v>
      </c>
      <c r="I521" s="29">
        <f>'По платам'!G523*$I$1</f>
        <v>0</v>
      </c>
      <c r="J521" s="29">
        <f>'По платам'!H523*$J$1</f>
        <v>0</v>
      </c>
      <c r="K521" s="29">
        <f>'По платам'!I523*$K$1</f>
        <v>46</v>
      </c>
      <c r="L521" s="29">
        <f>'По платам'!J523*$L$1</f>
        <v>14</v>
      </c>
      <c r="M521" s="29">
        <f>'По платам'!K523*$M$1</f>
        <v>0</v>
      </c>
      <c r="N521" s="29">
        <f>'По платам'!L523*'Состав прибора'!$B$16</f>
        <v>0</v>
      </c>
    </row>
    <row r="522" spans="1:14">
      <c r="A522" s="16" t="s">
        <v>48</v>
      </c>
      <c r="C522" s="18" t="s">
        <v>1098</v>
      </c>
      <c r="D522" s="25">
        <f t="shared" si="8"/>
        <v>4</v>
      </c>
      <c r="E522" s="29">
        <f>'По платам'!C524*$E$1</f>
        <v>0</v>
      </c>
      <c r="F522" s="29">
        <f>'По платам'!D524*$F$1</f>
        <v>0</v>
      </c>
      <c r="G522" s="29">
        <f>'По платам'!E524*$G$1</f>
        <v>0</v>
      </c>
      <c r="H522" s="29">
        <f>'По платам'!F524*$H$1</f>
        <v>1</v>
      </c>
      <c r="I522" s="29">
        <f>'По платам'!G524*$I$1</f>
        <v>0</v>
      </c>
      <c r="J522" s="29">
        <f>'По платам'!H524*$J$1</f>
        <v>3</v>
      </c>
      <c r="K522" s="29">
        <f>'По платам'!I524*$K$1</f>
        <v>0</v>
      </c>
      <c r="L522" s="29">
        <f>'По платам'!J524*$L$1</f>
        <v>0</v>
      </c>
      <c r="M522" s="29">
        <f>'По платам'!K524*$M$1</f>
        <v>0</v>
      </c>
      <c r="N522" s="29">
        <f>'По платам'!L524*'Состав прибора'!$B$16</f>
        <v>0</v>
      </c>
    </row>
    <row r="523" spans="1:14">
      <c r="A523" s="16" t="s">
        <v>48</v>
      </c>
      <c r="C523" s="18" t="s">
        <v>1297</v>
      </c>
      <c r="D523" s="25">
        <f t="shared" si="8"/>
        <v>3</v>
      </c>
      <c r="E523" s="29">
        <f>'По платам'!C525*$E$1</f>
        <v>0</v>
      </c>
      <c r="F523" s="29">
        <f>'По платам'!D525*$F$1</f>
        <v>0</v>
      </c>
      <c r="G523" s="29">
        <f>'По платам'!E525*$G$1</f>
        <v>0</v>
      </c>
      <c r="H523" s="29">
        <f>'По платам'!F525*$H$1</f>
        <v>3</v>
      </c>
      <c r="I523" s="29">
        <f>'По платам'!G525*$I$1</f>
        <v>0</v>
      </c>
      <c r="J523" s="29">
        <f>'По платам'!H525*$J$1</f>
        <v>0</v>
      </c>
      <c r="K523" s="29">
        <f>'По платам'!I525*$K$1</f>
        <v>0</v>
      </c>
      <c r="L523" s="29">
        <f>'По платам'!J525*$L$1</f>
        <v>0</v>
      </c>
      <c r="M523" s="29">
        <f>'По платам'!K525*$M$1</f>
        <v>0</v>
      </c>
      <c r="N523" s="29">
        <f>'По платам'!L525*'Состав прибора'!$B$16</f>
        <v>0</v>
      </c>
    </row>
    <row r="524" spans="1:14">
      <c r="A524" s="16" t="s">
        <v>48</v>
      </c>
      <c r="C524" s="18" t="s">
        <v>47</v>
      </c>
      <c r="D524" s="25">
        <f t="shared" si="8"/>
        <v>16</v>
      </c>
      <c r="E524" s="29">
        <f>'По платам'!C526*$E$1</f>
        <v>0</v>
      </c>
      <c r="F524" s="29">
        <f>'По платам'!D526*$F$1</f>
        <v>0</v>
      </c>
      <c r="G524" s="29">
        <f>'По платам'!E526*$G$1</f>
        <v>0</v>
      </c>
      <c r="H524" s="29">
        <f>'По платам'!F526*$H$1</f>
        <v>0</v>
      </c>
      <c r="I524" s="29">
        <f>'По платам'!G526*$I$1</f>
        <v>4</v>
      </c>
      <c r="J524" s="29">
        <f>'По платам'!H526*$J$1</f>
        <v>5</v>
      </c>
      <c r="K524" s="29">
        <f>'По платам'!I526*$K$1</f>
        <v>0</v>
      </c>
      <c r="L524" s="29">
        <f>'По платам'!J526*$L$1</f>
        <v>7</v>
      </c>
      <c r="M524" s="29">
        <f>'По платам'!K526*$M$1</f>
        <v>0</v>
      </c>
      <c r="N524" s="29">
        <f>'По платам'!L526*'Состав прибора'!$B$16</f>
        <v>0</v>
      </c>
    </row>
    <row r="525" spans="1:14">
      <c r="A525" s="16" t="s">
        <v>48</v>
      </c>
      <c r="C525" s="18" t="s">
        <v>429</v>
      </c>
      <c r="D525" s="25">
        <f t="shared" si="8"/>
        <v>99</v>
      </c>
      <c r="E525" s="29">
        <f>'По платам'!C527*$E$1</f>
        <v>0</v>
      </c>
      <c r="F525" s="29">
        <f>'По платам'!D527*$F$1</f>
        <v>0</v>
      </c>
      <c r="G525" s="29">
        <f>'По платам'!E527*$G$1</f>
        <v>0</v>
      </c>
      <c r="H525" s="29">
        <f>'По платам'!F527*$H$1</f>
        <v>0</v>
      </c>
      <c r="I525" s="29">
        <f>'По платам'!G527*$I$1</f>
        <v>3</v>
      </c>
      <c r="J525" s="29">
        <f>'По платам'!H527*$J$1</f>
        <v>0</v>
      </c>
      <c r="K525" s="29">
        <f>'По платам'!I527*$K$1</f>
        <v>34</v>
      </c>
      <c r="L525" s="29">
        <f>'По платам'!J527*$L$1</f>
        <v>62</v>
      </c>
      <c r="M525" s="29">
        <f>'По платам'!K527*$M$1</f>
        <v>0</v>
      </c>
      <c r="N525" s="29">
        <f>'По платам'!L527*'Состав прибора'!$B$16</f>
        <v>0</v>
      </c>
    </row>
    <row r="526" spans="1:14">
      <c r="A526" s="16" t="s">
        <v>48</v>
      </c>
      <c r="C526" s="18" t="s">
        <v>946</v>
      </c>
      <c r="D526" s="25">
        <f t="shared" si="8"/>
        <v>1</v>
      </c>
      <c r="E526" s="29">
        <f>'По платам'!C528*$E$1</f>
        <v>0</v>
      </c>
      <c r="F526" s="29">
        <f>'По платам'!D528*$F$1</f>
        <v>0</v>
      </c>
      <c r="G526" s="29">
        <f>'По платам'!E528*$G$1</f>
        <v>0</v>
      </c>
      <c r="H526" s="29">
        <f>'По платам'!F528*$H$1</f>
        <v>0</v>
      </c>
      <c r="I526" s="29">
        <f>'По платам'!G528*$I$1</f>
        <v>0</v>
      </c>
      <c r="J526" s="29">
        <f>'По платам'!H528*$J$1</f>
        <v>0</v>
      </c>
      <c r="K526" s="29">
        <f>'По платам'!I528*$K$1</f>
        <v>1</v>
      </c>
      <c r="L526" s="29">
        <f>'По платам'!J528*$L$1</f>
        <v>0</v>
      </c>
      <c r="M526" s="29">
        <f>'По платам'!K528*$M$1</f>
        <v>0</v>
      </c>
      <c r="N526" s="29">
        <f>'По платам'!L528*'Состав прибора'!$B$16</f>
        <v>0</v>
      </c>
    </row>
    <row r="527" spans="1:14">
      <c r="A527" s="16" t="s">
        <v>48</v>
      </c>
      <c r="C527" s="18" t="s">
        <v>413</v>
      </c>
      <c r="D527" s="25">
        <f t="shared" si="8"/>
        <v>142</v>
      </c>
      <c r="E527" s="29">
        <f>'По платам'!C529*$E$1</f>
        <v>0</v>
      </c>
      <c r="F527" s="29">
        <f>'По платам'!D529*$F$1</f>
        <v>0</v>
      </c>
      <c r="G527" s="29">
        <f>'По платам'!E529*$G$1</f>
        <v>0</v>
      </c>
      <c r="H527" s="29">
        <f>'По платам'!F529*$H$1</f>
        <v>0</v>
      </c>
      <c r="I527" s="29">
        <f>'По платам'!G529*$I$1</f>
        <v>2</v>
      </c>
      <c r="J527" s="29">
        <f>'По платам'!H529*$J$1</f>
        <v>0</v>
      </c>
      <c r="K527" s="29">
        <f>'По платам'!I529*$K$1</f>
        <v>80</v>
      </c>
      <c r="L527" s="29">
        <f>'По платам'!J529*$L$1</f>
        <v>60</v>
      </c>
      <c r="M527" s="29">
        <f>'По платам'!K529*$M$1</f>
        <v>0</v>
      </c>
      <c r="N527" s="29">
        <f>'По платам'!L529*'Состав прибора'!$B$16</f>
        <v>0</v>
      </c>
    </row>
    <row r="528" spans="1:14">
      <c r="A528" s="16" t="s">
        <v>48</v>
      </c>
      <c r="C528" s="18" t="s">
        <v>2965</v>
      </c>
      <c r="D528" s="25">
        <f t="shared" si="8"/>
        <v>2</v>
      </c>
      <c r="E528" s="29">
        <f>'По платам'!C530*$E$1</f>
        <v>0</v>
      </c>
      <c r="F528" s="29">
        <f>'По платам'!D530*$F$1</f>
        <v>0</v>
      </c>
      <c r="G528" s="29">
        <f>'По платам'!E530*$G$1</f>
        <v>0</v>
      </c>
      <c r="H528" s="29">
        <f>'По платам'!F530*$H$1</f>
        <v>0</v>
      </c>
      <c r="I528" s="29">
        <f>'По платам'!G530*$I$1</f>
        <v>0</v>
      </c>
      <c r="J528" s="29">
        <f>'По платам'!H530*$J$1</f>
        <v>0</v>
      </c>
      <c r="K528" s="29">
        <f>'По платам'!I530*$K$1</f>
        <v>0</v>
      </c>
      <c r="L528" s="29">
        <f>'По платам'!J530*$L$1</f>
        <v>2</v>
      </c>
      <c r="M528" s="29">
        <f>'По платам'!K530*$M$1</f>
        <v>0</v>
      </c>
      <c r="N528" s="29">
        <f>'По платам'!L530*'Состав прибора'!$B$16</f>
        <v>0</v>
      </c>
    </row>
    <row r="529" spans="1:14">
      <c r="A529" s="16" t="s">
        <v>48</v>
      </c>
      <c r="C529" s="18" t="s">
        <v>484</v>
      </c>
      <c r="D529" s="25">
        <f t="shared" si="8"/>
        <v>9</v>
      </c>
      <c r="E529" s="29">
        <f>'По платам'!C531*$E$1</f>
        <v>0</v>
      </c>
      <c r="F529" s="29">
        <f>'По платам'!D531*$F$1</f>
        <v>0</v>
      </c>
      <c r="G529" s="29">
        <f>'По платам'!E531*$G$1</f>
        <v>0</v>
      </c>
      <c r="H529" s="29">
        <f>'По платам'!F531*$H$1</f>
        <v>0</v>
      </c>
      <c r="I529" s="29">
        <f>'По платам'!G531*$I$1</f>
        <v>6</v>
      </c>
      <c r="J529" s="29">
        <f>'По платам'!H531*$J$1</f>
        <v>0</v>
      </c>
      <c r="K529" s="29">
        <f>'По платам'!I531*$K$1</f>
        <v>0</v>
      </c>
      <c r="L529" s="29">
        <f>'По платам'!J531*$L$1</f>
        <v>3</v>
      </c>
      <c r="M529" s="29">
        <f>'По платам'!K531*$M$1</f>
        <v>0</v>
      </c>
      <c r="N529" s="29">
        <f>'По платам'!L531*'Состав прибора'!$B$16</f>
        <v>0</v>
      </c>
    </row>
    <row r="530" spans="1:14">
      <c r="A530" s="16" t="s">
        <v>48</v>
      </c>
      <c r="C530" s="18" t="s">
        <v>2983</v>
      </c>
      <c r="D530" s="25">
        <f t="shared" si="8"/>
        <v>3</v>
      </c>
      <c r="E530" s="29">
        <f>'По платам'!C532*$E$1</f>
        <v>0</v>
      </c>
      <c r="F530" s="29">
        <f>'По платам'!D532*$F$1</f>
        <v>0</v>
      </c>
      <c r="G530" s="29">
        <f>'По платам'!E532*$G$1</f>
        <v>0</v>
      </c>
      <c r="H530" s="29">
        <f>'По платам'!F532*$H$1</f>
        <v>0</v>
      </c>
      <c r="I530" s="29">
        <f>'По платам'!G532*$I$1</f>
        <v>0</v>
      </c>
      <c r="J530" s="29">
        <f>'По платам'!H532*$J$1</f>
        <v>0</v>
      </c>
      <c r="K530" s="29">
        <f>'По платам'!I532*$K$1</f>
        <v>0</v>
      </c>
      <c r="L530" s="29">
        <f>'По платам'!J532*$L$1</f>
        <v>3</v>
      </c>
      <c r="M530" s="29">
        <f>'По платам'!K532*$M$1</f>
        <v>0</v>
      </c>
      <c r="N530" s="29">
        <f>'По платам'!L532*'Состав прибора'!$B$16</f>
        <v>0</v>
      </c>
    </row>
    <row r="531" spans="1:14">
      <c r="A531" s="16" t="s">
        <v>48</v>
      </c>
      <c r="C531" s="18" t="s">
        <v>2999</v>
      </c>
      <c r="D531" s="25">
        <f t="shared" si="8"/>
        <v>1</v>
      </c>
      <c r="E531" s="29">
        <f>'По платам'!C533*$E$1</f>
        <v>0</v>
      </c>
      <c r="F531" s="29">
        <f>'По платам'!D533*$F$1</f>
        <v>0</v>
      </c>
      <c r="G531" s="29">
        <f>'По платам'!E533*$G$1</f>
        <v>0</v>
      </c>
      <c r="H531" s="29">
        <f>'По платам'!F533*$H$1</f>
        <v>0</v>
      </c>
      <c r="I531" s="29">
        <f>'По платам'!G533*$I$1</f>
        <v>0</v>
      </c>
      <c r="J531" s="29">
        <f>'По платам'!H533*$J$1</f>
        <v>0</v>
      </c>
      <c r="K531" s="29">
        <f>'По платам'!I533*$K$1</f>
        <v>0</v>
      </c>
      <c r="L531" s="29">
        <f>'По платам'!J533*$L$1</f>
        <v>1</v>
      </c>
      <c r="M531" s="29">
        <f>'По платам'!K533*$M$1</f>
        <v>0</v>
      </c>
      <c r="N531" s="29">
        <f>'По платам'!L533*'Состав прибора'!$B$16</f>
        <v>0</v>
      </c>
    </row>
    <row r="532" spans="1:14">
      <c r="A532" s="16" t="s">
        <v>48</v>
      </c>
      <c r="C532" s="18" t="s">
        <v>432</v>
      </c>
      <c r="D532" s="25">
        <f t="shared" si="8"/>
        <v>27</v>
      </c>
      <c r="E532" s="29">
        <f>'По платам'!C534*$E$1</f>
        <v>0</v>
      </c>
      <c r="F532" s="29">
        <f>'По платам'!D534*$F$1</f>
        <v>0</v>
      </c>
      <c r="G532" s="29">
        <f>'По платам'!E534*$G$1</f>
        <v>0</v>
      </c>
      <c r="H532" s="29">
        <f>'По платам'!F534*$H$1</f>
        <v>0</v>
      </c>
      <c r="I532" s="29">
        <f>'По платам'!G534*$I$1</f>
        <v>8</v>
      </c>
      <c r="J532" s="29">
        <f>'По платам'!H534*$J$1</f>
        <v>0</v>
      </c>
      <c r="K532" s="29">
        <f>'По платам'!I534*$K$1</f>
        <v>10</v>
      </c>
      <c r="L532" s="29">
        <f>'По платам'!J534*$L$1</f>
        <v>9</v>
      </c>
      <c r="M532" s="29">
        <f>'По платам'!K534*$M$1</f>
        <v>0</v>
      </c>
      <c r="N532" s="29">
        <f>'По платам'!L534*'Состав прибора'!$B$16</f>
        <v>0</v>
      </c>
    </row>
    <row r="533" spans="1:14">
      <c r="A533" s="16" t="s">
        <v>48</v>
      </c>
      <c r="C533" s="18" t="s">
        <v>461</v>
      </c>
      <c r="D533" s="25">
        <f t="shared" si="8"/>
        <v>5</v>
      </c>
      <c r="E533" s="29">
        <f>'По платам'!C535*$E$1</f>
        <v>0</v>
      </c>
      <c r="F533" s="29">
        <f>'По платам'!D535*$F$1</f>
        <v>0</v>
      </c>
      <c r="G533" s="29">
        <f>'По платам'!E535*$G$1</f>
        <v>0</v>
      </c>
      <c r="H533" s="29">
        <f>'По платам'!F535*$H$1</f>
        <v>0</v>
      </c>
      <c r="I533" s="29">
        <f>'По платам'!G535*$I$1</f>
        <v>0</v>
      </c>
      <c r="J533" s="29">
        <f>'По платам'!H535*$J$1</f>
        <v>0</v>
      </c>
      <c r="K533" s="29">
        <f>'По платам'!I535*$K$1</f>
        <v>1</v>
      </c>
      <c r="L533" s="29">
        <f>'По платам'!J535*$L$1</f>
        <v>4</v>
      </c>
      <c r="M533" s="29">
        <f>'По платам'!K535*$M$1</f>
        <v>0</v>
      </c>
      <c r="N533" s="29">
        <f>'По платам'!L535*'Состав прибора'!$B$16</f>
        <v>0</v>
      </c>
    </row>
    <row r="534" spans="1:14">
      <c r="A534" s="16" t="s">
        <v>48</v>
      </c>
      <c r="C534" s="18" t="s">
        <v>853</v>
      </c>
      <c r="D534" s="25">
        <f t="shared" si="8"/>
        <v>5</v>
      </c>
      <c r="E534" s="29">
        <f>'По платам'!C536*$E$1</f>
        <v>0</v>
      </c>
      <c r="F534" s="29">
        <f>'По платам'!D536*$F$1</f>
        <v>0</v>
      </c>
      <c r="G534" s="29">
        <f>'По платам'!E536*$G$1</f>
        <v>0</v>
      </c>
      <c r="H534" s="29">
        <f>'По платам'!F536*$H$1</f>
        <v>0</v>
      </c>
      <c r="I534" s="29">
        <f>'По платам'!G536*$I$1</f>
        <v>0</v>
      </c>
      <c r="J534" s="29">
        <f>'По платам'!H536*$J$1</f>
        <v>0</v>
      </c>
      <c r="K534" s="29">
        <f>'По платам'!I536*$K$1</f>
        <v>5</v>
      </c>
      <c r="L534" s="29">
        <f>'По платам'!J536*$L$1</f>
        <v>0</v>
      </c>
      <c r="M534" s="29">
        <f>'По платам'!K536*$M$1</f>
        <v>0</v>
      </c>
      <c r="N534" s="29">
        <f>'По платам'!L536*'Состав прибора'!$B$16</f>
        <v>0</v>
      </c>
    </row>
    <row r="535" spans="1:14">
      <c r="A535" s="16" t="s">
        <v>48</v>
      </c>
      <c r="C535" s="18" t="s">
        <v>892</v>
      </c>
      <c r="D535" s="25">
        <f t="shared" si="8"/>
        <v>11</v>
      </c>
      <c r="E535" s="29">
        <f>'По платам'!C537*$E$1</f>
        <v>0</v>
      </c>
      <c r="F535" s="29">
        <f>'По платам'!D537*$F$1</f>
        <v>0</v>
      </c>
      <c r="G535" s="29">
        <f>'По платам'!E537*$G$1</f>
        <v>0</v>
      </c>
      <c r="H535" s="29">
        <f>'По платам'!F537*$H$1</f>
        <v>0</v>
      </c>
      <c r="I535" s="29">
        <f>'По платам'!G537*$I$1</f>
        <v>0</v>
      </c>
      <c r="J535" s="29">
        <f>'По платам'!H537*$J$1</f>
        <v>0</v>
      </c>
      <c r="K535" s="29">
        <f>'По платам'!I537*$K$1</f>
        <v>11</v>
      </c>
      <c r="L535" s="29">
        <f>'По платам'!J537*$L$1</f>
        <v>0</v>
      </c>
      <c r="M535" s="29">
        <f>'По платам'!K537*$M$1</f>
        <v>0</v>
      </c>
      <c r="N535" s="29">
        <f>'По платам'!L537*'Состав прибора'!$B$16</f>
        <v>0</v>
      </c>
    </row>
    <row r="536" spans="1:14">
      <c r="A536" s="16" t="s">
        <v>48</v>
      </c>
      <c r="C536" s="18" t="s">
        <v>470</v>
      </c>
      <c r="D536" s="25">
        <f t="shared" si="8"/>
        <v>20</v>
      </c>
      <c r="E536" s="29">
        <f>'По платам'!C538*$E$1</f>
        <v>0</v>
      </c>
      <c r="F536" s="29">
        <f>'По платам'!D538*$F$1</f>
        <v>0</v>
      </c>
      <c r="G536" s="29">
        <f>'По платам'!E538*$G$1</f>
        <v>0</v>
      </c>
      <c r="H536" s="29">
        <f>'По платам'!F538*$H$1</f>
        <v>0</v>
      </c>
      <c r="I536" s="29">
        <f>'По платам'!G538*$I$1</f>
        <v>0</v>
      </c>
      <c r="J536" s="29">
        <f>'По платам'!H538*$J$1</f>
        <v>0</v>
      </c>
      <c r="K536" s="29">
        <f>'По платам'!I538*$K$1</f>
        <v>17</v>
      </c>
      <c r="L536" s="29">
        <f>'По платам'!J538*$L$1</f>
        <v>3</v>
      </c>
      <c r="M536" s="29">
        <f>'По платам'!K538*$M$1</f>
        <v>0</v>
      </c>
      <c r="N536" s="29">
        <f>'По платам'!L538*'Состав прибора'!$B$16</f>
        <v>0</v>
      </c>
    </row>
    <row r="537" spans="1:14">
      <c r="A537" s="16" t="s">
        <v>48</v>
      </c>
      <c r="C537" s="18" t="s">
        <v>856</v>
      </c>
      <c r="D537" s="25">
        <f t="shared" si="8"/>
        <v>22</v>
      </c>
      <c r="E537" s="29">
        <f>'По платам'!C539*$E$1</f>
        <v>0</v>
      </c>
      <c r="F537" s="29">
        <f>'По платам'!D539*$F$1</f>
        <v>0</v>
      </c>
      <c r="G537" s="29">
        <f>'По платам'!E539*$G$1</f>
        <v>0</v>
      </c>
      <c r="H537" s="29">
        <f>'По платам'!F539*$H$1</f>
        <v>0</v>
      </c>
      <c r="I537" s="29">
        <f>'По платам'!G539*$I$1</f>
        <v>0</v>
      </c>
      <c r="J537" s="29">
        <f>'По платам'!H539*$J$1</f>
        <v>0</v>
      </c>
      <c r="K537" s="29">
        <f>'По платам'!I539*$K$1</f>
        <v>22</v>
      </c>
      <c r="L537" s="29">
        <f>'По платам'!J539*$L$1</f>
        <v>0</v>
      </c>
      <c r="M537" s="29">
        <f>'По платам'!K539*$M$1</f>
        <v>0</v>
      </c>
      <c r="N537" s="29">
        <f>'По платам'!L539*'Состав прибора'!$B$16</f>
        <v>0</v>
      </c>
    </row>
    <row r="538" spans="1:14">
      <c r="A538" s="16" t="s">
        <v>48</v>
      </c>
      <c r="C538" s="18" t="s">
        <v>2987</v>
      </c>
      <c r="D538" s="25">
        <f t="shared" si="8"/>
        <v>4</v>
      </c>
      <c r="E538" s="29">
        <f>'По платам'!C540*$E$1</f>
        <v>0</v>
      </c>
      <c r="F538" s="29">
        <f>'По платам'!D540*$F$1</f>
        <v>0</v>
      </c>
      <c r="G538" s="29">
        <f>'По платам'!E540*$G$1</f>
        <v>0</v>
      </c>
      <c r="H538" s="29">
        <f>'По платам'!F540*$H$1</f>
        <v>0</v>
      </c>
      <c r="I538" s="29">
        <f>'По платам'!G540*$I$1</f>
        <v>0</v>
      </c>
      <c r="J538" s="29">
        <f>'По платам'!H540*$J$1</f>
        <v>0</v>
      </c>
      <c r="K538" s="29">
        <f>'По платам'!I540*$K$1</f>
        <v>0</v>
      </c>
      <c r="L538" s="29">
        <f>'По платам'!J540*$L$1</f>
        <v>4</v>
      </c>
      <c r="M538" s="29">
        <f>'По платам'!K540*$M$1</f>
        <v>0</v>
      </c>
      <c r="N538" s="29">
        <f>'По платам'!L540*'Состав прибора'!$B$16</f>
        <v>0</v>
      </c>
    </row>
    <row r="539" spans="1:14">
      <c r="A539" s="16" t="s">
        <v>48</v>
      </c>
      <c r="C539" s="18" t="s">
        <v>481</v>
      </c>
      <c r="D539" s="25">
        <f t="shared" si="8"/>
        <v>27</v>
      </c>
      <c r="E539" s="29">
        <f>'По платам'!C541*$E$1</f>
        <v>0</v>
      </c>
      <c r="F539" s="29">
        <f>'По платам'!D541*$F$1</f>
        <v>0</v>
      </c>
      <c r="G539" s="29">
        <f>'По платам'!E541*$G$1</f>
        <v>0</v>
      </c>
      <c r="H539" s="29">
        <f>'По платам'!F541*$H$1</f>
        <v>0</v>
      </c>
      <c r="I539" s="29">
        <f>'По платам'!G541*$I$1</f>
        <v>13</v>
      </c>
      <c r="J539" s="29">
        <f>'По платам'!H541*$J$1</f>
        <v>0</v>
      </c>
      <c r="K539" s="29">
        <f>'По платам'!I541*$K$1</f>
        <v>5</v>
      </c>
      <c r="L539" s="29">
        <f>'По платам'!J541*$L$1</f>
        <v>9</v>
      </c>
      <c r="M539" s="29">
        <f>'По платам'!K541*$M$1</f>
        <v>0</v>
      </c>
      <c r="N539" s="29">
        <f>'По платам'!L541*'Состав прибора'!$B$16</f>
        <v>0</v>
      </c>
    </row>
    <row r="540" spans="1:14">
      <c r="A540" s="16" t="s">
        <v>48</v>
      </c>
      <c r="C540" s="18" t="s">
        <v>458</v>
      </c>
      <c r="D540" s="25">
        <f t="shared" si="8"/>
        <v>2</v>
      </c>
      <c r="E540" s="29">
        <f>'По платам'!C542*$E$1</f>
        <v>0</v>
      </c>
      <c r="F540" s="29">
        <f>'По платам'!D542*$F$1</f>
        <v>0</v>
      </c>
      <c r="G540" s="29">
        <f>'По платам'!E542*$G$1</f>
        <v>0</v>
      </c>
      <c r="H540" s="29">
        <f>'По платам'!F542*$H$1</f>
        <v>0</v>
      </c>
      <c r="I540" s="29">
        <f>'По платам'!G542*$I$1</f>
        <v>0</v>
      </c>
      <c r="J540" s="29">
        <f>'По платам'!H542*$J$1</f>
        <v>0</v>
      </c>
      <c r="K540" s="29">
        <f>'По платам'!I542*$K$1</f>
        <v>1</v>
      </c>
      <c r="L540" s="29">
        <f>'По платам'!J542*$L$1</f>
        <v>1</v>
      </c>
      <c r="M540" s="29">
        <f>'По платам'!K542*$M$1</f>
        <v>0</v>
      </c>
      <c r="N540" s="29">
        <f>'По платам'!L542*'Состав прибора'!$B$16</f>
        <v>0</v>
      </c>
    </row>
    <row r="541" spans="1:14">
      <c r="A541" s="16" t="s">
        <v>48</v>
      </c>
      <c r="C541" s="18" t="s">
        <v>931</v>
      </c>
      <c r="D541" s="25">
        <f t="shared" si="8"/>
        <v>1</v>
      </c>
      <c r="E541" s="29">
        <f>'По платам'!C543*$E$1</f>
        <v>0</v>
      </c>
      <c r="F541" s="29">
        <f>'По платам'!D543*$F$1</f>
        <v>0</v>
      </c>
      <c r="G541" s="29">
        <f>'По платам'!E543*$G$1</f>
        <v>0</v>
      </c>
      <c r="H541" s="29">
        <f>'По платам'!F543*$H$1</f>
        <v>0</v>
      </c>
      <c r="I541" s="29">
        <f>'По платам'!G543*$I$1</f>
        <v>0</v>
      </c>
      <c r="J541" s="29">
        <f>'По платам'!H543*$J$1</f>
        <v>0</v>
      </c>
      <c r="K541" s="29">
        <f>'По платам'!I543*$K$1</f>
        <v>1</v>
      </c>
      <c r="L541" s="29">
        <f>'По платам'!J543*$L$1</f>
        <v>0</v>
      </c>
      <c r="M541" s="29">
        <f>'По платам'!K543*$M$1</f>
        <v>0</v>
      </c>
      <c r="N541" s="29">
        <f>'По платам'!L543*'Состав прибора'!$B$16</f>
        <v>0</v>
      </c>
    </row>
    <row r="542" spans="1:14">
      <c r="A542" s="16" t="s">
        <v>48</v>
      </c>
      <c r="C542" s="18" t="s">
        <v>1012</v>
      </c>
      <c r="D542" s="25">
        <f t="shared" si="8"/>
        <v>1</v>
      </c>
      <c r="E542" s="29">
        <f>'По платам'!C544*$E$1</f>
        <v>0</v>
      </c>
      <c r="F542" s="29">
        <f>'По платам'!D544*$F$1</f>
        <v>0</v>
      </c>
      <c r="G542" s="29">
        <f>'По платам'!E544*$G$1</f>
        <v>0</v>
      </c>
      <c r="H542" s="29">
        <f>'По платам'!F544*$H$1</f>
        <v>0</v>
      </c>
      <c r="I542" s="29">
        <f>'По платам'!G544*$I$1</f>
        <v>0</v>
      </c>
      <c r="J542" s="29">
        <f>'По платам'!H544*$J$1</f>
        <v>0</v>
      </c>
      <c r="K542" s="29">
        <f>'По платам'!I544*$K$1</f>
        <v>1</v>
      </c>
      <c r="L542" s="29">
        <f>'По платам'!J544*$L$1</f>
        <v>0</v>
      </c>
      <c r="M542" s="29">
        <f>'По платам'!K544*$M$1</f>
        <v>0</v>
      </c>
      <c r="N542" s="29">
        <f>'По платам'!L544*'Состав прибора'!$B$16</f>
        <v>0</v>
      </c>
    </row>
    <row r="543" spans="1:14">
      <c r="A543" s="16" t="s">
        <v>48</v>
      </c>
      <c r="C543" s="18" t="s">
        <v>878</v>
      </c>
      <c r="D543" s="25">
        <f t="shared" si="8"/>
        <v>2</v>
      </c>
      <c r="E543" s="29">
        <f>'По платам'!C545*$E$1</f>
        <v>0</v>
      </c>
      <c r="F543" s="29">
        <f>'По платам'!D545*$F$1</f>
        <v>0</v>
      </c>
      <c r="G543" s="29">
        <f>'По платам'!E545*$G$1</f>
        <v>0</v>
      </c>
      <c r="H543" s="29">
        <f>'По платам'!F545*$H$1</f>
        <v>0</v>
      </c>
      <c r="I543" s="29">
        <f>'По платам'!G545*$I$1</f>
        <v>0</v>
      </c>
      <c r="J543" s="29">
        <f>'По платам'!H545*$J$1</f>
        <v>0</v>
      </c>
      <c r="K543" s="29">
        <f>'По платам'!I545*$K$1</f>
        <v>2</v>
      </c>
      <c r="L543" s="29">
        <f>'По платам'!J545*$L$1</f>
        <v>0</v>
      </c>
      <c r="M543" s="29">
        <f>'По платам'!K545*$M$1</f>
        <v>0</v>
      </c>
      <c r="N543" s="29">
        <f>'По платам'!L545*'Состав прибора'!$B$16</f>
        <v>0</v>
      </c>
    </row>
    <row r="544" spans="1:14">
      <c r="A544" s="16" t="s">
        <v>48</v>
      </c>
      <c r="C544" s="18" t="s">
        <v>421</v>
      </c>
      <c r="D544" s="25">
        <f t="shared" si="8"/>
        <v>4</v>
      </c>
      <c r="E544" s="29">
        <f>'По платам'!C546*$E$1</f>
        <v>0</v>
      </c>
      <c r="F544" s="29">
        <f>'По платам'!D546*$F$1</f>
        <v>0</v>
      </c>
      <c r="G544" s="29">
        <f>'По платам'!E546*$G$1</f>
        <v>0</v>
      </c>
      <c r="H544" s="29">
        <f>'По платам'!F546*$H$1</f>
        <v>0</v>
      </c>
      <c r="I544" s="29">
        <f>'По платам'!G546*$I$1</f>
        <v>2</v>
      </c>
      <c r="J544" s="29">
        <f>'По платам'!H546*$J$1</f>
        <v>0</v>
      </c>
      <c r="K544" s="29">
        <f>'По платам'!I546*$K$1</f>
        <v>0</v>
      </c>
      <c r="L544" s="29">
        <f>'По платам'!J546*$L$1</f>
        <v>2</v>
      </c>
      <c r="M544" s="29">
        <f>'По платам'!K546*$M$1</f>
        <v>0</v>
      </c>
      <c r="N544" s="29">
        <f>'По платам'!L546*'Состав прибора'!$B$16</f>
        <v>0</v>
      </c>
    </row>
    <row r="545" spans="1:14">
      <c r="A545" s="16" t="s">
        <v>48</v>
      </c>
      <c r="C545" s="18" t="s">
        <v>2977</v>
      </c>
      <c r="D545" s="25">
        <f t="shared" si="8"/>
        <v>2</v>
      </c>
      <c r="E545" s="29">
        <f>'По платам'!C547*$E$1</f>
        <v>0</v>
      </c>
      <c r="F545" s="29">
        <f>'По платам'!D547*$F$1</f>
        <v>0</v>
      </c>
      <c r="G545" s="29">
        <f>'По платам'!E547*$G$1</f>
        <v>0</v>
      </c>
      <c r="H545" s="29">
        <f>'По платам'!F547*$H$1</f>
        <v>0</v>
      </c>
      <c r="I545" s="29">
        <f>'По платам'!G547*$I$1</f>
        <v>0</v>
      </c>
      <c r="J545" s="29">
        <f>'По платам'!H547*$J$1</f>
        <v>0</v>
      </c>
      <c r="K545" s="29">
        <f>'По платам'!I547*$K$1</f>
        <v>0</v>
      </c>
      <c r="L545" s="29">
        <f>'По платам'!J547*$L$1</f>
        <v>2</v>
      </c>
      <c r="M545" s="29">
        <f>'По платам'!K547*$M$1</f>
        <v>0</v>
      </c>
      <c r="N545" s="29">
        <f>'По платам'!L547*'Состав прибора'!$B$16</f>
        <v>0</v>
      </c>
    </row>
    <row r="546" spans="1:14">
      <c r="A546" s="16" t="s">
        <v>48</v>
      </c>
      <c r="C546" s="18" t="s">
        <v>441</v>
      </c>
      <c r="D546" s="25">
        <f t="shared" si="8"/>
        <v>31</v>
      </c>
      <c r="E546" s="29">
        <f>'По платам'!C548*$E$1</f>
        <v>0</v>
      </c>
      <c r="F546" s="29">
        <f>'По платам'!D548*$F$1</f>
        <v>0</v>
      </c>
      <c r="G546" s="29">
        <f>'По платам'!E548*$G$1</f>
        <v>0</v>
      </c>
      <c r="H546" s="29">
        <f>'По платам'!F548*$H$1</f>
        <v>0</v>
      </c>
      <c r="I546" s="29">
        <f>'По платам'!G548*$I$1</f>
        <v>0</v>
      </c>
      <c r="J546" s="29">
        <f>'По платам'!H548*$J$1</f>
        <v>0</v>
      </c>
      <c r="K546" s="29">
        <f>'По платам'!I548*$K$1</f>
        <v>16</v>
      </c>
      <c r="L546" s="29">
        <f>'По платам'!J548*$L$1</f>
        <v>15</v>
      </c>
      <c r="M546" s="29">
        <f>'По платам'!K548*$M$1</f>
        <v>0</v>
      </c>
      <c r="N546" s="29">
        <f>'По платам'!L548*'Состав прибора'!$B$16</f>
        <v>0</v>
      </c>
    </row>
    <row r="547" spans="1:14">
      <c r="A547" s="16" t="s">
        <v>48</v>
      </c>
      <c r="C547" s="18" t="s">
        <v>861</v>
      </c>
      <c r="D547" s="25">
        <f t="shared" si="8"/>
        <v>5</v>
      </c>
      <c r="E547" s="29">
        <f>'По платам'!C549*$E$1</f>
        <v>0</v>
      </c>
      <c r="F547" s="29">
        <f>'По платам'!D549*$F$1</f>
        <v>0</v>
      </c>
      <c r="G547" s="29">
        <f>'По платам'!E549*$G$1</f>
        <v>0</v>
      </c>
      <c r="H547" s="29">
        <f>'По платам'!F549*$H$1</f>
        <v>0</v>
      </c>
      <c r="I547" s="29">
        <f>'По платам'!G549*$I$1</f>
        <v>0</v>
      </c>
      <c r="J547" s="29">
        <f>'По платам'!H549*$J$1</f>
        <v>0</v>
      </c>
      <c r="K547" s="29">
        <f>'По платам'!I549*$K$1</f>
        <v>5</v>
      </c>
      <c r="L547" s="29">
        <f>'По платам'!J549*$L$1</f>
        <v>0</v>
      </c>
      <c r="M547" s="29">
        <f>'По платам'!K549*$M$1</f>
        <v>0</v>
      </c>
      <c r="N547" s="29">
        <f>'По платам'!L549*'Состав прибора'!$B$16</f>
        <v>0</v>
      </c>
    </row>
    <row r="548" spans="1:14">
      <c r="A548" s="16" t="s">
        <v>48</v>
      </c>
      <c r="C548" s="18" t="s">
        <v>2981</v>
      </c>
      <c r="D548" s="25">
        <f t="shared" si="8"/>
        <v>3</v>
      </c>
      <c r="E548" s="29">
        <f>'По платам'!C550*$E$1</f>
        <v>0</v>
      </c>
      <c r="F548" s="29">
        <f>'По платам'!D550*$F$1</f>
        <v>0</v>
      </c>
      <c r="G548" s="29">
        <f>'По платам'!E550*$G$1</f>
        <v>0</v>
      </c>
      <c r="H548" s="29">
        <f>'По платам'!F550*$H$1</f>
        <v>0</v>
      </c>
      <c r="I548" s="29">
        <f>'По платам'!G550*$I$1</f>
        <v>0</v>
      </c>
      <c r="J548" s="29">
        <f>'По платам'!H550*$J$1</f>
        <v>0</v>
      </c>
      <c r="K548" s="29">
        <f>'По платам'!I550*$K$1</f>
        <v>0</v>
      </c>
      <c r="L548" s="29">
        <f>'По платам'!J550*$L$1</f>
        <v>3</v>
      </c>
      <c r="M548" s="29">
        <f>'По платам'!K550*$M$1</f>
        <v>0</v>
      </c>
      <c r="N548" s="29">
        <f>'По платам'!L550*'Состав прибора'!$B$16</f>
        <v>0</v>
      </c>
    </row>
    <row r="549" spans="1:14">
      <c r="A549" s="16" t="s">
        <v>48</v>
      </c>
      <c r="C549" s="18" t="s">
        <v>2991</v>
      </c>
      <c r="D549" s="25">
        <f t="shared" si="8"/>
        <v>2</v>
      </c>
      <c r="E549" s="29">
        <f>'По платам'!C551*$E$1</f>
        <v>0</v>
      </c>
      <c r="F549" s="29">
        <f>'По платам'!D551*$F$1</f>
        <v>0</v>
      </c>
      <c r="G549" s="29">
        <f>'По платам'!E551*$G$1</f>
        <v>0</v>
      </c>
      <c r="H549" s="29">
        <f>'По платам'!F551*$H$1</f>
        <v>0</v>
      </c>
      <c r="I549" s="29">
        <f>'По платам'!G551*$I$1</f>
        <v>0</v>
      </c>
      <c r="J549" s="29">
        <f>'По платам'!H551*$J$1</f>
        <v>0</v>
      </c>
      <c r="K549" s="29">
        <f>'По платам'!I551*$K$1</f>
        <v>0</v>
      </c>
      <c r="L549" s="29">
        <f>'По платам'!J551*$L$1</f>
        <v>2</v>
      </c>
      <c r="M549" s="29">
        <f>'По платам'!K551*$M$1</f>
        <v>0</v>
      </c>
      <c r="N549" s="29">
        <f>'По платам'!L551*'Состав прибора'!$B$16</f>
        <v>0</v>
      </c>
    </row>
    <row r="550" spans="1:14">
      <c r="A550" s="16" t="s">
        <v>48</v>
      </c>
      <c r="C550" s="18" t="s">
        <v>2408</v>
      </c>
      <c r="D550" s="25">
        <f t="shared" si="8"/>
        <v>0</v>
      </c>
      <c r="E550" s="29">
        <f>'По платам'!C552*$E$1</f>
        <v>0</v>
      </c>
      <c r="F550" s="29">
        <f>'По платам'!D552*$F$1</f>
        <v>0</v>
      </c>
      <c r="G550" s="29">
        <f>'По платам'!E552*$G$1</f>
        <v>0</v>
      </c>
      <c r="H550" s="29">
        <f>'По платам'!F552*$H$1</f>
        <v>0</v>
      </c>
      <c r="I550" s="29">
        <f>'По платам'!G552*$I$1</f>
        <v>0</v>
      </c>
      <c r="J550" s="29">
        <f>'По платам'!H552*$J$1</f>
        <v>0</v>
      </c>
      <c r="K550" s="29">
        <f>'По платам'!I552*$K$1</f>
        <v>0</v>
      </c>
      <c r="L550" s="29">
        <f>'По платам'!J552*$L$1</f>
        <v>0</v>
      </c>
      <c r="M550" s="29">
        <f>'По платам'!K552*$M$1</f>
        <v>0</v>
      </c>
      <c r="N550" s="29">
        <f>'По платам'!L552*'Состав прибора'!$B$16</f>
        <v>0</v>
      </c>
    </row>
    <row r="551" spans="1:14">
      <c r="A551" s="16" t="s">
        <v>48</v>
      </c>
      <c r="C551" s="18" t="s">
        <v>2385</v>
      </c>
      <c r="D551" s="25">
        <f t="shared" si="8"/>
        <v>0</v>
      </c>
      <c r="E551" s="29">
        <f>'По платам'!C553*$E$1</f>
        <v>0</v>
      </c>
      <c r="F551" s="29">
        <f>'По платам'!D553*$F$1</f>
        <v>0</v>
      </c>
      <c r="G551" s="29">
        <f>'По платам'!E553*$G$1</f>
        <v>0</v>
      </c>
      <c r="H551" s="29">
        <f>'По платам'!F553*$H$1</f>
        <v>0</v>
      </c>
      <c r="I551" s="29">
        <f>'По платам'!G553*$I$1</f>
        <v>0</v>
      </c>
      <c r="J551" s="29">
        <f>'По платам'!H553*$J$1</f>
        <v>0</v>
      </c>
      <c r="K551" s="29">
        <f>'По платам'!I553*$K$1</f>
        <v>0</v>
      </c>
      <c r="L551" s="29">
        <f>'По платам'!J553*$L$1</f>
        <v>0</v>
      </c>
      <c r="M551" s="29">
        <f>'По платам'!K553*$M$1</f>
        <v>0</v>
      </c>
      <c r="N551" s="29">
        <f>'По платам'!L553*'Состав прибора'!$B$16</f>
        <v>0</v>
      </c>
    </row>
    <row r="552" spans="1:14">
      <c r="A552" s="16" t="s">
        <v>48</v>
      </c>
      <c r="C552" s="18" t="s">
        <v>447</v>
      </c>
      <c r="D552" s="25">
        <f t="shared" si="8"/>
        <v>3</v>
      </c>
      <c r="E552" s="29">
        <f>'По платам'!C554*$E$1</f>
        <v>0</v>
      </c>
      <c r="F552" s="29">
        <f>'По платам'!D554*$F$1</f>
        <v>0</v>
      </c>
      <c r="G552" s="29">
        <f>'По платам'!E554*$G$1</f>
        <v>0</v>
      </c>
      <c r="H552" s="29">
        <f>'По платам'!F554*$H$1</f>
        <v>0</v>
      </c>
      <c r="I552" s="29">
        <f>'По платам'!G554*$I$1</f>
        <v>0</v>
      </c>
      <c r="J552" s="29">
        <f>'По платам'!H554*$J$1</f>
        <v>0</v>
      </c>
      <c r="K552" s="29">
        <f>'По платам'!I554*$K$1</f>
        <v>2</v>
      </c>
      <c r="L552" s="29">
        <f>'По платам'!J554*$L$1</f>
        <v>1</v>
      </c>
      <c r="M552" s="29">
        <f>'По платам'!K554*$M$1</f>
        <v>0</v>
      </c>
      <c r="N552" s="29">
        <f>'По платам'!L554*'Состав прибора'!$B$16</f>
        <v>0</v>
      </c>
    </row>
    <row r="553" spans="1:14">
      <c r="A553" s="16" t="s">
        <v>48</v>
      </c>
      <c r="C553" s="18" t="s">
        <v>424</v>
      </c>
      <c r="D553" s="25">
        <f t="shared" si="8"/>
        <v>18</v>
      </c>
      <c r="E553" s="29">
        <f>'По платам'!C555*$E$1</f>
        <v>0</v>
      </c>
      <c r="F553" s="29">
        <f>'По платам'!D555*$F$1</f>
        <v>0</v>
      </c>
      <c r="G553" s="29">
        <f>'По платам'!E555*$G$1</f>
        <v>0</v>
      </c>
      <c r="H553" s="29">
        <f>'По платам'!F555*$H$1</f>
        <v>0</v>
      </c>
      <c r="I553" s="29">
        <f>'По платам'!G555*$I$1</f>
        <v>0</v>
      </c>
      <c r="J553" s="29">
        <f>'По платам'!H555*$J$1</f>
        <v>0</v>
      </c>
      <c r="K553" s="29">
        <f>'По платам'!I555*$K$1</f>
        <v>15</v>
      </c>
      <c r="L553" s="29">
        <f>'По платам'!J555*$L$1</f>
        <v>3</v>
      </c>
      <c r="M553" s="29">
        <f>'По платам'!K555*$M$1</f>
        <v>0</v>
      </c>
      <c r="N553" s="29">
        <f>'По платам'!L555*'Состав прибора'!$B$16</f>
        <v>0</v>
      </c>
    </row>
    <row r="554" spans="1:14">
      <c r="A554" s="16" t="s">
        <v>48</v>
      </c>
      <c r="C554" s="18" t="s">
        <v>487</v>
      </c>
      <c r="D554" s="25">
        <f t="shared" si="8"/>
        <v>6</v>
      </c>
      <c r="E554" s="29">
        <f>'По платам'!C556*$E$1</f>
        <v>0</v>
      </c>
      <c r="F554" s="29">
        <f>'По платам'!D556*$F$1</f>
        <v>0</v>
      </c>
      <c r="G554" s="29">
        <f>'По платам'!E556*$G$1</f>
        <v>0</v>
      </c>
      <c r="H554" s="29">
        <f>'По платам'!F556*$H$1</f>
        <v>0</v>
      </c>
      <c r="I554" s="29">
        <f>'По платам'!G556*$I$1</f>
        <v>4</v>
      </c>
      <c r="J554" s="29">
        <f>'По платам'!H556*$J$1</f>
        <v>0</v>
      </c>
      <c r="K554" s="29">
        <f>'По платам'!I556*$K$1</f>
        <v>0</v>
      </c>
      <c r="L554" s="29">
        <f>'По платам'!J556*$L$1</f>
        <v>2</v>
      </c>
      <c r="M554" s="29">
        <f>'По платам'!K556*$M$1</f>
        <v>0</v>
      </c>
      <c r="N554" s="29">
        <f>'По платам'!L556*'Состав прибора'!$B$16</f>
        <v>0</v>
      </c>
    </row>
    <row r="555" spans="1:14">
      <c r="A555" s="16" t="s">
        <v>48</v>
      </c>
      <c r="C555" s="18" t="s">
        <v>2370</v>
      </c>
      <c r="D555" s="25">
        <f t="shared" si="8"/>
        <v>0</v>
      </c>
      <c r="E555" s="29">
        <f>'По платам'!C557*$E$1</f>
        <v>0</v>
      </c>
      <c r="F555" s="29">
        <f>'По платам'!D557*$F$1</f>
        <v>0</v>
      </c>
      <c r="G555" s="29">
        <f>'По платам'!E557*$G$1</f>
        <v>0</v>
      </c>
      <c r="H555" s="29">
        <f>'По платам'!F557*$H$1</f>
        <v>0</v>
      </c>
      <c r="I555" s="29">
        <f>'По платам'!G557*$I$1</f>
        <v>0</v>
      </c>
      <c r="J555" s="29">
        <f>'По платам'!H557*$J$1</f>
        <v>0</v>
      </c>
      <c r="K555" s="29">
        <f>'По платам'!I557*$K$1</f>
        <v>0</v>
      </c>
      <c r="L555" s="29">
        <f>'По платам'!J557*$L$1</f>
        <v>0</v>
      </c>
      <c r="M555" s="29">
        <f>'По платам'!K557*$M$1</f>
        <v>0</v>
      </c>
      <c r="N555" s="29">
        <f>'По платам'!L557*'Состав прибора'!$B$16</f>
        <v>0</v>
      </c>
    </row>
    <row r="556" spans="1:14">
      <c r="A556" s="16" t="s">
        <v>48</v>
      </c>
      <c r="C556" s="18" t="s">
        <v>2374</v>
      </c>
      <c r="D556" s="25">
        <f t="shared" si="8"/>
        <v>0</v>
      </c>
      <c r="E556" s="29">
        <f>'По платам'!C558*$E$1</f>
        <v>0</v>
      </c>
      <c r="F556" s="29">
        <f>'По платам'!D558*$F$1</f>
        <v>0</v>
      </c>
      <c r="G556" s="29">
        <f>'По платам'!E558*$G$1</f>
        <v>0</v>
      </c>
      <c r="H556" s="29">
        <f>'По платам'!F558*$H$1</f>
        <v>0</v>
      </c>
      <c r="I556" s="29">
        <f>'По платам'!G558*$I$1</f>
        <v>0</v>
      </c>
      <c r="J556" s="29">
        <f>'По платам'!H558*$J$1</f>
        <v>0</v>
      </c>
      <c r="K556" s="29">
        <f>'По платам'!I558*$K$1</f>
        <v>0</v>
      </c>
      <c r="L556" s="29">
        <f>'По платам'!J558*$L$1</f>
        <v>0</v>
      </c>
      <c r="M556" s="29">
        <f>'По платам'!K558*$M$1</f>
        <v>0</v>
      </c>
      <c r="N556" s="29">
        <f>'По платам'!L558*'Состав прибора'!$B$16</f>
        <v>0</v>
      </c>
    </row>
    <row r="557" spans="1:14">
      <c r="A557" s="16" t="s">
        <v>48</v>
      </c>
      <c r="C557" s="18" t="s">
        <v>837</v>
      </c>
      <c r="D557" s="25">
        <f t="shared" si="8"/>
        <v>2</v>
      </c>
      <c r="E557" s="29">
        <f>'По платам'!C559*$E$1</f>
        <v>0</v>
      </c>
      <c r="F557" s="29">
        <f>'По платам'!D559*$F$1</f>
        <v>0</v>
      </c>
      <c r="G557" s="29">
        <f>'По платам'!E559*$G$1</f>
        <v>0</v>
      </c>
      <c r="H557" s="29">
        <f>'По платам'!F559*$H$1</f>
        <v>0</v>
      </c>
      <c r="I557" s="29">
        <f>'По платам'!G559*$I$1</f>
        <v>0</v>
      </c>
      <c r="J557" s="29">
        <f>'По платам'!H559*$J$1</f>
        <v>0</v>
      </c>
      <c r="K557" s="29">
        <f>'По платам'!I559*$K$1</f>
        <v>2</v>
      </c>
      <c r="L557" s="29">
        <f>'По платам'!J559*$L$1</f>
        <v>0</v>
      </c>
      <c r="M557" s="29">
        <f>'По платам'!K559*$M$1</f>
        <v>0</v>
      </c>
      <c r="N557" s="29">
        <f>'По платам'!L559*'Состав прибора'!$B$16</f>
        <v>0</v>
      </c>
    </row>
    <row r="558" spans="1:14">
      <c r="A558" s="16" t="s">
        <v>48</v>
      </c>
      <c r="C558" s="18" t="s">
        <v>2426</v>
      </c>
      <c r="D558" s="25">
        <f t="shared" si="8"/>
        <v>0</v>
      </c>
      <c r="E558" s="29">
        <f>'По платам'!C560*$E$1</f>
        <v>0</v>
      </c>
      <c r="F558" s="29">
        <f>'По платам'!D560*$F$1</f>
        <v>0</v>
      </c>
      <c r="G558" s="29">
        <f>'По платам'!E560*$G$1</f>
        <v>0</v>
      </c>
      <c r="H558" s="29">
        <f>'По платам'!F560*$H$1</f>
        <v>0</v>
      </c>
      <c r="I558" s="29">
        <f>'По платам'!G560*$I$1</f>
        <v>0</v>
      </c>
      <c r="J558" s="29">
        <f>'По платам'!H560*$J$1</f>
        <v>0</v>
      </c>
      <c r="K558" s="29">
        <f>'По платам'!I560*$K$1</f>
        <v>0</v>
      </c>
      <c r="L558" s="29">
        <f>'По платам'!J560*$L$1</f>
        <v>0</v>
      </c>
      <c r="M558" s="29">
        <f>'По платам'!K560*$M$1</f>
        <v>0</v>
      </c>
      <c r="N558" s="29">
        <f>'По платам'!L560*'Состав прибора'!$B$16</f>
        <v>0</v>
      </c>
    </row>
    <row r="559" spans="1:14">
      <c r="A559" s="16" t="s">
        <v>48</v>
      </c>
      <c r="C559" s="18" t="s">
        <v>473</v>
      </c>
      <c r="D559" s="25">
        <f t="shared" si="8"/>
        <v>5</v>
      </c>
      <c r="E559" s="29">
        <f>'По платам'!C561*$E$1</f>
        <v>0</v>
      </c>
      <c r="F559" s="29">
        <f>'По платам'!D561*$F$1</f>
        <v>0</v>
      </c>
      <c r="G559" s="29">
        <f>'По платам'!E561*$G$1</f>
        <v>0</v>
      </c>
      <c r="H559" s="29">
        <f>'По платам'!F561*$H$1</f>
        <v>0</v>
      </c>
      <c r="I559" s="29">
        <f>'По платам'!G561*$I$1</f>
        <v>0</v>
      </c>
      <c r="J559" s="29">
        <f>'По платам'!H561*$J$1</f>
        <v>0</v>
      </c>
      <c r="K559" s="29">
        <f>'По платам'!I561*$K$1</f>
        <v>2</v>
      </c>
      <c r="L559" s="29">
        <f>'По платам'!J561*$L$1</f>
        <v>3</v>
      </c>
      <c r="M559" s="29">
        <f>'По платам'!K561*$M$1</f>
        <v>0</v>
      </c>
      <c r="N559" s="29">
        <f>'По платам'!L561*'Состав прибора'!$B$16</f>
        <v>0</v>
      </c>
    </row>
    <row r="560" spans="1:14">
      <c r="A560" s="16" t="s">
        <v>48</v>
      </c>
      <c r="C560" s="18" t="s">
        <v>2422</v>
      </c>
      <c r="D560" s="25">
        <f t="shared" si="8"/>
        <v>0</v>
      </c>
      <c r="E560" s="29">
        <f>'По платам'!C562*$E$1</f>
        <v>0</v>
      </c>
      <c r="F560" s="29">
        <f>'По платам'!D562*$F$1</f>
        <v>0</v>
      </c>
      <c r="G560" s="29">
        <f>'По платам'!E562*$G$1</f>
        <v>0</v>
      </c>
      <c r="H560" s="29">
        <f>'По платам'!F562*$H$1</f>
        <v>0</v>
      </c>
      <c r="I560" s="29">
        <f>'По платам'!G562*$I$1</f>
        <v>0</v>
      </c>
      <c r="J560" s="29">
        <f>'По платам'!H562*$J$1</f>
        <v>0</v>
      </c>
      <c r="K560" s="29">
        <f>'По платам'!I562*$K$1</f>
        <v>0</v>
      </c>
      <c r="L560" s="29">
        <f>'По платам'!J562*$L$1</f>
        <v>0</v>
      </c>
      <c r="M560" s="29">
        <f>'По платам'!K562*$M$1</f>
        <v>0</v>
      </c>
      <c r="N560" s="29">
        <f>'По платам'!L562*'Состав прибора'!$B$16</f>
        <v>0</v>
      </c>
    </row>
    <row r="561" spans="1:14">
      <c r="A561" s="16" t="s">
        <v>48</v>
      </c>
      <c r="C561" s="18" t="s">
        <v>2398</v>
      </c>
      <c r="D561" s="25">
        <f t="shared" si="8"/>
        <v>0</v>
      </c>
      <c r="E561" s="29">
        <f>'По платам'!C563*$E$1</f>
        <v>0</v>
      </c>
      <c r="F561" s="29">
        <f>'По платам'!D563*$F$1</f>
        <v>0</v>
      </c>
      <c r="G561" s="29">
        <f>'По платам'!E563*$G$1</f>
        <v>0</v>
      </c>
      <c r="H561" s="29">
        <f>'По платам'!F563*$H$1</f>
        <v>0</v>
      </c>
      <c r="I561" s="29">
        <f>'По платам'!G563*$I$1</f>
        <v>0</v>
      </c>
      <c r="J561" s="29">
        <f>'По платам'!H563*$J$1</f>
        <v>0</v>
      </c>
      <c r="K561" s="29">
        <f>'По платам'!I563*$K$1</f>
        <v>0</v>
      </c>
      <c r="L561" s="29">
        <f>'По платам'!J563*$L$1</f>
        <v>0</v>
      </c>
      <c r="M561" s="29">
        <f>'По платам'!K563*$M$1</f>
        <v>0</v>
      </c>
      <c r="N561" s="29">
        <f>'По платам'!L563*'Состав прибора'!$B$16</f>
        <v>0</v>
      </c>
    </row>
    <row r="562" spans="1:14">
      <c r="A562" s="16" t="s">
        <v>48</v>
      </c>
      <c r="C562" s="18" t="s">
        <v>2391</v>
      </c>
      <c r="D562" s="25">
        <f t="shared" si="8"/>
        <v>0</v>
      </c>
      <c r="E562" s="29">
        <f>'По платам'!C564*$E$1</f>
        <v>0</v>
      </c>
      <c r="F562" s="29">
        <f>'По платам'!D564*$F$1</f>
        <v>0</v>
      </c>
      <c r="G562" s="29">
        <f>'По платам'!E564*$G$1</f>
        <v>0</v>
      </c>
      <c r="H562" s="29">
        <f>'По платам'!F564*$H$1</f>
        <v>0</v>
      </c>
      <c r="I562" s="29">
        <f>'По платам'!G564*$I$1</f>
        <v>0</v>
      </c>
      <c r="J562" s="29">
        <f>'По платам'!H564*$J$1</f>
        <v>0</v>
      </c>
      <c r="K562" s="29">
        <f>'По платам'!I564*$K$1</f>
        <v>0</v>
      </c>
      <c r="L562" s="29">
        <f>'По платам'!J564*$L$1</f>
        <v>0</v>
      </c>
      <c r="M562" s="29">
        <f>'По платам'!K564*$M$1</f>
        <v>0</v>
      </c>
      <c r="N562" s="29">
        <f>'По платам'!L564*'Состав прибора'!$B$16</f>
        <v>0</v>
      </c>
    </row>
    <row r="563" spans="1:14">
      <c r="A563" s="16" t="s">
        <v>48</v>
      </c>
      <c r="C563" s="18" t="s">
        <v>2440</v>
      </c>
      <c r="D563" s="25">
        <f t="shared" si="8"/>
        <v>0</v>
      </c>
      <c r="E563" s="29">
        <f>'По платам'!C565*$E$1</f>
        <v>0</v>
      </c>
      <c r="F563" s="29">
        <f>'По платам'!D565*$F$1</f>
        <v>0</v>
      </c>
      <c r="G563" s="29">
        <f>'По платам'!E565*$G$1</f>
        <v>0</v>
      </c>
      <c r="H563" s="29">
        <f>'По платам'!F565*$H$1</f>
        <v>0</v>
      </c>
      <c r="I563" s="29">
        <f>'По платам'!G565*$I$1</f>
        <v>0</v>
      </c>
      <c r="J563" s="29">
        <f>'По платам'!H565*$J$1</f>
        <v>0</v>
      </c>
      <c r="K563" s="29">
        <f>'По платам'!I565*$K$1</f>
        <v>0</v>
      </c>
      <c r="L563" s="29">
        <f>'По платам'!J565*$L$1</f>
        <v>0</v>
      </c>
      <c r="M563" s="29">
        <f>'По платам'!K565*$M$1</f>
        <v>0</v>
      </c>
      <c r="N563" s="29">
        <f>'По платам'!L565*'Состав прибора'!$B$16</f>
        <v>0</v>
      </c>
    </row>
    <row r="564" spans="1:14">
      <c r="A564" s="16" t="s">
        <v>48</v>
      </c>
      <c r="C564" s="18" t="s">
        <v>207</v>
      </c>
      <c r="D564" s="25">
        <f t="shared" si="8"/>
        <v>16</v>
      </c>
      <c r="E564" s="29">
        <f>'По платам'!C566*$E$1</f>
        <v>0</v>
      </c>
      <c r="F564" s="29">
        <f>'По платам'!D566*$F$1</f>
        <v>0</v>
      </c>
      <c r="G564" s="29">
        <f>'По платам'!E566*$G$1</f>
        <v>0</v>
      </c>
      <c r="H564" s="29">
        <f>'По платам'!F566*$H$1</f>
        <v>8</v>
      </c>
      <c r="I564" s="29">
        <f>'По платам'!G566*$I$1</f>
        <v>0</v>
      </c>
      <c r="J564" s="29">
        <f>'По платам'!H566*$J$1</f>
        <v>8</v>
      </c>
      <c r="K564" s="29">
        <f>'По платам'!I566*$K$1</f>
        <v>0</v>
      </c>
      <c r="L564" s="29">
        <f>'По платам'!J566*$L$1</f>
        <v>0</v>
      </c>
      <c r="M564" s="29">
        <f>'По платам'!K566*$M$1</f>
        <v>0</v>
      </c>
      <c r="N564" s="29">
        <f>'По платам'!L566*'Состав прибора'!$B$16</f>
        <v>0</v>
      </c>
    </row>
    <row r="565" spans="1:14">
      <c r="A565" s="16" t="s">
        <v>48</v>
      </c>
      <c r="C565" s="18" t="s">
        <v>915</v>
      </c>
      <c r="D565" s="25">
        <f t="shared" si="8"/>
        <v>4</v>
      </c>
      <c r="E565" s="29">
        <f>'По платам'!C567*$E$1</f>
        <v>0</v>
      </c>
      <c r="F565" s="29">
        <f>'По платам'!D567*$F$1</f>
        <v>0</v>
      </c>
      <c r="G565" s="29">
        <f>'По платам'!E567*$G$1</f>
        <v>0</v>
      </c>
      <c r="H565" s="29">
        <f>'По платам'!F567*$H$1</f>
        <v>0</v>
      </c>
      <c r="I565" s="29">
        <f>'По платам'!G567*$I$1</f>
        <v>0</v>
      </c>
      <c r="J565" s="29">
        <f>'По платам'!H567*$J$1</f>
        <v>0</v>
      </c>
      <c r="K565" s="29">
        <f>'По платам'!I567*$K$1</f>
        <v>4</v>
      </c>
      <c r="L565" s="29">
        <f>'По платам'!J567*$L$1</f>
        <v>0</v>
      </c>
      <c r="M565" s="29">
        <f>'По платам'!K567*$M$1</f>
        <v>0</v>
      </c>
      <c r="N565" s="29">
        <f>'По платам'!L567*'Состав прибора'!$B$16</f>
        <v>0</v>
      </c>
    </row>
    <row r="566" spans="1:14">
      <c r="A566" s="16" t="s">
        <v>48</v>
      </c>
      <c r="C566" s="18" t="s">
        <v>873</v>
      </c>
      <c r="D566" s="25">
        <f t="shared" si="8"/>
        <v>11</v>
      </c>
      <c r="E566" s="29">
        <f>'По платам'!C568*$E$1</f>
        <v>0</v>
      </c>
      <c r="F566" s="29">
        <f>'По платам'!D568*$F$1</f>
        <v>0</v>
      </c>
      <c r="G566" s="29">
        <f>'По платам'!E568*$G$1</f>
        <v>0</v>
      </c>
      <c r="H566" s="29">
        <f>'По платам'!F568*$H$1</f>
        <v>10</v>
      </c>
      <c r="I566" s="29">
        <f>'По платам'!G568*$I$1</f>
        <v>0</v>
      </c>
      <c r="J566" s="29">
        <f>'По платам'!H568*$J$1</f>
        <v>0</v>
      </c>
      <c r="K566" s="29">
        <f>'По платам'!I568*$K$1</f>
        <v>1</v>
      </c>
      <c r="L566" s="29">
        <f>'По платам'!J568*$L$1</f>
        <v>0</v>
      </c>
      <c r="M566" s="29">
        <f>'По платам'!K568*$M$1</f>
        <v>0</v>
      </c>
      <c r="N566" s="29">
        <f>'По платам'!L568*'Состав прибора'!$B$16</f>
        <v>0</v>
      </c>
    </row>
    <row r="567" spans="1:14">
      <c r="A567" s="16" t="s">
        <v>48</v>
      </c>
      <c r="C567" s="18" t="s">
        <v>1149</v>
      </c>
      <c r="D567" s="25">
        <f t="shared" si="8"/>
        <v>14</v>
      </c>
      <c r="E567" s="29">
        <f>'По платам'!C569*$E$1</f>
        <v>0</v>
      </c>
      <c r="F567" s="29">
        <f>'По платам'!D569*$F$1</f>
        <v>0</v>
      </c>
      <c r="G567" s="29">
        <f>'По платам'!E569*$G$1</f>
        <v>0</v>
      </c>
      <c r="H567" s="29">
        <f>'По платам'!F569*$H$1</f>
        <v>13</v>
      </c>
      <c r="I567" s="29">
        <f>'По платам'!G569*$I$1</f>
        <v>0</v>
      </c>
      <c r="J567" s="29">
        <f>'По платам'!H569*$J$1</f>
        <v>1</v>
      </c>
      <c r="K567" s="29">
        <f>'По платам'!I569*$K$1</f>
        <v>0</v>
      </c>
      <c r="L567" s="29">
        <f>'По платам'!J569*$L$1</f>
        <v>0</v>
      </c>
      <c r="M567" s="29">
        <f>'По платам'!K569*$M$1</f>
        <v>0</v>
      </c>
      <c r="N567" s="29">
        <f>'По платам'!L569*'Состав прибора'!$B$16</f>
        <v>0</v>
      </c>
    </row>
    <row r="568" spans="1:14">
      <c r="A568" s="16" t="s">
        <v>48</v>
      </c>
      <c r="C568" s="18" t="s">
        <v>2462</v>
      </c>
      <c r="D568" s="25">
        <f t="shared" si="8"/>
        <v>0</v>
      </c>
      <c r="E568" s="29">
        <f>'По платам'!C570*$E$1</f>
        <v>0</v>
      </c>
      <c r="F568" s="29">
        <f>'По платам'!D570*$F$1</f>
        <v>0</v>
      </c>
      <c r="G568" s="29">
        <f>'По платам'!E570*$G$1</f>
        <v>0</v>
      </c>
      <c r="H568" s="29">
        <f>'По платам'!F570*$H$1</f>
        <v>0</v>
      </c>
      <c r="I568" s="29">
        <f>'По платам'!G570*$I$1</f>
        <v>0</v>
      </c>
      <c r="J568" s="29">
        <f>'По платам'!H570*$J$1</f>
        <v>0</v>
      </c>
      <c r="K568" s="29">
        <f>'По платам'!I570*$K$1</f>
        <v>0</v>
      </c>
      <c r="L568" s="29">
        <f>'По платам'!J570*$L$1</f>
        <v>0</v>
      </c>
      <c r="M568" s="29">
        <f>'По платам'!K570*$M$1</f>
        <v>0</v>
      </c>
      <c r="N568" s="29">
        <f>'По платам'!L570*'Состав прибора'!$B$16</f>
        <v>0</v>
      </c>
    </row>
    <row r="569" spans="1:14">
      <c r="A569" s="16" t="s">
        <v>48</v>
      </c>
      <c r="C569" s="18" t="s">
        <v>2867</v>
      </c>
      <c r="D569" s="25">
        <f t="shared" si="8"/>
        <v>0</v>
      </c>
      <c r="E569" s="29">
        <f>'По платам'!C571*$E$1</f>
        <v>0</v>
      </c>
      <c r="F569" s="29">
        <f>'По платам'!D571*$F$1</f>
        <v>0</v>
      </c>
      <c r="G569" s="29">
        <f>'По платам'!E571*$G$1</f>
        <v>0</v>
      </c>
      <c r="H569" s="29">
        <f>'По платам'!F571*$H$1</f>
        <v>0</v>
      </c>
      <c r="I569" s="29">
        <f>'По платам'!G571*$I$1</f>
        <v>0</v>
      </c>
      <c r="J569" s="29">
        <f>'По платам'!H571*$J$1</f>
        <v>0</v>
      </c>
      <c r="K569" s="29">
        <f>'По платам'!I571*$K$1</f>
        <v>0</v>
      </c>
      <c r="L569" s="29">
        <f>'По платам'!J571*$L$1</f>
        <v>0</v>
      </c>
      <c r="M569" s="29">
        <f>'По платам'!K571*$M$1</f>
        <v>0</v>
      </c>
      <c r="N569" s="29">
        <f>'По платам'!L571*'Состав прибора'!$B$16</f>
        <v>0</v>
      </c>
    </row>
    <row r="570" spans="1:14">
      <c r="A570" s="16" t="s">
        <v>48</v>
      </c>
      <c r="C570" s="18" t="s">
        <v>2454</v>
      </c>
      <c r="D570" s="25">
        <f t="shared" si="8"/>
        <v>0</v>
      </c>
      <c r="E570" s="29">
        <f>'По платам'!C572*$E$1</f>
        <v>0</v>
      </c>
      <c r="F570" s="29">
        <f>'По платам'!D572*$F$1</f>
        <v>0</v>
      </c>
      <c r="G570" s="29">
        <f>'По платам'!E572*$G$1</f>
        <v>0</v>
      </c>
      <c r="H570" s="29">
        <f>'По платам'!F572*$H$1</f>
        <v>0</v>
      </c>
      <c r="I570" s="29">
        <f>'По платам'!G572*$I$1</f>
        <v>0</v>
      </c>
      <c r="J570" s="29">
        <f>'По платам'!H572*$J$1</f>
        <v>0</v>
      </c>
      <c r="K570" s="29">
        <f>'По платам'!I572*$K$1</f>
        <v>0</v>
      </c>
      <c r="L570" s="29">
        <f>'По платам'!J572*$L$1</f>
        <v>0</v>
      </c>
      <c r="M570" s="29">
        <f>'По платам'!K572*$M$1</f>
        <v>0</v>
      </c>
      <c r="N570" s="29">
        <f>'По платам'!L572*'Состав прибора'!$B$16</f>
        <v>0</v>
      </c>
    </row>
    <row r="571" spans="1:14">
      <c r="A571" s="16" t="s">
        <v>48</v>
      </c>
      <c r="C571" s="18" t="s">
        <v>2492</v>
      </c>
      <c r="D571" s="25">
        <f t="shared" si="8"/>
        <v>0</v>
      </c>
      <c r="E571" s="29">
        <f>'По платам'!C573*$E$1</f>
        <v>0</v>
      </c>
      <c r="F571" s="29">
        <f>'По платам'!D573*$F$1</f>
        <v>0</v>
      </c>
      <c r="G571" s="29">
        <f>'По платам'!E573*$G$1</f>
        <v>0</v>
      </c>
      <c r="H571" s="29">
        <f>'По платам'!F573*$H$1</f>
        <v>0</v>
      </c>
      <c r="I571" s="29">
        <f>'По платам'!G573*$I$1</f>
        <v>0</v>
      </c>
      <c r="J571" s="29">
        <f>'По платам'!H573*$J$1</f>
        <v>0</v>
      </c>
      <c r="K571" s="29">
        <f>'По платам'!I573*$K$1</f>
        <v>0</v>
      </c>
      <c r="L571" s="29">
        <f>'По платам'!J573*$L$1</f>
        <v>0</v>
      </c>
      <c r="M571" s="29">
        <f>'По платам'!K573*$M$1</f>
        <v>0</v>
      </c>
      <c r="N571" s="29">
        <f>'По платам'!L573*'Состав прибора'!$B$16</f>
        <v>0</v>
      </c>
    </row>
    <row r="572" spans="1:14">
      <c r="A572" s="16" t="s">
        <v>48</v>
      </c>
      <c r="C572" s="18" t="s">
        <v>1008</v>
      </c>
      <c r="D572" s="25">
        <f t="shared" si="8"/>
        <v>2</v>
      </c>
      <c r="E572" s="29">
        <f>'По платам'!C574*$E$1</f>
        <v>0</v>
      </c>
      <c r="F572" s="29">
        <f>'По платам'!D574*$F$1</f>
        <v>0</v>
      </c>
      <c r="G572" s="29">
        <f>'По платам'!E574*$G$1</f>
        <v>0</v>
      </c>
      <c r="H572" s="29">
        <f>'По платам'!F574*$H$1</f>
        <v>0</v>
      </c>
      <c r="I572" s="29">
        <f>'По платам'!G574*$I$1</f>
        <v>0</v>
      </c>
      <c r="J572" s="29">
        <f>'По платам'!H574*$J$1</f>
        <v>0</v>
      </c>
      <c r="K572" s="29">
        <f>'По платам'!I574*$K$1</f>
        <v>2</v>
      </c>
      <c r="L572" s="29">
        <f>'По платам'!J574*$L$1</f>
        <v>0</v>
      </c>
      <c r="M572" s="29">
        <f>'По платам'!K574*$M$1</f>
        <v>0</v>
      </c>
      <c r="N572" s="29">
        <f>'По платам'!L574*'Состав прибора'!$B$16</f>
        <v>0</v>
      </c>
    </row>
    <row r="573" spans="1:14">
      <c r="A573" s="16" t="s">
        <v>48</v>
      </c>
      <c r="C573" s="18" t="s">
        <v>2481</v>
      </c>
      <c r="D573" s="25">
        <f t="shared" si="8"/>
        <v>0</v>
      </c>
      <c r="E573" s="29">
        <f>'По платам'!C575*$E$1</f>
        <v>0</v>
      </c>
      <c r="F573" s="29">
        <f>'По платам'!D575*$F$1</f>
        <v>0</v>
      </c>
      <c r="G573" s="29">
        <f>'По платам'!E575*$G$1</f>
        <v>0</v>
      </c>
      <c r="H573" s="29">
        <f>'По платам'!F575*$H$1</f>
        <v>0</v>
      </c>
      <c r="I573" s="29">
        <f>'По платам'!G575*$I$1</f>
        <v>0</v>
      </c>
      <c r="J573" s="29">
        <f>'По платам'!H575*$J$1</f>
        <v>0</v>
      </c>
      <c r="K573" s="29">
        <f>'По платам'!I575*$K$1</f>
        <v>0</v>
      </c>
      <c r="L573" s="29">
        <f>'По платам'!J575*$L$1</f>
        <v>0</v>
      </c>
      <c r="M573" s="29">
        <f>'По платам'!K575*$M$1</f>
        <v>0</v>
      </c>
      <c r="N573" s="29">
        <f>'По платам'!L575*'Состав прибора'!$B$16</f>
        <v>0</v>
      </c>
    </row>
    <row r="574" spans="1:14">
      <c r="A574" s="16" t="s">
        <v>48</v>
      </c>
      <c r="C574" s="18" t="s">
        <v>2554</v>
      </c>
      <c r="D574" s="25">
        <f t="shared" si="8"/>
        <v>0</v>
      </c>
      <c r="E574" s="29">
        <f>'По платам'!C576*$E$1</f>
        <v>0</v>
      </c>
      <c r="F574" s="29">
        <f>'По платам'!D576*$F$1</f>
        <v>0</v>
      </c>
      <c r="G574" s="29">
        <f>'По платам'!E576*$G$1</f>
        <v>0</v>
      </c>
      <c r="H574" s="29">
        <f>'По платам'!F576*$H$1</f>
        <v>0</v>
      </c>
      <c r="I574" s="29">
        <f>'По платам'!G576*$I$1</f>
        <v>0</v>
      </c>
      <c r="J574" s="29">
        <f>'По платам'!H576*$J$1</f>
        <v>0</v>
      </c>
      <c r="K574" s="29">
        <f>'По платам'!I576*$K$1</f>
        <v>0</v>
      </c>
      <c r="L574" s="29">
        <f>'По платам'!J576*$L$1</f>
        <v>0</v>
      </c>
      <c r="M574" s="29">
        <f>'По платам'!K576*$M$1</f>
        <v>0</v>
      </c>
      <c r="N574" s="29">
        <f>'По платам'!L576*'Состав прибора'!$B$16</f>
        <v>0</v>
      </c>
    </row>
    <row r="575" spans="1:14">
      <c r="A575" s="16" t="s">
        <v>48</v>
      </c>
      <c r="C575" s="18" t="s">
        <v>1378</v>
      </c>
      <c r="D575" s="25">
        <f t="shared" si="8"/>
        <v>1</v>
      </c>
      <c r="E575" s="29">
        <f>'По платам'!C577*$E$1</f>
        <v>0</v>
      </c>
      <c r="F575" s="29">
        <f>'По платам'!D577*$F$1</f>
        <v>0</v>
      </c>
      <c r="G575" s="29">
        <f>'По платам'!E577*$G$1</f>
        <v>0</v>
      </c>
      <c r="H575" s="29">
        <f>'По платам'!F577*$H$1</f>
        <v>1</v>
      </c>
      <c r="I575" s="29">
        <f>'По платам'!G577*$I$1</f>
        <v>0</v>
      </c>
      <c r="J575" s="29">
        <f>'По платам'!H577*$J$1</f>
        <v>0</v>
      </c>
      <c r="K575" s="29">
        <f>'По платам'!I577*$K$1</f>
        <v>0</v>
      </c>
      <c r="L575" s="29">
        <f>'По платам'!J577*$L$1</f>
        <v>0</v>
      </c>
      <c r="M575" s="29">
        <f>'По платам'!K577*$M$1</f>
        <v>0</v>
      </c>
      <c r="N575" s="29">
        <f>'По платам'!L577*'Состав прибора'!$B$16</f>
        <v>0</v>
      </c>
    </row>
    <row r="576" spans="1:14">
      <c r="A576" s="16" t="s">
        <v>48</v>
      </c>
      <c r="C576" s="18" t="s">
        <v>2834</v>
      </c>
      <c r="D576" s="25">
        <f t="shared" si="8"/>
        <v>1</v>
      </c>
      <c r="E576" s="29">
        <f>'По платам'!C578*$E$1</f>
        <v>0</v>
      </c>
      <c r="F576" s="29">
        <f>'По платам'!D578*$F$1</f>
        <v>0</v>
      </c>
      <c r="G576" s="29">
        <f>'По платам'!E578*$G$1</f>
        <v>0</v>
      </c>
      <c r="H576" s="29">
        <f>'По платам'!F578*$H$1</f>
        <v>0</v>
      </c>
      <c r="I576" s="29">
        <f>'По платам'!G578*$I$1</f>
        <v>0</v>
      </c>
      <c r="J576" s="29">
        <f>'По платам'!H578*$J$1</f>
        <v>0</v>
      </c>
      <c r="K576" s="29">
        <f>'По платам'!I578*$K$1</f>
        <v>0</v>
      </c>
      <c r="L576" s="29">
        <f>'По платам'!J578*$L$1</f>
        <v>1</v>
      </c>
      <c r="M576" s="29">
        <f>'По платам'!K578*$M$1</f>
        <v>0</v>
      </c>
      <c r="N576" s="29">
        <f>'По платам'!L578*'Состав прибора'!$B$16</f>
        <v>0</v>
      </c>
    </row>
    <row r="577" spans="1:14">
      <c r="A577" s="16" t="s">
        <v>48</v>
      </c>
      <c r="C577" s="18" t="s">
        <v>2416</v>
      </c>
      <c r="D577" s="25">
        <f t="shared" si="8"/>
        <v>0</v>
      </c>
      <c r="E577" s="29">
        <f>'По платам'!C579*$E$1</f>
        <v>0</v>
      </c>
      <c r="F577" s="29">
        <f>'По платам'!D579*$F$1</f>
        <v>0</v>
      </c>
      <c r="G577" s="29">
        <f>'По платам'!E579*$G$1</f>
        <v>0</v>
      </c>
      <c r="H577" s="29">
        <f>'По платам'!F579*$H$1</f>
        <v>0</v>
      </c>
      <c r="I577" s="29">
        <f>'По платам'!G579*$I$1</f>
        <v>0</v>
      </c>
      <c r="J577" s="29">
        <f>'По платам'!H579*$J$1</f>
        <v>0</v>
      </c>
      <c r="K577" s="29">
        <f>'По платам'!I579*$K$1</f>
        <v>0</v>
      </c>
      <c r="L577" s="29">
        <f>'По платам'!J579*$L$1</f>
        <v>0</v>
      </c>
      <c r="M577" s="29">
        <f>'По платам'!K579*$M$1</f>
        <v>0</v>
      </c>
      <c r="N577" s="29">
        <f>'По платам'!L579*'Состав прибора'!$B$16</f>
        <v>0</v>
      </c>
    </row>
    <row r="578" spans="1:14">
      <c r="A578" s="16" t="s">
        <v>48</v>
      </c>
      <c r="C578" s="18" t="s">
        <v>87</v>
      </c>
      <c r="D578" s="25">
        <f t="shared" ref="D578:D634" si="9">SUM(E578:N578)</f>
        <v>11</v>
      </c>
      <c r="E578" s="29">
        <f>'По платам'!C580*$E$1</f>
        <v>0</v>
      </c>
      <c r="F578" s="29">
        <f>'По платам'!D580*$F$1</f>
        <v>0</v>
      </c>
      <c r="G578" s="29">
        <f>'По платам'!E580*$G$1</f>
        <v>0</v>
      </c>
      <c r="H578" s="29">
        <f>'По платам'!F580*$H$1</f>
        <v>11</v>
      </c>
      <c r="I578" s="29">
        <f>'По платам'!G580*$I$1</f>
        <v>0</v>
      </c>
      <c r="J578" s="29">
        <f>'По платам'!H580*$J$1</f>
        <v>0</v>
      </c>
      <c r="K578" s="29">
        <f>'По платам'!I580*$K$1</f>
        <v>0</v>
      </c>
      <c r="L578" s="29">
        <f>'По платам'!J580*$L$1</f>
        <v>0</v>
      </c>
      <c r="M578" s="29">
        <f>'По платам'!K580*$M$1</f>
        <v>0</v>
      </c>
      <c r="N578" s="29">
        <f>'По платам'!L580*'Состав прибора'!$B$16</f>
        <v>0</v>
      </c>
    </row>
    <row r="579" spans="1:14">
      <c r="A579" s="16" t="s">
        <v>48</v>
      </c>
      <c r="C579" s="18" t="s">
        <v>2484</v>
      </c>
      <c r="D579" s="25">
        <f t="shared" si="9"/>
        <v>0</v>
      </c>
      <c r="E579" s="29">
        <f>'По платам'!C581*$E$1</f>
        <v>0</v>
      </c>
      <c r="F579" s="29">
        <f>'По платам'!D581*$F$1</f>
        <v>0</v>
      </c>
      <c r="G579" s="29">
        <f>'По платам'!E581*$G$1</f>
        <v>0</v>
      </c>
      <c r="H579" s="29">
        <f>'По платам'!F581*$H$1</f>
        <v>0</v>
      </c>
      <c r="I579" s="29">
        <f>'По платам'!G581*$I$1</f>
        <v>0</v>
      </c>
      <c r="J579" s="29">
        <f>'По платам'!H581*$J$1</f>
        <v>0</v>
      </c>
      <c r="K579" s="29">
        <f>'По платам'!I581*$K$1</f>
        <v>0</v>
      </c>
      <c r="L579" s="29">
        <f>'По платам'!J581*$L$1</f>
        <v>0</v>
      </c>
      <c r="M579" s="29">
        <f>'По платам'!K581*$M$1</f>
        <v>0</v>
      </c>
      <c r="N579" s="29">
        <f>'По платам'!L581*'Состав прибора'!$B$16</f>
        <v>0</v>
      </c>
    </row>
    <row r="580" spans="1:14">
      <c r="A580" s="16" t="s">
        <v>48</v>
      </c>
      <c r="C580" s="18" t="s">
        <v>2478</v>
      </c>
      <c r="D580" s="25">
        <f t="shared" si="9"/>
        <v>0</v>
      </c>
      <c r="E580" s="29">
        <f>'По платам'!C582*$E$1</f>
        <v>0</v>
      </c>
      <c r="F580" s="29">
        <f>'По платам'!D582*$F$1</f>
        <v>0</v>
      </c>
      <c r="G580" s="29">
        <f>'По платам'!E582*$G$1</f>
        <v>0</v>
      </c>
      <c r="H580" s="29">
        <f>'По платам'!F582*$H$1</f>
        <v>0</v>
      </c>
      <c r="I580" s="29">
        <f>'По платам'!G582*$I$1</f>
        <v>0</v>
      </c>
      <c r="J580" s="29">
        <f>'По платам'!H582*$J$1</f>
        <v>0</v>
      </c>
      <c r="K580" s="29">
        <f>'По платам'!I582*$K$1</f>
        <v>0</v>
      </c>
      <c r="L580" s="29">
        <f>'По платам'!J582*$L$1</f>
        <v>0</v>
      </c>
      <c r="M580" s="29">
        <f>'По платам'!K582*$M$1</f>
        <v>0</v>
      </c>
      <c r="N580" s="29">
        <f>'По платам'!L582*'Состав прибора'!$B$16</f>
        <v>0</v>
      </c>
    </row>
    <row r="581" spans="1:14">
      <c r="A581" s="16" t="s">
        <v>48</v>
      </c>
      <c r="C581" s="18" t="s">
        <v>2402</v>
      </c>
      <c r="D581" s="25">
        <f t="shared" si="9"/>
        <v>0</v>
      </c>
      <c r="E581" s="29">
        <f>'По платам'!C583*$E$1</f>
        <v>0</v>
      </c>
      <c r="F581" s="29">
        <f>'По платам'!D583*$F$1</f>
        <v>0</v>
      </c>
      <c r="G581" s="29">
        <f>'По платам'!E583*$G$1</f>
        <v>0</v>
      </c>
      <c r="H581" s="29">
        <f>'По платам'!F583*$H$1</f>
        <v>0</v>
      </c>
      <c r="I581" s="29">
        <f>'По платам'!G583*$I$1</f>
        <v>0</v>
      </c>
      <c r="J581" s="29">
        <f>'По платам'!H583*$J$1</f>
        <v>0</v>
      </c>
      <c r="K581" s="29">
        <f>'По платам'!I583*$K$1</f>
        <v>0</v>
      </c>
      <c r="L581" s="29">
        <f>'По платам'!J583*$L$1</f>
        <v>0</v>
      </c>
      <c r="M581" s="29">
        <f>'По платам'!K583*$M$1</f>
        <v>0</v>
      </c>
      <c r="N581" s="29">
        <f>'По платам'!L583*'Состав прибора'!$B$16</f>
        <v>0</v>
      </c>
    </row>
    <row r="582" spans="1:14">
      <c r="A582" s="16" t="s">
        <v>48</v>
      </c>
      <c r="C582" s="18" t="s">
        <v>1864</v>
      </c>
      <c r="D582" s="25">
        <f t="shared" si="9"/>
        <v>0</v>
      </c>
      <c r="E582" s="29">
        <f>'По платам'!C584*$E$1</f>
        <v>0</v>
      </c>
      <c r="F582" s="29">
        <f>'По платам'!D584*$F$1</f>
        <v>0</v>
      </c>
      <c r="G582" s="29">
        <f>'По платам'!E584*$G$1</f>
        <v>0</v>
      </c>
      <c r="H582" s="29">
        <f>'По платам'!F584*$H$1</f>
        <v>0</v>
      </c>
      <c r="I582" s="29">
        <f>'По платам'!G584*$I$1</f>
        <v>0</v>
      </c>
      <c r="J582" s="29">
        <f>'По платам'!H584*$J$1</f>
        <v>0</v>
      </c>
      <c r="K582" s="29">
        <f>'По платам'!I584*$K$1</f>
        <v>0</v>
      </c>
      <c r="L582" s="29">
        <f>'По платам'!J584*$L$1</f>
        <v>0</v>
      </c>
      <c r="M582" s="29">
        <f>'По платам'!K584*$M$1</f>
        <v>0</v>
      </c>
      <c r="N582" s="29">
        <f>'По платам'!L584*'Состав прибора'!$B$16</f>
        <v>0</v>
      </c>
    </row>
    <row r="583" spans="1:14">
      <c r="A583" s="16" t="s">
        <v>48</v>
      </c>
      <c r="C583" s="18" t="s">
        <v>2996</v>
      </c>
      <c r="D583" s="25">
        <f t="shared" si="9"/>
        <v>1</v>
      </c>
      <c r="E583" s="29">
        <f>'По платам'!C585*$E$1</f>
        <v>0</v>
      </c>
      <c r="F583" s="29">
        <f>'По платам'!D585*$F$1</f>
        <v>0</v>
      </c>
      <c r="G583" s="29">
        <f>'По платам'!E585*$G$1</f>
        <v>0</v>
      </c>
      <c r="H583" s="29">
        <f>'По платам'!F585*$H$1</f>
        <v>0</v>
      </c>
      <c r="I583" s="29">
        <f>'По платам'!G585*$I$1</f>
        <v>0</v>
      </c>
      <c r="J583" s="29">
        <f>'По платам'!H585*$J$1</f>
        <v>0</v>
      </c>
      <c r="K583" s="29">
        <f>'По платам'!I585*$K$1</f>
        <v>0</v>
      </c>
      <c r="L583" s="29">
        <f>'По платам'!J585*$L$1</f>
        <v>1</v>
      </c>
      <c r="M583" s="29">
        <f>'По платам'!K585*$M$1</f>
        <v>0</v>
      </c>
      <c r="N583" s="29">
        <f>'По платам'!L585*'Состав прибора'!$B$16</f>
        <v>0</v>
      </c>
    </row>
    <row r="584" spans="1:14">
      <c r="A584" s="16" t="s">
        <v>48</v>
      </c>
      <c r="C584" s="18" t="s">
        <v>1004</v>
      </c>
      <c r="D584" s="25">
        <f t="shared" si="9"/>
        <v>1</v>
      </c>
      <c r="E584" s="29">
        <f>'По платам'!C586*$E$1</f>
        <v>0</v>
      </c>
      <c r="F584" s="29">
        <f>'По платам'!D586*$F$1</f>
        <v>0</v>
      </c>
      <c r="G584" s="29">
        <f>'По платам'!E586*$G$1</f>
        <v>0</v>
      </c>
      <c r="H584" s="29">
        <f>'По платам'!F586*$H$1</f>
        <v>0</v>
      </c>
      <c r="I584" s="29">
        <f>'По платам'!G586*$I$1</f>
        <v>0</v>
      </c>
      <c r="J584" s="29">
        <f>'По платам'!H586*$J$1</f>
        <v>0</v>
      </c>
      <c r="K584" s="29">
        <f>'По платам'!I586*$K$1</f>
        <v>1</v>
      </c>
      <c r="L584" s="29">
        <f>'По платам'!J586*$L$1</f>
        <v>0</v>
      </c>
      <c r="M584" s="29">
        <f>'По платам'!K586*$M$1</f>
        <v>0</v>
      </c>
      <c r="N584" s="29">
        <f>'По платам'!L586*'Состав прибора'!$B$16</f>
        <v>0</v>
      </c>
    </row>
    <row r="585" spans="1:14">
      <c r="A585" s="16" t="s">
        <v>48</v>
      </c>
      <c r="C585" s="18" t="s">
        <v>1821</v>
      </c>
      <c r="D585" s="25">
        <f t="shared" si="9"/>
        <v>0</v>
      </c>
      <c r="E585" s="29">
        <f>'По платам'!C587*$E$1</f>
        <v>0</v>
      </c>
      <c r="F585" s="29">
        <f>'По платам'!D587*$F$1</f>
        <v>0</v>
      </c>
      <c r="G585" s="29">
        <f>'По платам'!E587*$G$1</f>
        <v>0</v>
      </c>
      <c r="H585" s="29">
        <f>'По платам'!F587*$H$1</f>
        <v>0</v>
      </c>
      <c r="I585" s="29">
        <f>'По платам'!G587*$I$1</f>
        <v>0</v>
      </c>
      <c r="J585" s="29">
        <f>'По платам'!H587*$J$1</f>
        <v>0</v>
      </c>
      <c r="K585" s="29">
        <f>'По платам'!I587*$K$1</f>
        <v>0</v>
      </c>
      <c r="L585" s="29">
        <f>'По платам'!J587*$L$1</f>
        <v>0</v>
      </c>
      <c r="M585" s="29">
        <f>'По платам'!K587*$M$1</f>
        <v>0</v>
      </c>
      <c r="N585" s="29">
        <f>'По платам'!L587*'Состав прибора'!$B$16</f>
        <v>0</v>
      </c>
    </row>
    <row r="586" spans="1:14">
      <c r="A586" s="16" t="s">
        <v>48</v>
      </c>
      <c r="C586" s="18" t="s">
        <v>2381</v>
      </c>
      <c r="D586" s="25">
        <f t="shared" si="9"/>
        <v>0</v>
      </c>
      <c r="E586" s="29">
        <f>'По платам'!C588*$E$1</f>
        <v>0</v>
      </c>
      <c r="F586" s="29">
        <f>'По платам'!D588*$F$1</f>
        <v>0</v>
      </c>
      <c r="G586" s="29">
        <f>'По платам'!E588*$G$1</f>
        <v>0</v>
      </c>
      <c r="H586" s="29">
        <f>'По платам'!F588*$H$1</f>
        <v>0</v>
      </c>
      <c r="I586" s="29">
        <f>'По платам'!G588*$I$1</f>
        <v>0</v>
      </c>
      <c r="J586" s="29">
        <f>'По платам'!H588*$J$1</f>
        <v>0</v>
      </c>
      <c r="K586" s="29">
        <f>'По платам'!I588*$K$1</f>
        <v>0</v>
      </c>
      <c r="L586" s="29">
        <f>'По платам'!J588*$L$1</f>
        <v>0</v>
      </c>
      <c r="M586" s="29">
        <f>'По платам'!K588*$M$1</f>
        <v>0</v>
      </c>
      <c r="N586" s="29">
        <f>'По платам'!L588*'Состав прибора'!$B$16</f>
        <v>0</v>
      </c>
    </row>
    <row r="587" spans="1:14">
      <c r="A587" s="16" t="s">
        <v>48</v>
      </c>
      <c r="C587" s="18" t="s">
        <v>1817</v>
      </c>
      <c r="D587" s="25">
        <f t="shared" si="9"/>
        <v>0</v>
      </c>
      <c r="E587" s="29">
        <f>'По платам'!C589*$E$1</f>
        <v>0</v>
      </c>
      <c r="F587" s="29">
        <f>'По платам'!D589*$F$1</f>
        <v>0</v>
      </c>
      <c r="G587" s="29">
        <f>'По платам'!E589*$G$1</f>
        <v>0</v>
      </c>
      <c r="H587" s="29">
        <f>'По платам'!F589*$H$1</f>
        <v>0</v>
      </c>
      <c r="I587" s="29">
        <f>'По платам'!G589*$I$1</f>
        <v>0</v>
      </c>
      <c r="J587" s="29">
        <f>'По платам'!H589*$J$1</f>
        <v>0</v>
      </c>
      <c r="K587" s="29">
        <f>'По платам'!I589*$K$1</f>
        <v>0</v>
      </c>
      <c r="L587" s="29">
        <f>'По платам'!J589*$L$1</f>
        <v>0</v>
      </c>
      <c r="M587" s="29">
        <f>'По платам'!K589*$M$1</f>
        <v>0</v>
      </c>
      <c r="N587" s="29">
        <f>'По платам'!L589*'Состав прибора'!$B$16</f>
        <v>0</v>
      </c>
    </row>
    <row r="588" spans="1:14">
      <c r="A588" s="16" t="s">
        <v>48</v>
      </c>
      <c r="C588" s="18" t="s">
        <v>1904</v>
      </c>
      <c r="D588" s="25">
        <f t="shared" si="9"/>
        <v>0</v>
      </c>
      <c r="E588" s="29">
        <f>'По платам'!C590*$E$1</f>
        <v>0</v>
      </c>
      <c r="F588" s="29">
        <f>'По платам'!D590*$F$1</f>
        <v>0</v>
      </c>
      <c r="G588" s="29">
        <f>'По платам'!E590*$G$1</f>
        <v>0</v>
      </c>
      <c r="H588" s="29">
        <f>'По платам'!F590*$H$1</f>
        <v>0</v>
      </c>
      <c r="I588" s="29">
        <f>'По платам'!G590*$I$1</f>
        <v>0</v>
      </c>
      <c r="J588" s="29">
        <f>'По платам'!H590*$J$1</f>
        <v>0</v>
      </c>
      <c r="K588" s="29">
        <f>'По платам'!I590*$K$1</f>
        <v>0</v>
      </c>
      <c r="L588" s="29">
        <f>'По платам'!J590*$L$1</f>
        <v>0</v>
      </c>
      <c r="M588" s="29">
        <f>'По платам'!K590*$M$1</f>
        <v>0</v>
      </c>
      <c r="N588" s="29">
        <f>'По платам'!L590*'Состав прибора'!$B$16</f>
        <v>0</v>
      </c>
    </row>
    <row r="589" spans="1:14">
      <c r="A589" s="16" t="s">
        <v>48</v>
      </c>
      <c r="C589" s="18" t="s">
        <v>2432</v>
      </c>
      <c r="D589" s="25">
        <f t="shared" si="9"/>
        <v>0</v>
      </c>
      <c r="E589" s="29">
        <f>'По платам'!C591*$E$1</f>
        <v>0</v>
      </c>
      <c r="F589" s="29">
        <f>'По платам'!D591*$F$1</f>
        <v>0</v>
      </c>
      <c r="G589" s="29">
        <f>'По платам'!E591*$G$1</f>
        <v>0</v>
      </c>
      <c r="H589" s="29">
        <f>'По платам'!F591*$H$1</f>
        <v>0</v>
      </c>
      <c r="I589" s="29">
        <f>'По платам'!G591*$I$1</f>
        <v>0</v>
      </c>
      <c r="J589" s="29">
        <f>'По платам'!H591*$J$1</f>
        <v>0</v>
      </c>
      <c r="K589" s="29">
        <f>'По платам'!I591*$K$1</f>
        <v>0</v>
      </c>
      <c r="L589" s="29">
        <f>'По платам'!J591*$L$1</f>
        <v>0</v>
      </c>
      <c r="M589" s="29">
        <f>'По платам'!K591*$M$1</f>
        <v>0</v>
      </c>
      <c r="N589" s="29">
        <f>'По платам'!L591*'Состав прибора'!$B$16</f>
        <v>0</v>
      </c>
    </row>
    <row r="590" spans="1:14">
      <c r="A590" s="16" t="s">
        <v>48</v>
      </c>
      <c r="C590" s="18" t="s">
        <v>2496</v>
      </c>
      <c r="D590" s="25">
        <f t="shared" si="9"/>
        <v>0</v>
      </c>
      <c r="E590" s="29">
        <f>'По платам'!C592*$E$1</f>
        <v>0</v>
      </c>
      <c r="F590" s="29">
        <f>'По платам'!D592*$F$1</f>
        <v>0</v>
      </c>
      <c r="G590" s="29">
        <f>'По платам'!E592*$G$1</f>
        <v>0</v>
      </c>
      <c r="H590" s="29">
        <f>'По платам'!F592*$H$1</f>
        <v>0</v>
      </c>
      <c r="I590" s="29">
        <f>'По платам'!G592*$I$1</f>
        <v>0</v>
      </c>
      <c r="J590" s="29">
        <f>'По платам'!H592*$J$1</f>
        <v>0</v>
      </c>
      <c r="K590" s="29">
        <f>'По платам'!I592*$K$1</f>
        <v>0</v>
      </c>
      <c r="L590" s="29">
        <f>'По платам'!J592*$L$1</f>
        <v>0</v>
      </c>
      <c r="M590" s="29">
        <f>'По платам'!K592*$M$1</f>
        <v>0</v>
      </c>
      <c r="N590" s="29">
        <f>'По платам'!L592*'Состав прибора'!$B$16</f>
        <v>0</v>
      </c>
    </row>
    <row r="591" spans="1:14">
      <c r="A591" s="16" t="s">
        <v>48</v>
      </c>
      <c r="C591" s="18" t="s">
        <v>1157</v>
      </c>
      <c r="D591" s="25">
        <f t="shared" si="9"/>
        <v>4</v>
      </c>
      <c r="E591" s="29">
        <f>'По платам'!C593*$E$1</f>
        <v>0</v>
      </c>
      <c r="F591" s="29">
        <f>'По платам'!D593*$F$1</f>
        <v>0</v>
      </c>
      <c r="G591" s="29">
        <f>'По платам'!E593*$G$1</f>
        <v>0</v>
      </c>
      <c r="H591" s="29">
        <f>'По платам'!F593*$H$1</f>
        <v>0</v>
      </c>
      <c r="I591" s="29">
        <f>'По платам'!G593*$I$1</f>
        <v>0</v>
      </c>
      <c r="J591" s="29">
        <f>'По платам'!H593*$J$1</f>
        <v>4</v>
      </c>
      <c r="K591" s="29">
        <f>'По платам'!I593*$K$1</f>
        <v>0</v>
      </c>
      <c r="L591" s="29">
        <f>'По платам'!J593*$L$1</f>
        <v>0</v>
      </c>
      <c r="M591" s="29">
        <f>'По платам'!K593*$M$1</f>
        <v>0</v>
      </c>
      <c r="N591" s="29">
        <f>'По платам'!L593*'Состав прибора'!$B$16</f>
        <v>0</v>
      </c>
    </row>
    <row r="592" spans="1:14">
      <c r="A592" s="16" t="s">
        <v>48</v>
      </c>
      <c r="C592" s="18" t="s">
        <v>984</v>
      </c>
      <c r="D592" s="25">
        <f t="shared" si="9"/>
        <v>1</v>
      </c>
      <c r="E592" s="29">
        <f>'По платам'!C594*$E$1</f>
        <v>0</v>
      </c>
      <c r="F592" s="29">
        <f>'По платам'!D594*$F$1</f>
        <v>0</v>
      </c>
      <c r="G592" s="29">
        <f>'По платам'!E594*$G$1</f>
        <v>0</v>
      </c>
      <c r="H592" s="29">
        <f>'По платам'!F594*$H$1</f>
        <v>0</v>
      </c>
      <c r="I592" s="29">
        <f>'По платам'!G594*$I$1</f>
        <v>0</v>
      </c>
      <c r="J592" s="29">
        <f>'По платам'!H594*$J$1</f>
        <v>0</v>
      </c>
      <c r="K592" s="29">
        <f>'По платам'!I594*$K$1</f>
        <v>1</v>
      </c>
      <c r="L592" s="29">
        <f>'По платам'!J594*$L$1</f>
        <v>0</v>
      </c>
      <c r="M592" s="29">
        <f>'По платам'!K594*$M$1</f>
        <v>0</v>
      </c>
      <c r="N592" s="29">
        <f>'По платам'!L594*'Состав прибора'!$B$16</f>
        <v>0</v>
      </c>
    </row>
    <row r="593" spans="1:14">
      <c r="A593" s="16" t="s">
        <v>48</v>
      </c>
      <c r="C593" s="18" t="s">
        <v>2969</v>
      </c>
      <c r="D593" s="25">
        <f t="shared" si="9"/>
        <v>6</v>
      </c>
      <c r="E593" s="29">
        <f>'По платам'!C595*$E$1</f>
        <v>0</v>
      </c>
      <c r="F593" s="29">
        <f>'По платам'!D595*$F$1</f>
        <v>0</v>
      </c>
      <c r="G593" s="29">
        <f>'По платам'!E595*$G$1</f>
        <v>0</v>
      </c>
      <c r="H593" s="29">
        <f>'По платам'!F595*$H$1</f>
        <v>0</v>
      </c>
      <c r="I593" s="29">
        <f>'По платам'!G595*$I$1</f>
        <v>0</v>
      </c>
      <c r="J593" s="29">
        <f>'По платам'!H595*$J$1</f>
        <v>0</v>
      </c>
      <c r="K593" s="29">
        <f>'По платам'!I595*$K$1</f>
        <v>0</v>
      </c>
      <c r="L593" s="29">
        <f>'По платам'!J595*$L$1</f>
        <v>6</v>
      </c>
      <c r="M593" s="29">
        <f>'По платам'!K595*$M$1</f>
        <v>0</v>
      </c>
      <c r="N593" s="29">
        <f>'По платам'!L595*'Состав прибора'!$B$16</f>
        <v>0</v>
      </c>
    </row>
    <row r="594" spans="1:14">
      <c r="A594" s="16" t="s">
        <v>48</v>
      </c>
      <c r="C594" s="18" t="s">
        <v>1384</v>
      </c>
      <c r="D594" s="25">
        <f t="shared" si="9"/>
        <v>3</v>
      </c>
      <c r="E594" s="29">
        <f>'По платам'!C596*$E$1</f>
        <v>0</v>
      </c>
      <c r="F594" s="29">
        <f>'По платам'!D596*$F$1</f>
        <v>0</v>
      </c>
      <c r="G594" s="29">
        <f>'По платам'!E596*$G$1</f>
        <v>0</v>
      </c>
      <c r="H594" s="29">
        <f>'По платам'!F596*$H$1</f>
        <v>3</v>
      </c>
      <c r="I594" s="29">
        <f>'По платам'!G596*$I$1</f>
        <v>0</v>
      </c>
      <c r="J594" s="29">
        <f>'По платам'!H596*$J$1</f>
        <v>0</v>
      </c>
      <c r="K594" s="29">
        <f>'По платам'!I596*$K$1</f>
        <v>0</v>
      </c>
      <c r="L594" s="29">
        <f>'По платам'!J596*$L$1</f>
        <v>0</v>
      </c>
      <c r="M594" s="29">
        <f>'По платам'!K596*$M$1</f>
        <v>0</v>
      </c>
      <c r="N594" s="29">
        <f>'По платам'!L596*'Состав прибора'!$B$16</f>
        <v>0</v>
      </c>
    </row>
    <row r="595" spans="1:14">
      <c r="A595" s="16" t="s">
        <v>48</v>
      </c>
      <c r="C595" s="18" t="s">
        <v>1414</v>
      </c>
      <c r="D595" s="25">
        <f t="shared" si="9"/>
        <v>2</v>
      </c>
      <c r="E595" s="29">
        <f>'По платам'!C597*$E$1</f>
        <v>0</v>
      </c>
      <c r="F595" s="29">
        <f>'По платам'!D597*$F$1</f>
        <v>0</v>
      </c>
      <c r="G595" s="29">
        <f>'По платам'!E597*$G$1</f>
        <v>0</v>
      </c>
      <c r="H595" s="29">
        <f>'По платам'!F597*$H$1</f>
        <v>2</v>
      </c>
      <c r="I595" s="29">
        <f>'По платам'!G597*$I$1</f>
        <v>0</v>
      </c>
      <c r="J595" s="29">
        <f>'По платам'!H597*$J$1</f>
        <v>0</v>
      </c>
      <c r="K595" s="29">
        <f>'По платам'!I597*$K$1</f>
        <v>0</v>
      </c>
      <c r="L595" s="29">
        <f>'По платам'!J597*$L$1</f>
        <v>0</v>
      </c>
      <c r="M595" s="29">
        <f>'По платам'!K597*$M$1</f>
        <v>0</v>
      </c>
      <c r="N595" s="29">
        <f>'По платам'!L597*'Состав прибора'!$B$16</f>
        <v>0</v>
      </c>
    </row>
    <row r="596" spans="1:14">
      <c r="A596" s="16" t="s">
        <v>48</v>
      </c>
      <c r="C596" s="18" t="s">
        <v>2474</v>
      </c>
      <c r="D596" s="25">
        <f t="shared" si="9"/>
        <v>0</v>
      </c>
      <c r="E596" s="29">
        <f>'По платам'!C598*$E$1</f>
        <v>0</v>
      </c>
      <c r="F596" s="29">
        <f>'По платам'!D598*$F$1</f>
        <v>0</v>
      </c>
      <c r="G596" s="29">
        <f>'По платам'!E598*$G$1</f>
        <v>0</v>
      </c>
      <c r="H596" s="29">
        <f>'По платам'!F598*$H$1</f>
        <v>0</v>
      </c>
      <c r="I596" s="29">
        <f>'По платам'!G598*$I$1</f>
        <v>0</v>
      </c>
      <c r="J596" s="29">
        <f>'По платам'!H598*$J$1</f>
        <v>0</v>
      </c>
      <c r="K596" s="29">
        <f>'По платам'!I598*$K$1</f>
        <v>0</v>
      </c>
      <c r="L596" s="29">
        <f>'По платам'!J598*$L$1</f>
        <v>0</v>
      </c>
      <c r="M596" s="29">
        <f>'По платам'!K598*$M$1</f>
        <v>0</v>
      </c>
      <c r="N596" s="29">
        <f>'По платам'!L598*'Состав прибора'!$B$16</f>
        <v>0</v>
      </c>
    </row>
    <row r="597" spans="1:14">
      <c r="A597" s="16" t="s">
        <v>48</v>
      </c>
      <c r="C597" s="18" t="s">
        <v>2531</v>
      </c>
      <c r="D597" s="25">
        <f t="shared" si="9"/>
        <v>0</v>
      </c>
      <c r="E597" s="29">
        <f>'По платам'!C599*$E$1</f>
        <v>0</v>
      </c>
      <c r="F597" s="29">
        <f>'По платам'!D599*$F$1</f>
        <v>0</v>
      </c>
      <c r="G597" s="29">
        <f>'По платам'!E599*$G$1</f>
        <v>0</v>
      </c>
      <c r="H597" s="29">
        <f>'По платам'!F599*$H$1</f>
        <v>0</v>
      </c>
      <c r="I597" s="29">
        <f>'По платам'!G599*$I$1</f>
        <v>0</v>
      </c>
      <c r="J597" s="29">
        <f>'По платам'!H599*$J$1</f>
        <v>0</v>
      </c>
      <c r="K597" s="29">
        <f>'По платам'!I599*$K$1</f>
        <v>0</v>
      </c>
      <c r="L597" s="29">
        <f>'По платам'!J599*$L$1</f>
        <v>0</v>
      </c>
      <c r="M597" s="29">
        <f>'По платам'!K599*$M$1</f>
        <v>0</v>
      </c>
      <c r="N597" s="29">
        <f>'По платам'!L599*'Состав прибора'!$B$16</f>
        <v>0</v>
      </c>
    </row>
    <row r="598" spans="1:14">
      <c r="A598" s="16" t="s">
        <v>48</v>
      </c>
      <c r="C598" s="18" t="s">
        <v>466</v>
      </c>
      <c r="D598" s="25">
        <f t="shared" si="9"/>
        <v>2</v>
      </c>
      <c r="E598" s="29">
        <f>'По платам'!C600*$E$1</f>
        <v>0</v>
      </c>
      <c r="F598" s="29">
        <f>'По платам'!D600*$F$1</f>
        <v>0</v>
      </c>
      <c r="G598" s="29">
        <f>'По платам'!E600*$G$1</f>
        <v>0</v>
      </c>
      <c r="H598" s="29">
        <f>'По платам'!F600*$H$1</f>
        <v>1</v>
      </c>
      <c r="I598" s="29">
        <f>'По платам'!G600*$I$1</f>
        <v>0</v>
      </c>
      <c r="J598" s="29">
        <f>'По платам'!H600*$J$1</f>
        <v>0</v>
      </c>
      <c r="K598" s="29">
        <f>'По платам'!I600*$K$1</f>
        <v>0</v>
      </c>
      <c r="L598" s="29">
        <f>'По платам'!J600*$L$1</f>
        <v>1</v>
      </c>
      <c r="M598" s="29">
        <f>'По платам'!K600*$M$1</f>
        <v>0</v>
      </c>
      <c r="N598" s="29">
        <f>'По платам'!L600*'Состав прибора'!$B$16</f>
        <v>0</v>
      </c>
    </row>
    <row r="599" spans="1:14">
      <c r="A599" s="16" t="s">
        <v>48</v>
      </c>
      <c r="C599" s="18" t="s">
        <v>2570</v>
      </c>
      <c r="D599" s="25">
        <f t="shared" si="9"/>
        <v>0</v>
      </c>
      <c r="E599" s="29">
        <f>'По платам'!C601*$E$1</f>
        <v>0</v>
      </c>
      <c r="F599" s="29">
        <f>'По платам'!D601*$F$1</f>
        <v>0</v>
      </c>
      <c r="G599" s="29">
        <f>'По платам'!E601*$G$1</f>
        <v>0</v>
      </c>
      <c r="H599" s="29">
        <f>'По платам'!F601*$H$1</f>
        <v>0</v>
      </c>
      <c r="I599" s="29">
        <f>'По платам'!G601*$I$1</f>
        <v>0</v>
      </c>
      <c r="J599" s="29">
        <f>'По платам'!H601*$J$1</f>
        <v>0</v>
      </c>
      <c r="K599" s="29">
        <f>'По платам'!I601*$K$1</f>
        <v>0</v>
      </c>
      <c r="L599" s="29">
        <f>'По платам'!J601*$L$1</f>
        <v>0</v>
      </c>
      <c r="M599" s="29">
        <f>'По платам'!K601*$M$1</f>
        <v>0</v>
      </c>
      <c r="N599" s="29">
        <f>'По платам'!L601*'Состав прибора'!$B$16</f>
        <v>0</v>
      </c>
    </row>
    <row r="600" spans="1:14">
      <c r="A600" s="16" t="s">
        <v>48</v>
      </c>
      <c r="C600" s="18" t="s">
        <v>2864</v>
      </c>
      <c r="D600" s="25">
        <f t="shared" si="9"/>
        <v>0</v>
      </c>
      <c r="E600" s="29">
        <f>'По платам'!C602*$E$1</f>
        <v>0</v>
      </c>
      <c r="F600" s="29">
        <f>'По платам'!D602*$F$1</f>
        <v>0</v>
      </c>
      <c r="G600" s="29">
        <f>'По платам'!E602*$G$1</f>
        <v>0</v>
      </c>
      <c r="H600" s="29">
        <f>'По платам'!F602*$H$1</f>
        <v>0</v>
      </c>
      <c r="I600" s="29">
        <f>'По платам'!G602*$I$1</f>
        <v>0</v>
      </c>
      <c r="J600" s="29">
        <f>'По платам'!H602*$J$1</f>
        <v>0</v>
      </c>
      <c r="K600" s="29">
        <f>'По платам'!I602*$K$1</f>
        <v>0</v>
      </c>
      <c r="L600" s="29">
        <f>'По платам'!J602*$L$1</f>
        <v>0</v>
      </c>
      <c r="M600" s="29">
        <f>'По платам'!K602*$M$1</f>
        <v>0</v>
      </c>
      <c r="N600" s="29">
        <f>'По платам'!L602*'Состав прибора'!$B$16</f>
        <v>0</v>
      </c>
    </row>
    <row r="601" spans="1:14">
      <c r="A601" s="16" t="s">
        <v>48</v>
      </c>
      <c r="C601" s="18" t="s">
        <v>2450</v>
      </c>
      <c r="D601" s="25">
        <f t="shared" si="9"/>
        <v>0</v>
      </c>
      <c r="E601" s="29">
        <f>'По платам'!C603*$E$1</f>
        <v>0</v>
      </c>
      <c r="F601" s="29">
        <f>'По платам'!D603*$F$1</f>
        <v>0</v>
      </c>
      <c r="G601" s="29">
        <f>'По платам'!E603*$G$1</f>
        <v>0</v>
      </c>
      <c r="H601" s="29">
        <f>'По платам'!F603*$H$1</f>
        <v>0</v>
      </c>
      <c r="I601" s="29">
        <f>'По платам'!G603*$I$1</f>
        <v>0</v>
      </c>
      <c r="J601" s="29">
        <f>'По платам'!H603*$J$1</f>
        <v>0</v>
      </c>
      <c r="K601" s="29">
        <f>'По платам'!I603*$K$1</f>
        <v>0</v>
      </c>
      <c r="L601" s="29">
        <f>'По платам'!J603*$L$1</f>
        <v>0</v>
      </c>
      <c r="M601" s="29">
        <f>'По платам'!K603*$M$1</f>
        <v>0</v>
      </c>
      <c r="N601" s="29">
        <f>'По платам'!L603*'Состав прибора'!$B$16</f>
        <v>0</v>
      </c>
    </row>
    <row r="602" spans="1:14">
      <c r="A602" s="16" t="s">
        <v>48</v>
      </c>
      <c r="C602" s="18" t="s">
        <v>90</v>
      </c>
      <c r="D602" s="25">
        <f t="shared" si="9"/>
        <v>3</v>
      </c>
      <c r="E602" s="29">
        <f>'По платам'!C604*$E$1</f>
        <v>0</v>
      </c>
      <c r="F602" s="29">
        <f>'По платам'!D604*$F$1</f>
        <v>0</v>
      </c>
      <c r="G602" s="29">
        <f>'По платам'!E604*$G$1</f>
        <v>0</v>
      </c>
      <c r="H602" s="29">
        <f>'По платам'!F604*$H$1</f>
        <v>3</v>
      </c>
      <c r="I602" s="29">
        <f>'По платам'!G604*$I$1</f>
        <v>0</v>
      </c>
      <c r="J602" s="29">
        <f>'По платам'!H604*$J$1</f>
        <v>0</v>
      </c>
      <c r="K602" s="29">
        <f>'По платам'!I604*$K$1</f>
        <v>0</v>
      </c>
      <c r="L602" s="29">
        <f>'По платам'!J604*$L$1</f>
        <v>0</v>
      </c>
      <c r="M602" s="29">
        <f>'По платам'!K604*$M$1</f>
        <v>0</v>
      </c>
      <c r="N602" s="29">
        <f>'По платам'!L604*'Состав прибора'!$B$16</f>
        <v>0</v>
      </c>
    </row>
    <row r="603" spans="1:14">
      <c r="A603" s="16" t="s">
        <v>48</v>
      </c>
      <c r="C603" s="18" t="s">
        <v>1145</v>
      </c>
      <c r="D603" s="25">
        <f t="shared" si="9"/>
        <v>6</v>
      </c>
      <c r="E603" s="29">
        <f>'По платам'!C605*$E$1</f>
        <v>0</v>
      </c>
      <c r="F603" s="29">
        <f>'По платам'!D605*$F$1</f>
        <v>0</v>
      </c>
      <c r="G603" s="29">
        <f>'По платам'!E605*$G$1</f>
        <v>0</v>
      </c>
      <c r="H603" s="29">
        <f>'По платам'!F605*$H$1</f>
        <v>2</v>
      </c>
      <c r="I603" s="29">
        <f>'По платам'!G605*$I$1</f>
        <v>0</v>
      </c>
      <c r="J603" s="29">
        <f>'По платам'!H605*$J$1</f>
        <v>4</v>
      </c>
      <c r="K603" s="29">
        <f>'По платам'!I605*$K$1</f>
        <v>0</v>
      </c>
      <c r="L603" s="29">
        <f>'По платам'!J605*$L$1</f>
        <v>0</v>
      </c>
      <c r="M603" s="29">
        <f>'По платам'!K605*$M$1</f>
        <v>0</v>
      </c>
      <c r="N603" s="29">
        <f>'По платам'!L605*'Состав прибора'!$B$16</f>
        <v>0</v>
      </c>
    </row>
    <row r="604" spans="1:14">
      <c r="A604" s="16" t="s">
        <v>48</v>
      </c>
      <c r="C604" s="18" t="s">
        <v>1374</v>
      </c>
      <c r="D604" s="25">
        <f t="shared" si="9"/>
        <v>4</v>
      </c>
      <c r="E604" s="29">
        <f>'По платам'!C606*$E$1</f>
        <v>0</v>
      </c>
      <c r="F604" s="29">
        <f>'По платам'!D606*$F$1</f>
        <v>0</v>
      </c>
      <c r="G604" s="29">
        <f>'По платам'!E606*$G$1</f>
        <v>0</v>
      </c>
      <c r="H604" s="29">
        <f>'По платам'!F606*$H$1</f>
        <v>4</v>
      </c>
      <c r="I604" s="29">
        <f>'По платам'!G606*$I$1</f>
        <v>0</v>
      </c>
      <c r="J604" s="29">
        <f>'По платам'!H606*$J$1</f>
        <v>0</v>
      </c>
      <c r="K604" s="29">
        <f>'По платам'!I606*$K$1</f>
        <v>0</v>
      </c>
      <c r="L604" s="29">
        <f>'По платам'!J606*$L$1</f>
        <v>0</v>
      </c>
      <c r="M604" s="29">
        <f>'По платам'!K606*$M$1</f>
        <v>0</v>
      </c>
      <c r="N604" s="29">
        <f>'По платам'!L606*'Состав прибора'!$B$16</f>
        <v>0</v>
      </c>
    </row>
    <row r="605" spans="1:14">
      <c r="A605" s="16" t="s">
        <v>48</v>
      </c>
      <c r="C605" s="18" t="s">
        <v>919</v>
      </c>
      <c r="D605" s="25">
        <f t="shared" si="9"/>
        <v>1</v>
      </c>
      <c r="E605" s="29">
        <f>'По платам'!C607*$E$1</f>
        <v>0</v>
      </c>
      <c r="F605" s="29">
        <f>'По платам'!D607*$F$1</f>
        <v>0</v>
      </c>
      <c r="G605" s="29">
        <f>'По платам'!E607*$G$1</f>
        <v>0</v>
      </c>
      <c r="H605" s="29">
        <f>'По платам'!F607*$H$1</f>
        <v>0</v>
      </c>
      <c r="I605" s="29">
        <f>'По платам'!G607*$I$1</f>
        <v>0</v>
      </c>
      <c r="J605" s="29">
        <f>'По платам'!H607*$J$1</f>
        <v>0</v>
      </c>
      <c r="K605" s="29">
        <f>'По платам'!I607*$K$1</f>
        <v>1</v>
      </c>
      <c r="L605" s="29">
        <f>'По платам'!J607*$L$1</f>
        <v>0</v>
      </c>
      <c r="M605" s="29">
        <f>'По платам'!K607*$M$1</f>
        <v>0</v>
      </c>
      <c r="N605" s="29">
        <f>'По платам'!L607*'Состав прибора'!$B$16</f>
        <v>0</v>
      </c>
    </row>
    <row r="606" spans="1:14">
      <c r="A606" s="16" t="s">
        <v>48</v>
      </c>
      <c r="C606" s="18" t="s">
        <v>2527</v>
      </c>
      <c r="D606" s="25">
        <f t="shared" si="9"/>
        <v>0</v>
      </c>
      <c r="E606" s="29">
        <f>'По платам'!C608*$E$1</f>
        <v>0</v>
      </c>
      <c r="F606" s="29">
        <f>'По платам'!D608*$F$1</f>
        <v>0</v>
      </c>
      <c r="G606" s="29">
        <f>'По платам'!E608*$G$1</f>
        <v>0</v>
      </c>
      <c r="H606" s="29">
        <f>'По платам'!F608*$H$1</f>
        <v>0</v>
      </c>
      <c r="I606" s="29">
        <f>'По платам'!G608*$I$1</f>
        <v>0</v>
      </c>
      <c r="J606" s="29">
        <f>'По платам'!H608*$J$1</f>
        <v>0</v>
      </c>
      <c r="K606" s="29">
        <f>'По платам'!I608*$K$1</f>
        <v>0</v>
      </c>
      <c r="L606" s="29">
        <f>'По платам'!J608*$L$1</f>
        <v>0</v>
      </c>
      <c r="M606" s="29">
        <f>'По платам'!K608*$M$1</f>
        <v>0</v>
      </c>
      <c r="N606" s="29">
        <f>'По платам'!L608*'Состав прибора'!$B$16</f>
        <v>0</v>
      </c>
    </row>
    <row r="607" spans="1:14">
      <c r="A607" s="16" t="s">
        <v>48</v>
      </c>
      <c r="C607" s="18" t="s">
        <v>1423</v>
      </c>
      <c r="D607" s="25">
        <f t="shared" si="9"/>
        <v>1</v>
      </c>
      <c r="E607" s="29">
        <f>'По платам'!C609*$E$1</f>
        <v>0</v>
      </c>
      <c r="F607" s="29">
        <f>'По платам'!D609*$F$1</f>
        <v>0</v>
      </c>
      <c r="G607" s="29">
        <f>'По платам'!E609*$G$1</f>
        <v>0</v>
      </c>
      <c r="H607" s="29">
        <f>'По платам'!F609*$H$1</f>
        <v>1</v>
      </c>
      <c r="I607" s="29">
        <f>'По платам'!G609*$I$1</f>
        <v>0</v>
      </c>
      <c r="J607" s="29">
        <f>'По платам'!H609*$J$1</f>
        <v>0</v>
      </c>
      <c r="K607" s="29">
        <f>'По платам'!I609*$K$1</f>
        <v>0</v>
      </c>
      <c r="L607" s="29">
        <f>'По платам'!J609*$L$1</f>
        <v>0</v>
      </c>
      <c r="M607" s="29">
        <f>'По платам'!K609*$M$1</f>
        <v>0</v>
      </c>
      <c r="N607" s="29">
        <f>'По платам'!L609*'Состав прибора'!$B$16</f>
        <v>0</v>
      </c>
    </row>
    <row r="608" spans="1:14">
      <c r="A608" s="16" t="s">
        <v>48</v>
      </c>
      <c r="C608" s="18" t="s">
        <v>1810</v>
      </c>
      <c r="D608" s="25">
        <f t="shared" si="9"/>
        <v>0</v>
      </c>
      <c r="E608" s="29">
        <f>'По платам'!C610*$E$1</f>
        <v>0</v>
      </c>
      <c r="F608" s="29">
        <f>'По платам'!D610*$F$1</f>
        <v>0</v>
      </c>
      <c r="G608" s="29">
        <f>'По платам'!E610*$G$1</f>
        <v>0</v>
      </c>
      <c r="H608" s="29">
        <f>'По платам'!F610*$H$1</f>
        <v>0</v>
      </c>
      <c r="I608" s="29">
        <f>'По платам'!G610*$I$1</f>
        <v>0</v>
      </c>
      <c r="J608" s="29">
        <f>'По платам'!H610*$J$1</f>
        <v>0</v>
      </c>
      <c r="K608" s="29">
        <f>'По платам'!I610*$K$1</f>
        <v>0</v>
      </c>
      <c r="L608" s="29">
        <f>'По платам'!J610*$L$1</f>
        <v>0</v>
      </c>
      <c r="M608" s="29">
        <f>'По платам'!K610*$M$1</f>
        <v>0</v>
      </c>
      <c r="N608" s="29">
        <f>'По платам'!L610*'Состав прибора'!$B$16</f>
        <v>0</v>
      </c>
    </row>
    <row r="609" spans="1:14">
      <c r="A609" s="16" t="s">
        <v>48</v>
      </c>
      <c r="C609" s="18" t="s">
        <v>2841</v>
      </c>
      <c r="D609" s="25">
        <f t="shared" si="9"/>
        <v>2</v>
      </c>
      <c r="E609" s="29">
        <f>'По платам'!C611*$E$1</f>
        <v>0</v>
      </c>
      <c r="F609" s="29">
        <f>'По платам'!D611*$F$1</f>
        <v>0</v>
      </c>
      <c r="G609" s="29">
        <f>'По платам'!E611*$G$1</f>
        <v>0</v>
      </c>
      <c r="H609" s="29">
        <f>'По платам'!F611*$H$1</f>
        <v>0</v>
      </c>
      <c r="I609" s="29">
        <f>'По платам'!G611*$I$1</f>
        <v>0</v>
      </c>
      <c r="J609" s="29">
        <f>'По платам'!H611*$J$1</f>
        <v>0</v>
      </c>
      <c r="K609" s="29">
        <f>'По платам'!I611*$K$1</f>
        <v>0</v>
      </c>
      <c r="L609" s="29">
        <f>'По платам'!J611*$L$1</f>
        <v>2</v>
      </c>
      <c r="M609" s="29">
        <f>'По платам'!K611*$M$1</f>
        <v>0</v>
      </c>
      <c r="N609" s="29">
        <f>'По платам'!L611*'Состав прибора'!$B$16</f>
        <v>0</v>
      </c>
    </row>
    <row r="610" spans="1:14">
      <c r="A610" s="16" t="s">
        <v>48</v>
      </c>
      <c r="C610" s="18" t="s">
        <v>2470</v>
      </c>
      <c r="D610" s="25">
        <f t="shared" si="9"/>
        <v>0</v>
      </c>
      <c r="E610" s="29">
        <f>'По платам'!C612*$E$1</f>
        <v>0</v>
      </c>
      <c r="F610" s="29">
        <f>'По платам'!D612*$F$1</f>
        <v>0</v>
      </c>
      <c r="G610" s="29">
        <f>'По платам'!E612*$G$1</f>
        <v>0</v>
      </c>
      <c r="H610" s="29">
        <f>'По платам'!F612*$H$1</f>
        <v>0</v>
      </c>
      <c r="I610" s="29">
        <f>'По платам'!G612*$I$1</f>
        <v>0</v>
      </c>
      <c r="J610" s="29">
        <f>'По платам'!H612*$J$1</f>
        <v>0</v>
      </c>
      <c r="K610" s="29">
        <f>'По платам'!I612*$K$1</f>
        <v>0</v>
      </c>
      <c r="L610" s="29">
        <f>'По платам'!J612*$L$1</f>
        <v>0</v>
      </c>
      <c r="M610" s="29">
        <f>'По платам'!K612*$M$1</f>
        <v>0</v>
      </c>
      <c r="N610" s="29">
        <f>'По платам'!L612*'Состав прибора'!$B$16</f>
        <v>0</v>
      </c>
    </row>
    <row r="611" spans="1:14">
      <c r="A611" s="16" t="s">
        <v>48</v>
      </c>
      <c r="C611" s="18" t="s">
        <v>923</v>
      </c>
      <c r="D611" s="25">
        <f t="shared" si="9"/>
        <v>1</v>
      </c>
      <c r="E611" s="29">
        <f>'По платам'!C613*$E$1</f>
        <v>0</v>
      </c>
      <c r="F611" s="29">
        <f>'По платам'!D613*$F$1</f>
        <v>0</v>
      </c>
      <c r="G611" s="29">
        <f>'По платам'!E613*$G$1</f>
        <v>0</v>
      </c>
      <c r="H611" s="29">
        <f>'По платам'!F613*$H$1</f>
        <v>0</v>
      </c>
      <c r="I611" s="29">
        <f>'По платам'!G613*$I$1</f>
        <v>0</v>
      </c>
      <c r="J611" s="29">
        <f>'По платам'!H613*$J$1</f>
        <v>0</v>
      </c>
      <c r="K611" s="29">
        <f>'По платам'!I613*$K$1</f>
        <v>1</v>
      </c>
      <c r="L611" s="29">
        <f>'По платам'!J613*$L$1</f>
        <v>0</v>
      </c>
      <c r="M611" s="29">
        <f>'По платам'!K613*$M$1</f>
        <v>0</v>
      </c>
      <c r="N611" s="29">
        <f>'По платам'!L613*'Состав прибора'!$B$16</f>
        <v>0</v>
      </c>
    </row>
    <row r="612" spans="1:14">
      <c r="A612" s="16" t="s">
        <v>48</v>
      </c>
      <c r="C612" s="18" t="s">
        <v>2446</v>
      </c>
      <c r="D612" s="25">
        <f t="shared" si="9"/>
        <v>0</v>
      </c>
      <c r="E612" s="29">
        <f>'По платам'!C614*$E$1</f>
        <v>0</v>
      </c>
      <c r="F612" s="29">
        <f>'По платам'!D614*$F$1</f>
        <v>0</v>
      </c>
      <c r="G612" s="29">
        <f>'По платам'!E614*$G$1</f>
        <v>0</v>
      </c>
      <c r="H612" s="29">
        <f>'По платам'!F614*$H$1</f>
        <v>0</v>
      </c>
      <c r="I612" s="29">
        <f>'По платам'!G614*$I$1</f>
        <v>0</v>
      </c>
      <c r="J612" s="29">
        <f>'По платам'!H614*$J$1</f>
        <v>0</v>
      </c>
      <c r="K612" s="29">
        <f>'По платам'!I614*$K$1</f>
        <v>0</v>
      </c>
      <c r="L612" s="29">
        <f>'По платам'!J614*$L$1</f>
        <v>0</v>
      </c>
      <c r="M612" s="29">
        <f>'По платам'!K614*$M$1</f>
        <v>0</v>
      </c>
      <c r="N612" s="29">
        <f>'По платам'!L614*'Состав прибора'!$B$16</f>
        <v>0</v>
      </c>
    </row>
    <row r="613" spans="1:14">
      <c r="A613" s="16" t="s">
        <v>48</v>
      </c>
      <c r="C613" s="18" t="s">
        <v>2466</v>
      </c>
      <c r="D613" s="25">
        <f t="shared" si="9"/>
        <v>0</v>
      </c>
      <c r="E613" s="29">
        <f>'По платам'!C615*$E$1</f>
        <v>0</v>
      </c>
      <c r="F613" s="29">
        <f>'По платам'!D615*$F$1</f>
        <v>0</v>
      </c>
      <c r="G613" s="29">
        <f>'По платам'!E615*$G$1</f>
        <v>0</v>
      </c>
      <c r="H613" s="29">
        <f>'По платам'!F615*$H$1</f>
        <v>0</v>
      </c>
      <c r="I613" s="29">
        <f>'По платам'!G615*$I$1</f>
        <v>0</v>
      </c>
      <c r="J613" s="29">
        <f>'По платам'!H615*$J$1</f>
        <v>0</v>
      </c>
      <c r="K613" s="29">
        <f>'По платам'!I615*$K$1</f>
        <v>0</v>
      </c>
      <c r="L613" s="29">
        <f>'По платам'!J615*$L$1</f>
        <v>0</v>
      </c>
      <c r="M613" s="29">
        <f>'По платам'!K615*$M$1</f>
        <v>0</v>
      </c>
      <c r="N613" s="29">
        <f>'По платам'!L615*'Состав прибора'!$B$16</f>
        <v>0</v>
      </c>
    </row>
    <row r="614" spans="1:14">
      <c r="A614" s="16" t="s">
        <v>48</v>
      </c>
      <c r="C614" s="18" t="s">
        <v>2519</v>
      </c>
      <c r="D614" s="25">
        <f t="shared" si="9"/>
        <v>0</v>
      </c>
      <c r="E614" s="29">
        <f>'По платам'!C616*$E$1</f>
        <v>0</v>
      </c>
      <c r="F614" s="29">
        <f>'По платам'!D616*$F$1</f>
        <v>0</v>
      </c>
      <c r="G614" s="29">
        <f>'По платам'!E616*$G$1</f>
        <v>0</v>
      </c>
      <c r="H614" s="29">
        <f>'По платам'!F616*$H$1</f>
        <v>0</v>
      </c>
      <c r="I614" s="29">
        <f>'По платам'!G616*$I$1</f>
        <v>0</v>
      </c>
      <c r="J614" s="29">
        <f>'По платам'!H616*$J$1</f>
        <v>0</v>
      </c>
      <c r="K614" s="29">
        <f>'По платам'!I616*$K$1</f>
        <v>0</v>
      </c>
      <c r="L614" s="29">
        <f>'По платам'!J616*$L$1</f>
        <v>0</v>
      </c>
      <c r="M614" s="29">
        <f>'По платам'!K616*$M$1</f>
        <v>0</v>
      </c>
      <c r="N614" s="29">
        <f>'По платам'!L616*'Состав прибора'!$B$16</f>
        <v>0</v>
      </c>
    </row>
    <row r="615" spans="1:14">
      <c r="A615" s="16" t="s">
        <v>48</v>
      </c>
      <c r="C615" s="18" t="s">
        <v>1400</v>
      </c>
      <c r="D615" s="25">
        <f t="shared" si="9"/>
        <v>1</v>
      </c>
      <c r="E615" s="29">
        <f>'По платам'!C617*$E$1</f>
        <v>0</v>
      </c>
      <c r="F615" s="29">
        <f>'По платам'!D617*$F$1</f>
        <v>0</v>
      </c>
      <c r="G615" s="29">
        <f>'По платам'!E617*$G$1</f>
        <v>0</v>
      </c>
      <c r="H615" s="29">
        <f>'По платам'!F617*$H$1</f>
        <v>1</v>
      </c>
      <c r="I615" s="29">
        <f>'По платам'!G617*$I$1</f>
        <v>0</v>
      </c>
      <c r="J615" s="29">
        <f>'По платам'!H617*$J$1</f>
        <v>0</v>
      </c>
      <c r="K615" s="29">
        <f>'По платам'!I617*$K$1</f>
        <v>0</v>
      </c>
      <c r="L615" s="29">
        <f>'По платам'!J617*$L$1</f>
        <v>0</v>
      </c>
      <c r="M615" s="29">
        <f>'По платам'!K617*$M$1</f>
        <v>0</v>
      </c>
      <c r="N615" s="29">
        <f>'По платам'!L617*'Состав прибора'!$B$16</f>
        <v>0</v>
      </c>
    </row>
    <row r="616" spans="1:14">
      <c r="A616" s="16" t="s">
        <v>48</v>
      </c>
      <c r="C616" s="18" t="s">
        <v>2378</v>
      </c>
      <c r="D616" s="25">
        <f t="shared" si="9"/>
        <v>0</v>
      </c>
      <c r="E616" s="29">
        <f>'По платам'!C618*$E$1</f>
        <v>0</v>
      </c>
      <c r="F616" s="29">
        <f>'По платам'!D618*$F$1</f>
        <v>0</v>
      </c>
      <c r="G616" s="29">
        <f>'По платам'!E618*$G$1</f>
        <v>0</v>
      </c>
      <c r="H616" s="29">
        <f>'По платам'!F618*$H$1</f>
        <v>0</v>
      </c>
      <c r="I616" s="29">
        <f>'По платам'!G618*$I$1</f>
        <v>0</v>
      </c>
      <c r="J616" s="29">
        <f>'По платам'!H618*$J$1</f>
        <v>0</v>
      </c>
      <c r="K616" s="29">
        <f>'По платам'!I618*$K$1</f>
        <v>0</v>
      </c>
      <c r="L616" s="29">
        <f>'По платам'!J618*$L$1</f>
        <v>0</v>
      </c>
      <c r="M616" s="29">
        <f>'По платам'!K618*$M$1</f>
        <v>0</v>
      </c>
      <c r="N616" s="29">
        <f>'По платам'!L618*'Состав прибора'!$B$16</f>
        <v>0</v>
      </c>
    </row>
    <row r="617" spans="1:14">
      <c r="A617" s="16" t="s">
        <v>48</v>
      </c>
      <c r="C617" s="18" t="s">
        <v>2436</v>
      </c>
      <c r="D617" s="25">
        <f t="shared" si="9"/>
        <v>0</v>
      </c>
      <c r="E617" s="29">
        <f>'По платам'!C619*$E$1</f>
        <v>0</v>
      </c>
      <c r="F617" s="29">
        <f>'По платам'!D619*$F$1</f>
        <v>0</v>
      </c>
      <c r="G617" s="29">
        <f>'По платам'!E619*$G$1</f>
        <v>0</v>
      </c>
      <c r="H617" s="29">
        <f>'По платам'!F619*$H$1</f>
        <v>0</v>
      </c>
      <c r="I617" s="29">
        <f>'По платам'!G619*$I$1</f>
        <v>0</v>
      </c>
      <c r="J617" s="29">
        <f>'По платам'!H619*$J$1</f>
        <v>0</v>
      </c>
      <c r="K617" s="29">
        <f>'По платам'!I619*$K$1</f>
        <v>0</v>
      </c>
      <c r="L617" s="29">
        <f>'По платам'!J619*$L$1</f>
        <v>0</v>
      </c>
      <c r="M617" s="29">
        <f>'По платам'!K619*$M$1</f>
        <v>0</v>
      </c>
      <c r="N617" s="29">
        <f>'По платам'!L619*'Состав прибора'!$B$16</f>
        <v>0</v>
      </c>
    </row>
    <row r="618" spans="1:14">
      <c r="A618" s="16" t="s">
        <v>48</v>
      </c>
      <c r="C618" s="18" t="s">
        <v>212</v>
      </c>
      <c r="D618" s="25">
        <f t="shared" si="9"/>
        <v>20</v>
      </c>
      <c r="E618" s="29">
        <f>'По платам'!C620*$E$1</f>
        <v>0</v>
      </c>
      <c r="F618" s="29">
        <f>'По платам'!D620*$F$1</f>
        <v>0</v>
      </c>
      <c r="G618" s="29">
        <f>'По платам'!E620*$G$1</f>
        <v>0</v>
      </c>
      <c r="H618" s="29">
        <f>'По платам'!F620*$H$1</f>
        <v>9</v>
      </c>
      <c r="I618" s="29">
        <f>'По платам'!G620*$I$1</f>
        <v>2</v>
      </c>
      <c r="J618" s="29">
        <f>'По платам'!H620*$J$1</f>
        <v>4</v>
      </c>
      <c r="K618" s="29">
        <f>'По платам'!I620*$K$1</f>
        <v>0</v>
      </c>
      <c r="L618" s="29">
        <f>'По платам'!J620*$L$1</f>
        <v>5</v>
      </c>
      <c r="M618" s="29">
        <f>'По платам'!K620*$M$1</f>
        <v>0</v>
      </c>
      <c r="N618" s="29">
        <f>'По платам'!L620*'Состав прибора'!$B$16</f>
        <v>0</v>
      </c>
    </row>
    <row r="619" spans="1:14">
      <c r="A619" s="16" t="s">
        <v>48</v>
      </c>
      <c r="C619" s="18" t="s">
        <v>2836</v>
      </c>
      <c r="D619" s="25">
        <f t="shared" si="9"/>
        <v>0</v>
      </c>
      <c r="E619" s="29">
        <f>'По платам'!C621*$E$1</f>
        <v>0</v>
      </c>
      <c r="F619" s="29">
        <f>'По платам'!D621*$F$1</f>
        <v>0</v>
      </c>
      <c r="G619" s="29">
        <f>'По платам'!E621*$G$1</f>
        <v>0</v>
      </c>
      <c r="H619" s="29">
        <f>'По платам'!F621*$H$1</f>
        <v>0</v>
      </c>
      <c r="I619" s="29">
        <f>'По платам'!G621*$I$1</f>
        <v>0</v>
      </c>
      <c r="J619" s="29">
        <f>'По платам'!H621*$J$1</f>
        <v>0</v>
      </c>
      <c r="K619" s="29">
        <f>'По платам'!I621*$K$1</f>
        <v>0</v>
      </c>
      <c r="L619" s="29">
        <f>'По платам'!J621*$L$1</f>
        <v>0</v>
      </c>
      <c r="M619" s="29">
        <f>'По платам'!K621*$M$1</f>
        <v>0</v>
      </c>
      <c r="N619" s="29">
        <f>'По платам'!L621*'Состав прибора'!$B$16</f>
        <v>0</v>
      </c>
    </row>
    <row r="620" spans="1:14">
      <c r="A620" s="16" t="s">
        <v>48</v>
      </c>
      <c r="C620" s="18" t="s">
        <v>2412</v>
      </c>
      <c r="D620" s="25">
        <f t="shared" si="9"/>
        <v>0</v>
      </c>
      <c r="E620" s="29">
        <f>'По платам'!C622*$E$1</f>
        <v>0</v>
      </c>
      <c r="F620" s="29">
        <f>'По платам'!D622*$F$1</f>
        <v>0</v>
      </c>
      <c r="G620" s="29">
        <f>'По платам'!E622*$G$1</f>
        <v>0</v>
      </c>
      <c r="H620" s="29">
        <f>'По платам'!F622*$H$1</f>
        <v>0</v>
      </c>
      <c r="I620" s="29">
        <f>'По платам'!G622*$I$1</f>
        <v>0</v>
      </c>
      <c r="J620" s="29">
        <f>'По платам'!H622*$J$1</f>
        <v>0</v>
      </c>
      <c r="K620" s="29">
        <f>'По платам'!I622*$K$1</f>
        <v>0</v>
      </c>
      <c r="L620" s="29">
        <f>'По платам'!J622*$L$1</f>
        <v>0</v>
      </c>
      <c r="M620" s="29">
        <f>'По платам'!K622*$M$1</f>
        <v>0</v>
      </c>
      <c r="N620" s="29">
        <f>'По платам'!L622*'Состав прибора'!$B$16</f>
        <v>0</v>
      </c>
    </row>
    <row r="621" spans="1:14">
      <c r="A621" s="16" t="s">
        <v>48</v>
      </c>
      <c r="C621" s="18" t="s">
        <v>950</v>
      </c>
      <c r="D621" s="25">
        <f t="shared" si="9"/>
        <v>1</v>
      </c>
      <c r="E621" s="29">
        <f>'По платам'!C623*$E$1</f>
        <v>0</v>
      </c>
      <c r="F621" s="29">
        <f>'По платам'!D623*$F$1</f>
        <v>0</v>
      </c>
      <c r="G621" s="29">
        <f>'По платам'!E623*$G$1</f>
        <v>0</v>
      </c>
      <c r="H621" s="29">
        <f>'По платам'!F623*$H$1</f>
        <v>0</v>
      </c>
      <c r="I621" s="29">
        <f>'По платам'!G623*$I$1</f>
        <v>0</v>
      </c>
      <c r="J621" s="29">
        <f>'По платам'!H623*$J$1</f>
        <v>0</v>
      </c>
      <c r="K621" s="29">
        <f>'По платам'!I623*$K$1</f>
        <v>1</v>
      </c>
      <c r="L621" s="29">
        <f>'По платам'!J623*$L$1</f>
        <v>0</v>
      </c>
      <c r="M621" s="29">
        <f>'По платам'!K623*$M$1</f>
        <v>0</v>
      </c>
      <c r="N621" s="29">
        <f>'По платам'!L623*'Состав прибора'!$B$16</f>
        <v>0</v>
      </c>
    </row>
    <row r="622" spans="1:14">
      <c r="A622" s="16" t="s">
        <v>48</v>
      </c>
      <c r="C622" s="18" t="s">
        <v>2488</v>
      </c>
      <c r="D622" s="25">
        <f t="shared" si="9"/>
        <v>0</v>
      </c>
      <c r="E622" s="29">
        <f>'По платам'!C624*$E$1</f>
        <v>0</v>
      </c>
      <c r="F622" s="29">
        <f>'По платам'!D624*$F$1</f>
        <v>0</v>
      </c>
      <c r="G622" s="29">
        <f>'По платам'!E624*$G$1</f>
        <v>0</v>
      </c>
      <c r="H622" s="29">
        <f>'По платам'!F624*$H$1</f>
        <v>0</v>
      </c>
      <c r="I622" s="29">
        <f>'По платам'!G624*$I$1</f>
        <v>0</v>
      </c>
      <c r="J622" s="29">
        <f>'По платам'!H624*$J$1</f>
        <v>0</v>
      </c>
      <c r="K622" s="29">
        <f>'По платам'!I624*$K$1</f>
        <v>0</v>
      </c>
      <c r="L622" s="29">
        <f>'По платам'!J624*$L$1</f>
        <v>0</v>
      </c>
      <c r="M622" s="29">
        <f>'По платам'!K624*$M$1</f>
        <v>0</v>
      </c>
      <c r="N622" s="29">
        <f>'По платам'!L624*'Состав прибора'!$B$16</f>
        <v>0</v>
      </c>
    </row>
    <row r="623" spans="1:14">
      <c r="A623" s="16" t="s">
        <v>48</v>
      </c>
      <c r="C623" s="18" t="s">
        <v>935</v>
      </c>
      <c r="D623" s="25">
        <f t="shared" si="9"/>
        <v>1</v>
      </c>
      <c r="E623" s="29">
        <f>'По платам'!C625*$E$1</f>
        <v>0</v>
      </c>
      <c r="F623" s="29">
        <f>'По платам'!D625*$F$1</f>
        <v>0</v>
      </c>
      <c r="G623" s="29">
        <f>'По платам'!E625*$G$1</f>
        <v>0</v>
      </c>
      <c r="H623" s="29">
        <f>'По платам'!F625*$H$1</f>
        <v>0</v>
      </c>
      <c r="I623" s="29">
        <f>'По платам'!G625*$I$1</f>
        <v>0</v>
      </c>
      <c r="J623" s="29">
        <f>'По платам'!H625*$J$1</f>
        <v>0</v>
      </c>
      <c r="K623" s="29">
        <f>'По платам'!I625*$K$1</f>
        <v>1</v>
      </c>
      <c r="L623" s="29">
        <f>'По платам'!J625*$L$1</f>
        <v>0</v>
      </c>
      <c r="M623" s="29">
        <f>'По платам'!K625*$M$1</f>
        <v>0</v>
      </c>
      <c r="N623" s="29">
        <f>'По платам'!L625*'Состав прибора'!$B$16</f>
        <v>0</v>
      </c>
    </row>
    <row r="624" spans="1:14">
      <c r="A624" s="16" t="s">
        <v>48</v>
      </c>
      <c r="C624" s="18" t="s">
        <v>2523</v>
      </c>
      <c r="D624" s="25">
        <f t="shared" si="9"/>
        <v>0</v>
      </c>
      <c r="E624" s="29">
        <f>'По платам'!C626*$E$1</f>
        <v>0</v>
      </c>
      <c r="F624" s="29">
        <f>'По платам'!D626*$F$1</f>
        <v>0</v>
      </c>
      <c r="G624" s="29">
        <f>'По платам'!E626*$G$1</f>
        <v>0</v>
      </c>
      <c r="H624" s="29">
        <f>'По платам'!F626*$H$1</f>
        <v>0</v>
      </c>
      <c r="I624" s="29">
        <f>'По платам'!G626*$I$1</f>
        <v>0</v>
      </c>
      <c r="J624" s="29">
        <f>'По платам'!H626*$J$1</f>
        <v>0</v>
      </c>
      <c r="K624" s="29">
        <f>'По платам'!I626*$K$1</f>
        <v>0</v>
      </c>
      <c r="L624" s="29">
        <f>'По платам'!J626*$L$1</f>
        <v>0</v>
      </c>
      <c r="M624" s="29">
        <f>'По платам'!K626*$M$1</f>
        <v>0</v>
      </c>
      <c r="N624" s="29">
        <f>'По платам'!L626*'Состав прибора'!$B$16</f>
        <v>0</v>
      </c>
    </row>
    <row r="625" spans="1:14">
      <c r="A625" s="16" t="s">
        <v>48</v>
      </c>
      <c r="C625" s="18" t="s">
        <v>1409</v>
      </c>
      <c r="D625" s="25">
        <f t="shared" si="9"/>
        <v>2</v>
      </c>
      <c r="E625" s="29">
        <f>'По платам'!C627*$E$1</f>
        <v>0</v>
      </c>
      <c r="F625" s="29">
        <f>'По платам'!D627*$F$1</f>
        <v>0</v>
      </c>
      <c r="G625" s="29">
        <f>'По платам'!E627*$G$1</f>
        <v>0</v>
      </c>
      <c r="H625" s="29">
        <f>'По платам'!F627*$H$1</f>
        <v>2</v>
      </c>
      <c r="I625" s="29">
        <f>'По платам'!G627*$I$1</f>
        <v>0</v>
      </c>
      <c r="J625" s="29">
        <f>'По платам'!H627*$J$1</f>
        <v>0</v>
      </c>
      <c r="K625" s="29">
        <f>'По платам'!I627*$K$1</f>
        <v>0</v>
      </c>
      <c r="L625" s="29">
        <f>'По платам'!J627*$L$1</f>
        <v>0</v>
      </c>
      <c r="M625" s="29">
        <f>'По платам'!K627*$M$1</f>
        <v>0</v>
      </c>
      <c r="N625" s="29">
        <f>'По платам'!L627*'Состав прибора'!$B$16</f>
        <v>0</v>
      </c>
    </row>
    <row r="626" spans="1:14">
      <c r="A626" s="16" t="s">
        <v>48</v>
      </c>
      <c r="C626" s="18" t="s">
        <v>2972</v>
      </c>
      <c r="D626" s="25">
        <f t="shared" si="9"/>
        <v>16</v>
      </c>
      <c r="E626" s="29">
        <f>'По платам'!C628*$E$1</f>
        <v>0</v>
      </c>
      <c r="F626" s="29">
        <f>'По платам'!D628*$F$1</f>
        <v>0</v>
      </c>
      <c r="G626" s="29">
        <f>'По платам'!E628*$G$1</f>
        <v>0</v>
      </c>
      <c r="H626" s="29">
        <f>'По платам'!F628*$H$1</f>
        <v>0</v>
      </c>
      <c r="I626" s="29">
        <f>'По платам'!G628*$I$1</f>
        <v>0</v>
      </c>
      <c r="J626" s="29">
        <f>'По платам'!H628*$J$1</f>
        <v>0</v>
      </c>
      <c r="K626" s="29">
        <f>'По платам'!I628*$K$1</f>
        <v>0</v>
      </c>
      <c r="L626" s="29">
        <f>'По платам'!J628*$L$1</f>
        <v>16</v>
      </c>
      <c r="M626" s="29">
        <f>'По платам'!K628*$M$1</f>
        <v>0</v>
      </c>
      <c r="N626" s="29">
        <f>'По платам'!L628*'Состав прибора'!$B$16</f>
        <v>0</v>
      </c>
    </row>
    <row r="627" spans="1:14">
      <c r="A627" s="16" t="s">
        <v>48</v>
      </c>
      <c r="C627" s="18" t="s">
        <v>954</v>
      </c>
      <c r="D627" s="25">
        <f t="shared" si="9"/>
        <v>2</v>
      </c>
      <c r="E627" s="29">
        <f>'По платам'!C629*$E$1</f>
        <v>0</v>
      </c>
      <c r="F627" s="29">
        <f>'По платам'!D629*$F$1</f>
        <v>0</v>
      </c>
      <c r="G627" s="29">
        <f>'По платам'!E629*$G$1</f>
        <v>0</v>
      </c>
      <c r="H627" s="29">
        <f>'По платам'!F629*$H$1</f>
        <v>0</v>
      </c>
      <c r="I627" s="29">
        <f>'По платам'!G629*$I$1</f>
        <v>0</v>
      </c>
      <c r="J627" s="29">
        <f>'По платам'!H629*$J$1</f>
        <v>0</v>
      </c>
      <c r="K627" s="29">
        <f>'По платам'!I629*$K$1</f>
        <v>2</v>
      </c>
      <c r="L627" s="29">
        <f>'По платам'!J629*$L$1</f>
        <v>0</v>
      </c>
      <c r="M627" s="29">
        <f>'По платам'!K629*$M$1</f>
        <v>0</v>
      </c>
      <c r="N627" s="29">
        <f>'По платам'!L629*'Состав прибора'!$B$16</f>
        <v>0</v>
      </c>
    </row>
    <row r="628" spans="1:14">
      <c r="A628" s="16" t="s">
        <v>48</v>
      </c>
      <c r="C628" s="18" t="s">
        <v>1140</v>
      </c>
      <c r="D628" s="25">
        <f t="shared" si="9"/>
        <v>4</v>
      </c>
      <c r="E628" s="29">
        <f>'По платам'!C630*$E$1</f>
        <v>0</v>
      </c>
      <c r="F628" s="29">
        <f>'По платам'!D630*$F$1</f>
        <v>0</v>
      </c>
      <c r="G628" s="29">
        <f>'По платам'!E630*$G$1</f>
        <v>0</v>
      </c>
      <c r="H628" s="29">
        <f>'По платам'!F630*$H$1</f>
        <v>0</v>
      </c>
      <c r="I628" s="29">
        <f>'По платам'!G630*$I$1</f>
        <v>0</v>
      </c>
      <c r="J628" s="29">
        <f>'По платам'!H630*$J$1</f>
        <v>4</v>
      </c>
      <c r="K628" s="29">
        <f>'По платам'!I630*$K$1</f>
        <v>0</v>
      </c>
      <c r="L628" s="29">
        <f>'По платам'!J630*$L$1</f>
        <v>0</v>
      </c>
      <c r="M628" s="29">
        <f>'По платам'!K630*$M$1</f>
        <v>0</v>
      </c>
      <c r="N628" s="29">
        <f>'По платам'!L630*'Состав прибора'!$B$16</f>
        <v>0</v>
      </c>
    </row>
    <row r="629" spans="1:14">
      <c r="A629" s="16" t="s">
        <v>48</v>
      </c>
      <c r="C629" s="18" t="s">
        <v>1153</v>
      </c>
      <c r="D629" s="25">
        <f t="shared" si="9"/>
        <v>2</v>
      </c>
      <c r="E629" s="29">
        <f>'По платам'!C631*$E$1</f>
        <v>0</v>
      </c>
      <c r="F629" s="29">
        <f>'По платам'!D631*$F$1</f>
        <v>0</v>
      </c>
      <c r="G629" s="29">
        <f>'По платам'!E631*$G$1</f>
        <v>0</v>
      </c>
      <c r="H629" s="29">
        <f>'По платам'!F631*$H$1</f>
        <v>1</v>
      </c>
      <c r="I629" s="29">
        <f>'По платам'!G631*$I$1</f>
        <v>0</v>
      </c>
      <c r="J629" s="29">
        <f>'По платам'!H631*$J$1</f>
        <v>1</v>
      </c>
      <c r="K629" s="29">
        <f>'По платам'!I631*$K$1</f>
        <v>0</v>
      </c>
      <c r="L629" s="29">
        <f>'По платам'!J631*$L$1</f>
        <v>0</v>
      </c>
      <c r="M629" s="29">
        <f>'По платам'!K631*$M$1</f>
        <v>0</v>
      </c>
      <c r="N629" s="29">
        <f>'По платам'!L631*'Состав прибора'!$B$16</f>
        <v>0</v>
      </c>
    </row>
    <row r="630" spans="1:14">
      <c r="A630" s="16" t="s">
        <v>48</v>
      </c>
      <c r="C630" s="18" t="s">
        <v>416</v>
      </c>
      <c r="D630" s="25">
        <f t="shared" si="9"/>
        <v>5</v>
      </c>
      <c r="E630" s="29">
        <f>'По платам'!C632*$E$1</f>
        <v>0</v>
      </c>
      <c r="F630" s="29">
        <f>'По платам'!D632*$F$1</f>
        <v>0</v>
      </c>
      <c r="G630" s="29">
        <f>'По платам'!E632*$G$1</f>
        <v>0</v>
      </c>
      <c r="H630" s="29">
        <f>'По платам'!F632*$H$1</f>
        <v>0</v>
      </c>
      <c r="I630" s="29">
        <f>'По платам'!G632*$I$1</f>
        <v>4</v>
      </c>
      <c r="J630" s="29">
        <f>'По платам'!H632*$J$1</f>
        <v>0</v>
      </c>
      <c r="K630" s="29">
        <f>'По платам'!I632*$K$1</f>
        <v>0</v>
      </c>
      <c r="L630" s="29">
        <f>'По платам'!J632*$L$1</f>
        <v>1</v>
      </c>
      <c r="M630" s="29">
        <f>'По платам'!K632*$M$1</f>
        <v>0</v>
      </c>
      <c r="N630" s="29">
        <f>'По платам'!L632*'Состав прибора'!$B$16</f>
        <v>0</v>
      </c>
    </row>
    <row r="631" spans="1:14">
      <c r="A631" s="16" t="s">
        <v>48</v>
      </c>
      <c r="C631" s="18" t="s">
        <v>1419</v>
      </c>
      <c r="D631" s="25">
        <f t="shared" si="9"/>
        <v>1</v>
      </c>
      <c r="E631" s="29">
        <f>'По платам'!C633*$E$1</f>
        <v>0</v>
      </c>
      <c r="F631" s="29">
        <f>'По платам'!D633*$F$1</f>
        <v>0</v>
      </c>
      <c r="G631" s="29">
        <f>'По платам'!E633*$G$1</f>
        <v>0</v>
      </c>
      <c r="H631" s="29">
        <f>'По платам'!F633*$H$1</f>
        <v>1</v>
      </c>
      <c r="I631" s="29">
        <f>'По платам'!G633*$I$1</f>
        <v>0</v>
      </c>
      <c r="J631" s="29">
        <f>'По платам'!H633*$J$1</f>
        <v>0</v>
      </c>
      <c r="K631" s="29">
        <f>'По платам'!I633*$K$1</f>
        <v>0</v>
      </c>
      <c r="L631" s="29">
        <f>'По платам'!J633*$L$1</f>
        <v>0</v>
      </c>
      <c r="M631" s="29">
        <f>'По платам'!K633*$M$1</f>
        <v>0</v>
      </c>
      <c r="N631" s="29">
        <f>'По платам'!L633*'Состав прибора'!$B$16</f>
        <v>0</v>
      </c>
    </row>
    <row r="632" spans="1:14">
      <c r="A632" s="16" t="s">
        <v>48</v>
      </c>
      <c r="C632" s="18" t="s">
        <v>492</v>
      </c>
      <c r="D632" s="25">
        <f t="shared" si="9"/>
        <v>2</v>
      </c>
      <c r="E632" s="29">
        <f>'По платам'!C634*$E$1</f>
        <v>0</v>
      </c>
      <c r="F632" s="29">
        <f>'По платам'!D634*$F$1</f>
        <v>0</v>
      </c>
      <c r="G632" s="29">
        <f>'По платам'!E634*$G$1</f>
        <v>0</v>
      </c>
      <c r="H632" s="29">
        <f>'По платам'!F634*$H$1</f>
        <v>0</v>
      </c>
      <c r="I632" s="29">
        <f>'По платам'!G634*$I$1</f>
        <v>0</v>
      </c>
      <c r="J632" s="29">
        <f>'По платам'!H634*$J$1</f>
        <v>0</v>
      </c>
      <c r="K632" s="29">
        <f>'По платам'!I634*$K$1</f>
        <v>1</v>
      </c>
      <c r="L632" s="29">
        <f>'По платам'!J634*$L$1</f>
        <v>1</v>
      </c>
      <c r="M632" s="29">
        <f>'По платам'!K634*$M$1</f>
        <v>0</v>
      </c>
      <c r="N632" s="29">
        <f>'По платам'!L634*'Состав прибора'!$B$16</f>
        <v>0</v>
      </c>
    </row>
    <row r="633" spans="1:14">
      <c r="A633" s="16" t="s">
        <v>48</v>
      </c>
      <c r="C633" s="18" t="s">
        <v>3006</v>
      </c>
      <c r="D633" s="25">
        <f t="shared" si="9"/>
        <v>2</v>
      </c>
      <c r="E633" s="29">
        <f>'По платам'!C635*$E$1</f>
        <v>0</v>
      </c>
      <c r="F633" s="29">
        <f>'По платам'!D635*$F$1</f>
        <v>0</v>
      </c>
      <c r="G633" s="29">
        <f>'По платам'!E635*$G$1</f>
        <v>0</v>
      </c>
      <c r="H633" s="29">
        <f>'По платам'!F635*$H$1</f>
        <v>0</v>
      </c>
      <c r="I633" s="29">
        <f>'По платам'!G635*$I$1</f>
        <v>0</v>
      </c>
      <c r="J633" s="29">
        <f>'По платам'!H635*$J$1</f>
        <v>0</v>
      </c>
      <c r="K633" s="29">
        <f>'По платам'!I635*$K$1</f>
        <v>0</v>
      </c>
      <c r="L633" s="29">
        <f>'По платам'!J635*$L$1</f>
        <v>2</v>
      </c>
      <c r="M633" s="29">
        <f>'По платам'!K635*$M$1</f>
        <v>0</v>
      </c>
      <c r="N633" s="29">
        <f>'По платам'!L635*'Состав прибора'!$B$16</f>
        <v>0</v>
      </c>
    </row>
    <row r="634" spans="1:14">
      <c r="A634" s="16" t="s">
        <v>3046</v>
      </c>
      <c r="C634" s="18" t="s">
        <v>2365</v>
      </c>
      <c r="D634" s="25">
        <f t="shared" si="9"/>
        <v>0</v>
      </c>
      <c r="E634" s="29">
        <f>'По платам'!C636*$E$1</f>
        <v>0</v>
      </c>
      <c r="F634" s="29">
        <f>'По платам'!D636*$F$1</f>
        <v>0</v>
      </c>
      <c r="G634" s="29">
        <f>'По платам'!E636*$G$1</f>
        <v>0</v>
      </c>
      <c r="H634" s="29">
        <f>'По платам'!F636*$H$1</f>
        <v>0</v>
      </c>
      <c r="I634" s="29">
        <f>'По платам'!G636*$I$1</f>
        <v>0</v>
      </c>
      <c r="J634" s="29">
        <f>'По платам'!H636*$J$1</f>
        <v>0</v>
      </c>
      <c r="K634" s="29">
        <f>'По платам'!I636*$K$1</f>
        <v>0</v>
      </c>
      <c r="L634" s="29">
        <f>'По платам'!J636*$L$1</f>
        <v>0</v>
      </c>
      <c r="M634" s="29">
        <f>'По платам'!K636*$M$1</f>
        <v>0</v>
      </c>
      <c r="N634" s="29">
        <f>'По платам'!L636*'Состав прибора'!$B$16</f>
        <v>0</v>
      </c>
    </row>
    <row r="635" spans="1:14" ht="15.75" thickBot="1">
      <c r="C635" s="22" t="s">
        <v>2797</v>
      </c>
      <c r="D635" s="26"/>
      <c r="E635" s="29">
        <f>'По платам'!C637*$E$1</f>
        <v>0</v>
      </c>
      <c r="F635" s="29">
        <f>'По платам'!D637*$F$1</f>
        <v>0</v>
      </c>
      <c r="G635" s="29">
        <f>'По платам'!E637*$G$1</f>
        <v>0</v>
      </c>
      <c r="H635" s="29">
        <f>'По платам'!F637*$H$1</f>
        <v>0</v>
      </c>
      <c r="I635" s="29">
        <f>'По платам'!G637*$I$1</f>
        <v>0</v>
      </c>
      <c r="J635" s="29">
        <f>'По платам'!H637*$J$1</f>
        <v>0</v>
      </c>
      <c r="K635" s="29">
        <f>'По платам'!I637*$K$1</f>
        <v>0</v>
      </c>
      <c r="L635" s="29">
        <f>'По платам'!J637*$L$1</f>
        <v>0</v>
      </c>
      <c r="M635" s="29">
        <f>'По платам'!K637*$M$1</f>
        <v>0</v>
      </c>
      <c r="N635" s="29">
        <f>'По платам'!L637*'Состав прибора'!$B$16</f>
        <v>0</v>
      </c>
    </row>
    <row r="636" spans="1:14" ht="15.75" thickTop="1"/>
  </sheetData>
  <autoFilter ref="A2:N635"/>
  <conditionalFormatting sqref="E2:N1048576">
    <cfRule type="cellIs" dxfId="5" priority="3" operator="greaterThan">
      <formula>0</formula>
    </cfRule>
  </conditionalFormatting>
  <conditionalFormatting sqref="N2"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B1:L637"/>
  <sheetViews>
    <sheetView zoomScale="130" zoomScaleNormal="130" workbookViewId="0">
      <selection activeCell="N633" sqref="N633"/>
    </sheetView>
  </sheetViews>
  <sheetFormatPr defaultRowHeight="15"/>
  <cols>
    <col min="2" max="2" width="54.28515625" bestFit="1" customWidth="1"/>
    <col min="3" max="3" width="24.5703125" customWidth="1"/>
    <col min="4" max="4" width="25.7109375" customWidth="1"/>
    <col min="5" max="5" width="29.28515625" customWidth="1"/>
    <col min="6" max="6" width="28.7109375" customWidth="1"/>
    <col min="7" max="7" width="24.28515625" customWidth="1"/>
    <col min="8" max="8" width="26.42578125" customWidth="1"/>
    <col min="9" max="9" width="27" customWidth="1"/>
    <col min="10" max="10" width="23.5703125" customWidth="1"/>
    <col min="11" max="11" width="22.42578125" customWidth="1"/>
  </cols>
  <sheetData>
    <row r="1" spans="2:12" ht="15" customHeight="1" thickBot="1">
      <c r="B1" s="1"/>
      <c r="C1" s="5" t="s">
        <v>2075</v>
      </c>
      <c r="D1" s="6" t="s">
        <v>2055</v>
      </c>
      <c r="E1" s="6" t="s">
        <v>1452</v>
      </c>
      <c r="F1" s="6" t="s">
        <v>1281</v>
      </c>
      <c r="G1" s="6" t="s">
        <v>1237</v>
      </c>
      <c r="H1" s="6" t="s">
        <v>1091</v>
      </c>
      <c r="I1" s="6" t="s">
        <v>544</v>
      </c>
      <c r="J1" s="6" t="s">
        <v>226</v>
      </c>
      <c r="K1" s="6" t="s">
        <v>141</v>
      </c>
      <c r="L1" s="7" t="s">
        <v>14</v>
      </c>
    </row>
    <row r="2" spans="2:12">
      <c r="B2" s="4" t="s">
        <v>2798</v>
      </c>
    </row>
    <row r="3" spans="2:12">
      <c r="B3" s="3" t="s">
        <v>790</v>
      </c>
      <c r="C3">
        <f>IFERROR(INDEX('C2B004CPU2'!N:N,MATCH('По платам'!$B3,'C2B004CPU2'!L:L,0)),0)</f>
        <v>0</v>
      </c>
      <c r="D3">
        <f>IFERROR(INDEX(SBC_DIO_E1N004INF1!N:N,MATCH('По платам'!$B3,SBC_DIO_E1N004INF1!L:L,0)),0)</f>
        <v>0</v>
      </c>
      <c r="E3">
        <f>IFERROR(INDEX(SBC_35_2C3_1_E1E001CPU1E!N:N,MATCH('По платам'!$B3,SBC_35_2C3_1_E1E001CPU1E!L:L,0)),0)</f>
        <v>0</v>
      </c>
      <c r="F3">
        <f>IFERROR(INDEX(PCIe104_PSU_E1N001PWR1!N:N,MATCH('По платам'!$B3,PCIe104_PSU_E1N001PWR1!L:L,0)),0)</f>
        <v>0</v>
      </c>
      <c r="G3">
        <f>IFERROR(INDEX(PCIe104_INF2_E1N006INF1!N:N,MATCH('По платам'!$B3,PCIe104_INF2_E1N006INF1!L:L,0)),0)</f>
        <v>0</v>
      </c>
      <c r="H3">
        <f>IFERROR(INDEX(PCIe104_CON_E1N005INF1!N:N,MATCH('По платам'!$B3,PCIe104_CON_E1N005INF1!L:L,0)),0)</f>
        <v>0</v>
      </c>
      <c r="I3">
        <f>IFERROR(INDEX('EM-PCIE104-CPU_E1E001CPU1E'!N:N,MATCH('По платам'!$B3,'EM-PCIE104-CPU_E1E001CPU1E'!L:L,0)),0)</f>
        <v>0</v>
      </c>
      <c r="J3">
        <f>IFERROR(INDEX(PCIe104_INF_E1N001INF1!N:N,MATCH('По платам'!$B3,PCIe104_INF_E1N001INF1!L:L,0)),0)</f>
        <v>0</v>
      </c>
      <c r="K3">
        <f>IFERROR(INDEX(IB_2RS232_E1N002INF1!N:N,MATCH('По платам'!$B3,IB_2RS232_E1N002INF1!L:L,0)),0)</f>
        <v>0</v>
      </c>
      <c r="L3">
        <f>IFERROR(INDEX(IB_2CAN_E1N003INF1!N:N,MATCH('По платам'!$B3,IB_2CAN_E1N003INF1!L:L,0)),0)</f>
        <v>0</v>
      </c>
    </row>
    <row r="4" spans="2:12">
      <c r="B4" s="3" t="s">
        <v>398</v>
      </c>
      <c r="C4">
        <f>IFERROR(INDEX('C2B004CPU2'!N:N,MATCH('По платам'!B4,'C2B004CPU2'!L:L,0)),0)</f>
        <v>0</v>
      </c>
      <c r="D4">
        <f>IFERROR(INDEX(SBC_DIO_E1N004INF1!N:N,MATCH('По платам'!$B4,SBC_DIO_E1N004INF1!L:L,0)),0)</f>
        <v>0</v>
      </c>
      <c r="E4">
        <f>IFERROR(INDEX(SBC_35_2C3_1_E1E001CPU1E!N:N,MATCH('По платам'!$B4,SBC_35_2C3_1_E1E001CPU1E!L:L,0)),0)</f>
        <v>0</v>
      </c>
      <c r="F4">
        <f>IFERROR(INDEX(PCIe104_PSU_E1N001PWR1!N:N,MATCH('По платам'!$B4,PCIe104_PSU_E1N001PWR1!L:L,0)),0)</f>
        <v>0</v>
      </c>
      <c r="G4">
        <f>IFERROR(INDEX(PCIe104_INF2_E1N006INF1!N:N,MATCH('По платам'!$B4,PCIe104_INF2_E1N006INF1!L:L,0)),0)</f>
        <v>0</v>
      </c>
      <c r="H4">
        <f>IFERROR(INDEX(PCIe104_CON_E1N005INF1!N:N,MATCH('По платам'!$B4,PCIe104_CON_E1N005INF1!L:L,0)),0)</f>
        <v>0</v>
      </c>
      <c r="I4">
        <f>IFERROR(INDEX('EM-PCIE104-CPU_E1E001CPU1E'!N:N,MATCH('По платам'!$B4,'EM-PCIE104-CPU_E1E001CPU1E'!L:L,0)),0)</f>
        <v>0</v>
      </c>
      <c r="J4">
        <f>IFERROR(INDEX(PCIe104_INF_E1N001INF1!N:N,MATCH('По платам'!$B4,PCIe104_INF_E1N001INF1!L:L,0)),0)</f>
        <v>0</v>
      </c>
      <c r="K4">
        <f>IFERROR(INDEX(IB_2RS232_E1N002INF1!N:N,MATCH('По платам'!$B4,IB_2RS232_E1N002INF1!L:L,0)),0)</f>
        <v>0</v>
      </c>
      <c r="L4">
        <f>IFERROR(INDEX(IB_2CAN_E1N003INF1!N:N,MATCH('По платам'!$B4,IB_2CAN_E1N003INF1!L:L,0)),0)</f>
        <v>0</v>
      </c>
    </row>
    <row r="5" spans="2:12">
      <c r="B5" s="3" t="s">
        <v>186</v>
      </c>
      <c r="C5">
        <f>IFERROR(INDEX('C2B004CPU2'!N:N,MATCH('По платам'!B5,'C2B004CPU2'!L:L,0)),0)</f>
        <v>0</v>
      </c>
      <c r="D5">
        <f>IFERROR(INDEX(SBC_DIO_E1N004INF1!N:N,MATCH('По платам'!$B5,SBC_DIO_E1N004INF1!L:L,0)),0)</f>
        <v>0</v>
      </c>
      <c r="E5">
        <f>IFERROR(INDEX(SBC_35_2C3_1_E1E001CPU1E!N:N,MATCH('По платам'!$B5,SBC_35_2C3_1_E1E001CPU1E!L:L,0)),0)</f>
        <v>0</v>
      </c>
      <c r="F5">
        <f>IFERROR(INDEX(PCIe104_PSU_E1N001PWR1!N:N,MATCH('По платам'!$B5,PCIe104_PSU_E1N001PWR1!L:L,0)),0)</f>
        <v>0</v>
      </c>
      <c r="G5">
        <f>IFERROR(INDEX(PCIe104_INF2_E1N006INF1!N:N,MATCH('По платам'!$B5,PCIe104_INF2_E1N006INF1!L:L,0)),0)</f>
        <v>0</v>
      </c>
      <c r="H5">
        <f>IFERROR(INDEX(PCIe104_CON_E1N005INF1!N:N,MATCH('По платам'!$B5,PCIe104_CON_E1N005INF1!L:L,0)),0)</f>
        <v>0</v>
      </c>
      <c r="I5">
        <f>IFERROR(INDEX('EM-PCIE104-CPU_E1E001CPU1E'!N:N,MATCH('По платам'!$B5,'EM-PCIE104-CPU_E1E001CPU1E'!L:L,0)),0)</f>
        <v>0</v>
      </c>
      <c r="J5">
        <f>IFERROR(INDEX(PCIe104_INF_E1N001INF1!N:N,MATCH('По платам'!$B5,PCIe104_INF_E1N001INF1!L:L,0)),0)</f>
        <v>0</v>
      </c>
      <c r="K5">
        <f>IFERROR(INDEX(IB_2RS232_E1N002INF1!N:N,MATCH('По платам'!$B5,IB_2RS232_E1N002INF1!L:L,0)),0)</f>
        <v>1</v>
      </c>
      <c r="L5">
        <f>IFERROR(INDEX(IB_2CAN_E1N003INF1!N:N,MATCH('По платам'!$B5,IB_2CAN_E1N003INF1!L:L,0)),0)</f>
        <v>0</v>
      </c>
    </row>
    <row r="6" spans="2:12">
      <c r="B6" s="3" t="s">
        <v>68</v>
      </c>
      <c r="C6">
        <f>IFERROR(INDEX('C2B004CPU2'!N:N,MATCH('По платам'!B6,'C2B004CPU2'!L:L,0)),0)</f>
        <v>0</v>
      </c>
      <c r="D6">
        <f>IFERROR(INDEX(SBC_DIO_E1N004INF1!N:N,MATCH('По платам'!$B6,SBC_DIO_E1N004INF1!L:L,0)),0)</f>
        <v>0</v>
      </c>
      <c r="E6">
        <f>IFERROR(INDEX(SBC_35_2C3_1_E1E001CPU1E!N:N,MATCH('По платам'!$B6,SBC_35_2C3_1_E1E001CPU1E!L:L,0)),0)</f>
        <v>0</v>
      </c>
      <c r="F6">
        <f>IFERROR(INDEX(PCIe104_PSU_E1N001PWR1!N:N,MATCH('По платам'!$B6,PCIe104_PSU_E1N001PWR1!L:L,0)),0)</f>
        <v>0</v>
      </c>
      <c r="G6">
        <f>IFERROR(INDEX(PCIe104_INF2_E1N006INF1!N:N,MATCH('По платам'!$B6,PCIe104_INF2_E1N006INF1!L:L,0)),0)</f>
        <v>0</v>
      </c>
      <c r="H6">
        <f>IFERROR(INDEX(PCIe104_CON_E1N005INF1!N:N,MATCH('По платам'!$B6,PCIe104_CON_E1N005INF1!L:L,0)),0)</f>
        <v>0</v>
      </c>
      <c r="I6">
        <f>IFERROR(INDEX('EM-PCIE104-CPU_E1E001CPU1E'!N:N,MATCH('По платам'!$B6,'EM-PCIE104-CPU_E1E001CPU1E'!L:L,0)),0)</f>
        <v>0</v>
      </c>
      <c r="J6">
        <f>IFERROR(INDEX(PCIe104_INF_E1N001INF1!N:N,MATCH('По платам'!$B6,PCIe104_INF_E1N001INF1!L:L,0)),0)</f>
        <v>1</v>
      </c>
      <c r="K6">
        <f>IFERROR(INDEX(IB_2RS232_E1N002INF1!N:N,MATCH('По платам'!$B6,IB_2RS232_E1N002INF1!L:L,0)),0)</f>
        <v>0</v>
      </c>
      <c r="L6">
        <f>IFERROR(INDEX(IB_2CAN_E1N003INF1!N:N,MATCH('По платам'!$B6,IB_2CAN_E1N003INF1!L:L,0)),0)</f>
        <v>2</v>
      </c>
    </row>
    <row r="7" spans="2:12">
      <c r="B7" s="3" t="s">
        <v>176</v>
      </c>
      <c r="C7">
        <f>IFERROR(INDEX('C2B004CPU2'!N:N,MATCH('По платам'!B7,'C2B004CPU2'!L:L,0)),0)</f>
        <v>0</v>
      </c>
      <c r="D7">
        <f>IFERROR(INDEX(SBC_DIO_E1N004INF1!N:N,MATCH('По платам'!$B7,SBC_DIO_E1N004INF1!L:L,0)),0)</f>
        <v>0</v>
      </c>
      <c r="E7">
        <f>IFERROR(INDEX(SBC_35_2C3_1_E1E001CPU1E!N:N,MATCH('По платам'!$B7,SBC_35_2C3_1_E1E001CPU1E!L:L,0)),0)</f>
        <v>0</v>
      </c>
      <c r="F7">
        <f>IFERROR(INDEX(PCIe104_PSU_E1N001PWR1!N:N,MATCH('По платам'!$B7,PCIe104_PSU_E1N001PWR1!L:L,0)),0)</f>
        <v>0</v>
      </c>
      <c r="G7">
        <f>IFERROR(INDEX(PCIe104_INF2_E1N006INF1!N:N,MATCH('По платам'!$B7,PCIe104_INF2_E1N006INF1!L:L,0)),0)</f>
        <v>8</v>
      </c>
      <c r="H7">
        <f>IFERROR(INDEX(PCIe104_CON_E1N005INF1!N:N,MATCH('По платам'!$B7,PCIe104_CON_E1N005INF1!L:L,0)),0)</f>
        <v>0</v>
      </c>
      <c r="I7">
        <f>IFERROR(INDEX('EM-PCIE104-CPU_E1E001CPU1E'!N:N,MATCH('По платам'!$B7,'EM-PCIE104-CPU_E1E001CPU1E'!L:L,0)),0)</f>
        <v>0</v>
      </c>
      <c r="J7">
        <f>IFERROR(INDEX(PCIe104_INF_E1N001INF1!N:N,MATCH('По платам'!$B7,PCIe104_INF_E1N001INF1!L:L,0)),0)</f>
        <v>4</v>
      </c>
      <c r="K7">
        <f>IFERROR(INDEX(IB_2RS232_E1N002INF1!N:N,MATCH('По платам'!$B7,IB_2RS232_E1N002INF1!L:L,0)),0)</f>
        <v>5</v>
      </c>
      <c r="L7">
        <f>IFERROR(INDEX(IB_2CAN_E1N003INF1!N:N,MATCH('По платам'!$B7,IB_2CAN_E1N003INF1!L:L,0)),0)</f>
        <v>0</v>
      </c>
    </row>
    <row r="8" spans="2:12">
      <c r="B8" s="3" t="s">
        <v>64</v>
      </c>
      <c r="C8">
        <f>IFERROR(INDEX('C2B004CPU2'!N:N,MATCH('По платам'!B8,'C2B004CPU2'!L:L,0)),0)</f>
        <v>0</v>
      </c>
      <c r="D8">
        <f>IFERROR(INDEX(SBC_DIO_E1N004INF1!N:N,MATCH('По платам'!$B8,SBC_DIO_E1N004INF1!L:L,0)),0)</f>
        <v>0</v>
      </c>
      <c r="E8">
        <f>IFERROR(INDEX(SBC_35_2C3_1_E1E001CPU1E!N:N,MATCH('По платам'!$B8,SBC_35_2C3_1_E1E001CPU1E!L:L,0)),0)</f>
        <v>1</v>
      </c>
      <c r="F8">
        <f>IFERROR(INDEX(PCIe104_PSU_E1N001PWR1!N:N,MATCH('По платам'!$B8,PCIe104_PSU_E1N001PWR1!L:L,0)),0)</f>
        <v>0</v>
      </c>
      <c r="G8">
        <f>IFERROR(INDEX(PCIe104_INF2_E1N006INF1!N:N,MATCH('По платам'!$B8,PCIe104_INF2_E1N006INF1!L:L,0)),0)</f>
        <v>0</v>
      </c>
      <c r="H8">
        <f>IFERROR(INDEX(PCIe104_CON_E1N005INF1!N:N,MATCH('По платам'!$B8,PCIe104_CON_E1N005INF1!L:L,0)),0)</f>
        <v>0</v>
      </c>
      <c r="I8">
        <f>IFERROR(INDEX('EM-PCIE104-CPU_E1E001CPU1E'!N:N,MATCH('По платам'!$B8,'EM-PCIE104-CPU_E1E001CPU1E'!L:L,0)),0)</f>
        <v>0</v>
      </c>
      <c r="J8">
        <f>IFERROR(INDEX(PCIe104_INF_E1N001INF1!N:N,MATCH('По платам'!$B8,PCIe104_INF_E1N001INF1!L:L,0)),0)</f>
        <v>0</v>
      </c>
      <c r="K8">
        <f>IFERROR(INDEX(IB_2RS232_E1N002INF1!N:N,MATCH('По платам'!$B8,IB_2RS232_E1N002INF1!L:L,0)),0)</f>
        <v>0</v>
      </c>
      <c r="L8">
        <f>IFERROR(INDEX(IB_2CAN_E1N003INF1!N:N,MATCH('По платам'!$B8,IB_2CAN_E1N003INF1!L:L,0)),0)</f>
        <v>1</v>
      </c>
    </row>
    <row r="9" spans="2:12">
      <c r="B9" s="3" t="s">
        <v>2093</v>
      </c>
      <c r="C9">
        <f>IFERROR(INDEX('C2B004CPU2'!N:N,MATCH('По платам'!B9,'C2B004CPU2'!L:L,0)),0)</f>
        <v>1</v>
      </c>
      <c r="D9">
        <f>IFERROR(INDEX(SBC_DIO_E1N004INF1!N:N,MATCH('По платам'!$B9,SBC_DIO_E1N004INF1!L:L,0)),0)</f>
        <v>0</v>
      </c>
      <c r="E9">
        <f>IFERROR(INDEX(SBC_35_2C3_1_E1E001CPU1E!N:N,MATCH('По платам'!$B9,SBC_35_2C3_1_E1E001CPU1E!L:L,0)),0)</f>
        <v>0</v>
      </c>
      <c r="F9">
        <f>IFERROR(INDEX(PCIe104_PSU_E1N001PWR1!N:N,MATCH('По платам'!$B9,PCIe104_PSU_E1N001PWR1!L:L,0)),0)</f>
        <v>0</v>
      </c>
      <c r="G9">
        <f>IFERROR(INDEX(PCIe104_INF2_E1N006INF1!N:N,MATCH('По платам'!$B9,PCIe104_INF2_E1N006INF1!L:L,0)),0)</f>
        <v>0</v>
      </c>
      <c r="H9">
        <f>IFERROR(INDEX(PCIe104_CON_E1N005INF1!N:N,MATCH('По платам'!$B9,PCIe104_CON_E1N005INF1!L:L,0)),0)</f>
        <v>0</v>
      </c>
      <c r="I9">
        <f>IFERROR(INDEX('EM-PCIE104-CPU_E1E001CPU1E'!N:N,MATCH('По платам'!$B9,'EM-PCIE104-CPU_E1E001CPU1E'!L:L,0)),0)</f>
        <v>0</v>
      </c>
      <c r="J9">
        <f>IFERROR(INDEX(PCIe104_INF_E1N001INF1!N:N,MATCH('По платам'!$B9,PCIe104_INF_E1N001INF1!L:L,0)),0)</f>
        <v>0</v>
      </c>
      <c r="K9">
        <f>IFERROR(INDEX(IB_2RS232_E1N002INF1!N:N,MATCH('По платам'!$B9,IB_2RS232_E1N002INF1!L:L,0)),0)</f>
        <v>0</v>
      </c>
      <c r="L9">
        <f>IFERROR(INDEX(IB_2CAN_E1N003INF1!N:N,MATCH('По платам'!$B9,IB_2CAN_E1N003INF1!L:L,0)),0)</f>
        <v>0</v>
      </c>
    </row>
    <row r="10" spans="2:12">
      <c r="B10" s="3" t="s">
        <v>231</v>
      </c>
      <c r="C10">
        <f>IFERROR(INDEX('C2B004CPU2'!N:N,MATCH('По платам'!B10,'C2B004CPU2'!L:L,0)),0)</f>
        <v>0</v>
      </c>
      <c r="D10">
        <f>IFERROR(INDEX(SBC_DIO_E1N004INF1!N:N,MATCH('По платам'!$B10,SBC_DIO_E1N004INF1!L:L,0)),0)</f>
        <v>0</v>
      </c>
      <c r="E10">
        <f>IFERROR(INDEX(SBC_35_2C3_1_E1E001CPU1E!N:N,MATCH('По платам'!$B10,SBC_35_2C3_1_E1E001CPU1E!L:L,0)),0)</f>
        <v>0</v>
      </c>
      <c r="F10">
        <f>IFERROR(INDEX(PCIe104_PSU_E1N001PWR1!N:N,MATCH('По платам'!$B10,PCIe104_PSU_E1N001PWR1!L:L,0)),0)</f>
        <v>0</v>
      </c>
      <c r="G10">
        <f>IFERROR(INDEX(PCIe104_INF2_E1N006INF1!N:N,MATCH('По платам'!$B10,PCIe104_INF2_E1N006INF1!L:L,0)),0)</f>
        <v>0</v>
      </c>
      <c r="H10">
        <f>IFERROR(INDEX(PCIe104_CON_E1N005INF1!N:N,MATCH('По платам'!$B10,PCIe104_CON_E1N005INF1!L:L,0)),0)</f>
        <v>0</v>
      </c>
      <c r="I10">
        <f>IFERROR(INDEX('EM-PCIE104-CPU_E1E001CPU1E'!N:N,MATCH('По платам'!$B10,'EM-PCIE104-CPU_E1E001CPU1E'!L:L,0)),0)</f>
        <v>0</v>
      </c>
      <c r="J10">
        <f>IFERROR(INDEX(PCIe104_INF_E1N001INF1!N:N,MATCH('По платам'!$B10,PCIe104_INF_E1N001INF1!L:L,0)),0)</f>
        <v>1</v>
      </c>
      <c r="K10">
        <f>IFERROR(INDEX(IB_2RS232_E1N002INF1!N:N,MATCH('По платам'!$B10,IB_2RS232_E1N002INF1!L:L,0)),0)</f>
        <v>0</v>
      </c>
      <c r="L10">
        <f>IFERROR(INDEX(IB_2CAN_E1N003INF1!N:N,MATCH('По платам'!$B10,IB_2CAN_E1N003INF1!L:L,0)),0)</f>
        <v>0</v>
      </c>
    </row>
    <row r="11" spans="2:12">
      <c r="B11" s="3" t="s">
        <v>230</v>
      </c>
      <c r="C11">
        <f>IFERROR(INDEX('C2B004CPU2'!N:N,MATCH('По платам'!B11,'C2B004CPU2'!L:L,0)),0)</f>
        <v>0</v>
      </c>
      <c r="D11">
        <f>IFERROR(INDEX(SBC_DIO_E1N004INF1!N:N,MATCH('По платам'!$B11,SBC_DIO_E1N004INF1!L:L,0)),0)</f>
        <v>0</v>
      </c>
      <c r="E11">
        <f>IFERROR(INDEX(SBC_35_2C3_1_E1E001CPU1E!N:N,MATCH('По платам'!$B11,SBC_35_2C3_1_E1E001CPU1E!L:L,0)),0)</f>
        <v>5</v>
      </c>
      <c r="F11">
        <f>IFERROR(INDEX(PCIe104_PSU_E1N001PWR1!N:N,MATCH('По платам'!$B11,PCIe104_PSU_E1N001PWR1!L:L,0)),0)</f>
        <v>0</v>
      </c>
      <c r="G11">
        <f>IFERROR(INDEX(PCIe104_INF2_E1N006INF1!N:N,MATCH('По платам'!$B11,PCIe104_INF2_E1N006INF1!L:L,0)),0)</f>
        <v>0</v>
      </c>
      <c r="H11">
        <f>IFERROR(INDEX(PCIe104_CON_E1N005INF1!N:N,MATCH('По платам'!$B11,PCIe104_CON_E1N005INF1!L:L,0)),0)</f>
        <v>0</v>
      </c>
      <c r="I11">
        <f>IFERROR(INDEX('EM-PCIE104-CPU_E1E001CPU1E'!N:N,MATCH('По платам'!$B11,'EM-PCIE104-CPU_E1E001CPU1E'!L:L,0)),0)</f>
        <v>3</v>
      </c>
      <c r="J11">
        <f>IFERROR(INDEX(PCIe104_INF_E1N001INF1!N:N,MATCH('По платам'!$B11,PCIe104_INF_E1N001INF1!L:L,0)),0)</f>
        <v>5</v>
      </c>
      <c r="K11">
        <f>IFERROR(INDEX(IB_2RS232_E1N002INF1!N:N,MATCH('По платам'!$B11,IB_2RS232_E1N002INF1!L:L,0)),0)</f>
        <v>0</v>
      </c>
      <c r="L11">
        <f>IFERROR(INDEX(IB_2CAN_E1N003INF1!N:N,MATCH('По платам'!$B11,IB_2CAN_E1N003INF1!L:L,0)),0)</f>
        <v>0</v>
      </c>
    </row>
    <row r="12" spans="2:12">
      <c r="B12" s="3" t="s">
        <v>19</v>
      </c>
      <c r="C12">
        <f>IFERROR(INDEX('C2B004CPU2'!N:N,MATCH('По платам'!B12,'C2B004CPU2'!L:L,0)),0)</f>
        <v>0</v>
      </c>
      <c r="D12">
        <f>IFERROR(INDEX(SBC_DIO_E1N004INF1!N:N,MATCH('По платам'!$B12,SBC_DIO_E1N004INF1!L:L,0)),0)</f>
        <v>0</v>
      </c>
      <c r="E12">
        <f>IFERROR(INDEX(SBC_35_2C3_1_E1E001CPU1E!N:N,MATCH('По платам'!$B12,SBC_35_2C3_1_E1E001CPU1E!L:L,0)),0)</f>
        <v>1</v>
      </c>
      <c r="F12">
        <f>IFERROR(INDEX(PCIe104_PSU_E1N001PWR1!N:N,MATCH('По платам'!$B12,PCIe104_PSU_E1N001PWR1!L:L,0)),0)</f>
        <v>0</v>
      </c>
      <c r="G12">
        <f>IFERROR(INDEX(PCIe104_INF2_E1N006INF1!N:N,MATCH('По платам'!$B12,PCIe104_INF2_E1N006INF1!L:L,0)),0)</f>
        <v>2</v>
      </c>
      <c r="H12">
        <f>IFERROR(INDEX(PCIe104_CON_E1N005INF1!N:N,MATCH('По платам'!$B12,PCIe104_CON_E1N005INF1!L:L,0)),0)</f>
        <v>0</v>
      </c>
      <c r="I12">
        <f>IFERROR(INDEX('EM-PCIE104-CPU_E1E001CPU1E'!N:N,MATCH('По платам'!$B12,'EM-PCIE104-CPU_E1E001CPU1E'!L:L,0)),0)</f>
        <v>1</v>
      </c>
      <c r="J12">
        <f>IFERROR(INDEX(PCIe104_INF_E1N001INF1!N:N,MATCH('По платам'!$B12,PCIe104_INF_E1N001INF1!L:L,0)),0)</f>
        <v>2</v>
      </c>
      <c r="K12">
        <f>IFERROR(INDEX(IB_2RS232_E1N002INF1!N:N,MATCH('По платам'!$B12,IB_2RS232_E1N002INF1!L:L,0)),0)</f>
        <v>1</v>
      </c>
      <c r="L12">
        <f>IFERROR(INDEX(IB_2CAN_E1N003INF1!N:N,MATCH('По платам'!$B12,IB_2CAN_E1N003INF1!L:L,0)),0)</f>
        <v>1</v>
      </c>
    </row>
    <row r="13" spans="2:12">
      <c r="B13" s="3" t="s">
        <v>783</v>
      </c>
      <c r="C13">
        <f>IFERROR(INDEX('C2B004CPU2'!N:N,MATCH('По платам'!B13,'C2B004CPU2'!L:L,0)),0)</f>
        <v>0</v>
      </c>
      <c r="D13">
        <f>IFERROR(INDEX(SBC_DIO_E1N004INF1!N:N,MATCH('По платам'!$B13,SBC_DIO_E1N004INF1!L:L,0)),0)</f>
        <v>0</v>
      </c>
      <c r="E13">
        <f>IFERROR(INDEX(SBC_35_2C3_1_E1E001CPU1E!N:N,MATCH('По платам'!$B13,SBC_35_2C3_1_E1E001CPU1E!L:L,0)),0)</f>
        <v>1</v>
      </c>
      <c r="F13">
        <f>IFERROR(INDEX(PCIe104_PSU_E1N001PWR1!N:N,MATCH('По платам'!$B13,PCIe104_PSU_E1N001PWR1!L:L,0)),0)</f>
        <v>0</v>
      </c>
      <c r="G13">
        <f>IFERROR(INDEX(PCIe104_INF2_E1N006INF1!N:N,MATCH('По платам'!$B13,PCIe104_INF2_E1N006INF1!L:L,0)),0)</f>
        <v>0</v>
      </c>
      <c r="H13">
        <f>IFERROR(INDEX(PCIe104_CON_E1N005INF1!N:N,MATCH('По платам'!$B13,PCIe104_CON_E1N005INF1!L:L,0)),0)</f>
        <v>0</v>
      </c>
      <c r="I13">
        <f>IFERROR(INDEX('EM-PCIE104-CPU_E1E001CPU1E'!N:N,MATCH('По платам'!$B13,'EM-PCIE104-CPU_E1E001CPU1E'!L:L,0)),0)</f>
        <v>1</v>
      </c>
      <c r="J13">
        <f>IFERROR(INDEX(PCIe104_INF_E1N001INF1!N:N,MATCH('По платам'!$B13,PCIe104_INF_E1N001INF1!L:L,0)),0)</f>
        <v>0</v>
      </c>
      <c r="K13">
        <f>IFERROR(INDEX(IB_2RS232_E1N002INF1!N:N,MATCH('По платам'!$B13,IB_2RS232_E1N002INF1!L:L,0)),0)</f>
        <v>0</v>
      </c>
      <c r="L13">
        <f>IFERROR(INDEX(IB_2CAN_E1N003INF1!N:N,MATCH('По платам'!$B13,IB_2CAN_E1N003INF1!L:L,0)),0)</f>
        <v>0</v>
      </c>
    </row>
    <row r="14" spans="2:12">
      <c r="B14" s="3" t="s">
        <v>779</v>
      </c>
      <c r="C14">
        <f>IFERROR(INDEX('C2B004CPU2'!N:N,MATCH('По платам'!B14,'C2B004CPU2'!L:L,0)),0)</f>
        <v>0</v>
      </c>
      <c r="D14">
        <f>IFERROR(INDEX(SBC_DIO_E1N004INF1!N:N,MATCH('По платам'!$B14,SBC_DIO_E1N004INF1!L:L,0)),0)</f>
        <v>0</v>
      </c>
      <c r="E14">
        <f>IFERROR(INDEX(SBC_35_2C3_1_E1E001CPU1E!N:N,MATCH('По платам'!$B14,SBC_35_2C3_1_E1E001CPU1E!L:L,0)),0)</f>
        <v>1</v>
      </c>
      <c r="F14">
        <f>IFERROR(INDEX(PCIe104_PSU_E1N001PWR1!N:N,MATCH('По платам'!$B14,PCIe104_PSU_E1N001PWR1!L:L,0)),0)</f>
        <v>0</v>
      </c>
      <c r="G14">
        <f>IFERROR(INDEX(PCIe104_INF2_E1N006INF1!N:N,MATCH('По платам'!$B14,PCIe104_INF2_E1N006INF1!L:L,0)),0)</f>
        <v>0</v>
      </c>
      <c r="H14">
        <f>IFERROR(INDEX(PCIe104_CON_E1N005INF1!N:N,MATCH('По платам'!$B14,PCIe104_CON_E1N005INF1!L:L,0)),0)</f>
        <v>0</v>
      </c>
      <c r="I14">
        <f>IFERROR(INDEX('EM-PCIE104-CPU_E1E001CPU1E'!N:N,MATCH('По платам'!$B14,'EM-PCIE104-CPU_E1E001CPU1E'!L:L,0)),0)</f>
        <v>1</v>
      </c>
      <c r="J14">
        <f>IFERROR(INDEX(PCIe104_INF_E1N001INF1!N:N,MATCH('По платам'!$B14,PCIe104_INF_E1N001INF1!L:L,0)),0)</f>
        <v>0</v>
      </c>
      <c r="K14">
        <f>IFERROR(INDEX(IB_2RS232_E1N002INF1!N:N,MATCH('По платам'!$B14,IB_2RS232_E1N002INF1!L:L,0)),0)</f>
        <v>0</v>
      </c>
      <c r="L14">
        <f>IFERROR(INDEX(IB_2CAN_E1N003INF1!N:N,MATCH('По платам'!$B14,IB_2CAN_E1N003INF1!L:L,0)),0)</f>
        <v>0</v>
      </c>
    </row>
    <row r="15" spans="2:12">
      <c r="B15" s="3" t="s">
        <v>2701</v>
      </c>
      <c r="C15">
        <f>IFERROR(INDEX('C2B004CPU2'!N:N,MATCH('По платам'!B15,'C2B004CPU2'!L:L,0)),0)</f>
        <v>1</v>
      </c>
      <c r="D15">
        <f>IFERROR(INDEX(SBC_DIO_E1N004INF1!N:N,MATCH('По платам'!$B15,SBC_DIO_E1N004INF1!L:L,0)),0)</f>
        <v>0</v>
      </c>
      <c r="E15">
        <f>IFERROR(INDEX(SBC_35_2C3_1_E1E001CPU1E!N:N,MATCH('По платам'!$B15,SBC_35_2C3_1_E1E001CPU1E!L:L,0)),0)</f>
        <v>0</v>
      </c>
      <c r="F15">
        <f>IFERROR(INDEX(PCIe104_PSU_E1N001PWR1!N:N,MATCH('По платам'!$B15,PCIe104_PSU_E1N001PWR1!L:L,0)),0)</f>
        <v>0</v>
      </c>
      <c r="G15">
        <f>IFERROR(INDEX(PCIe104_INF2_E1N006INF1!N:N,MATCH('По платам'!$B15,PCIe104_INF2_E1N006INF1!L:L,0)),0)</f>
        <v>0</v>
      </c>
      <c r="H15">
        <f>IFERROR(INDEX(PCIe104_CON_E1N005INF1!N:N,MATCH('По платам'!$B15,PCIe104_CON_E1N005INF1!L:L,0)),0)</f>
        <v>0</v>
      </c>
      <c r="I15">
        <f>IFERROR(INDEX('EM-PCIE104-CPU_E1E001CPU1E'!N:N,MATCH('По платам'!$B15,'EM-PCIE104-CPU_E1E001CPU1E'!L:L,0)),0)</f>
        <v>0</v>
      </c>
      <c r="J15">
        <f>IFERROR(INDEX(PCIe104_INF_E1N001INF1!N:N,MATCH('По платам'!$B15,PCIe104_INF_E1N001INF1!L:L,0)),0)</f>
        <v>0</v>
      </c>
      <c r="K15">
        <f>IFERROR(INDEX(IB_2RS232_E1N002INF1!N:N,MATCH('По платам'!$B15,IB_2RS232_E1N002INF1!L:L,0)),0)</f>
        <v>0</v>
      </c>
      <c r="L15">
        <f>IFERROR(INDEX(IB_2CAN_E1N003INF1!N:N,MATCH('По платам'!$B15,IB_2CAN_E1N003INF1!L:L,0)),0)</f>
        <v>0</v>
      </c>
    </row>
    <row r="16" spans="2:12">
      <c r="B16" s="3" t="s">
        <v>66</v>
      </c>
      <c r="C16">
        <f>IFERROR(INDEX('C2B004CPU2'!N:N,MATCH('По платам'!B16,'C2B004CPU2'!L:L,0)),0)</f>
        <v>0</v>
      </c>
      <c r="D16">
        <f>IFERROR(INDEX(SBC_DIO_E1N004INF1!N:N,MATCH('По платам'!$B16,SBC_DIO_E1N004INF1!L:L,0)),0)</f>
        <v>0</v>
      </c>
      <c r="E16">
        <f>IFERROR(INDEX(SBC_35_2C3_1_E1E001CPU1E!N:N,MATCH('По платам'!$B16,SBC_35_2C3_1_E1E001CPU1E!L:L,0)),0)</f>
        <v>0</v>
      </c>
      <c r="F16">
        <f>IFERROR(INDEX(PCIe104_PSU_E1N001PWR1!N:N,MATCH('По платам'!$B16,PCIe104_PSU_E1N001PWR1!L:L,0)),0)</f>
        <v>0</v>
      </c>
      <c r="G16">
        <f>IFERROR(INDEX(PCIe104_INF2_E1N006INF1!N:N,MATCH('По платам'!$B16,PCIe104_INF2_E1N006INF1!L:L,0)),0)</f>
        <v>0</v>
      </c>
      <c r="H16">
        <f>IFERROR(INDEX(PCIe104_CON_E1N005INF1!N:N,MATCH('По платам'!$B16,PCIe104_CON_E1N005INF1!L:L,0)),0)</f>
        <v>0</v>
      </c>
      <c r="I16">
        <f>IFERROR(INDEX('EM-PCIE104-CPU_E1E001CPU1E'!N:N,MATCH('По платам'!$B16,'EM-PCIE104-CPU_E1E001CPU1E'!L:L,0)),0)</f>
        <v>0</v>
      </c>
      <c r="J16">
        <f>IFERROR(INDEX(PCIe104_INF_E1N001INF1!N:N,MATCH('По платам'!$B16,PCIe104_INF_E1N001INF1!L:L,0)),0)</f>
        <v>0</v>
      </c>
      <c r="K16">
        <f>IFERROR(INDEX(IB_2RS232_E1N002INF1!N:N,MATCH('По платам'!$B16,IB_2RS232_E1N002INF1!L:L,0)),0)</f>
        <v>0</v>
      </c>
      <c r="L16">
        <f>IFERROR(INDEX(IB_2CAN_E1N003INF1!N:N,MATCH('По платам'!$B16,IB_2CAN_E1N003INF1!L:L,0)),0)</f>
        <v>1</v>
      </c>
    </row>
    <row r="17" spans="2:12">
      <c r="B17" s="3" t="s">
        <v>127</v>
      </c>
      <c r="C17">
        <f>IFERROR(INDEX('C2B004CPU2'!N:N,MATCH('По платам'!B17,'C2B004CPU2'!L:L,0)),0)</f>
        <v>0</v>
      </c>
      <c r="D17">
        <f>IFERROR(INDEX(SBC_DIO_E1N004INF1!N:N,MATCH('По платам'!$B17,SBC_DIO_E1N004INF1!L:L,0)),0)</f>
        <v>0</v>
      </c>
      <c r="E17">
        <f>IFERROR(INDEX(SBC_35_2C3_1_E1E001CPU1E!N:N,MATCH('По платам'!$B17,SBC_35_2C3_1_E1E001CPU1E!L:L,0)),0)</f>
        <v>4</v>
      </c>
      <c r="F17">
        <f>IFERROR(INDEX(PCIe104_PSU_E1N001PWR1!N:N,MATCH('По платам'!$B17,PCIe104_PSU_E1N001PWR1!L:L,0)),0)</f>
        <v>0</v>
      </c>
      <c r="G17">
        <f>IFERROR(INDEX(PCIe104_INF2_E1N006INF1!N:N,MATCH('По платам'!$B17,PCIe104_INF2_E1N006INF1!L:L,0)),0)</f>
        <v>0</v>
      </c>
      <c r="H17">
        <f>IFERROR(INDEX(PCIe104_CON_E1N005INF1!N:N,MATCH('По платам'!$B17,PCIe104_CON_E1N005INF1!L:L,0)),0)</f>
        <v>3</v>
      </c>
      <c r="I17">
        <f>IFERROR(INDEX('EM-PCIE104-CPU_E1E001CPU1E'!N:N,MATCH('По платам'!$B17,'EM-PCIE104-CPU_E1E001CPU1E'!L:L,0)),0)</f>
        <v>2</v>
      </c>
      <c r="J17">
        <f>IFERROR(INDEX(PCIe104_INF_E1N001INF1!N:N,MATCH('По платам'!$B17,PCIe104_INF_E1N001INF1!L:L,0)),0)</f>
        <v>0</v>
      </c>
      <c r="K17">
        <f>IFERROR(INDEX(IB_2RS232_E1N002INF1!N:N,MATCH('По платам'!$B17,IB_2RS232_E1N002INF1!L:L,0)),0)</f>
        <v>0</v>
      </c>
      <c r="L17">
        <f>IFERROR(INDEX(IB_2CAN_E1N003INF1!N:N,MATCH('По платам'!$B17,IB_2CAN_E1N003INF1!L:L,0)),0)</f>
        <v>1</v>
      </c>
    </row>
    <row r="18" spans="2:12">
      <c r="B18" s="3" t="s">
        <v>505</v>
      </c>
      <c r="C18">
        <f>IFERROR(INDEX('C2B004CPU2'!N:N,MATCH('По платам'!B18,'C2B004CPU2'!L:L,0)),0)</f>
        <v>0</v>
      </c>
      <c r="D18">
        <f>IFERROR(INDEX(SBC_DIO_E1N004INF1!N:N,MATCH('По платам'!$B18,SBC_DIO_E1N004INF1!L:L,0)),0)</f>
        <v>0</v>
      </c>
      <c r="E18">
        <f>IFERROR(INDEX(SBC_35_2C3_1_E1E001CPU1E!N:N,MATCH('По платам'!$B18,SBC_35_2C3_1_E1E001CPU1E!L:L,0)),0)</f>
        <v>16</v>
      </c>
      <c r="F18">
        <f>IFERROR(INDEX(PCIe104_PSU_E1N001PWR1!N:N,MATCH('По платам'!$B18,PCIe104_PSU_E1N001PWR1!L:L,0)),0)</f>
        <v>0</v>
      </c>
      <c r="G18">
        <f>IFERROR(INDEX(PCIe104_INF2_E1N006INF1!N:N,MATCH('По платам'!$B18,PCIe104_INF2_E1N006INF1!L:L,0)),0)</f>
        <v>0</v>
      </c>
      <c r="H18">
        <f>IFERROR(INDEX(PCIe104_CON_E1N005INF1!N:N,MATCH('По платам'!$B18,PCIe104_CON_E1N005INF1!L:L,0)),0)</f>
        <v>6</v>
      </c>
      <c r="I18">
        <f>IFERROR(INDEX('EM-PCIE104-CPU_E1E001CPU1E'!N:N,MATCH('По платам'!$B18,'EM-PCIE104-CPU_E1E001CPU1E'!L:L,0)),0)</f>
        <v>0</v>
      </c>
      <c r="J18">
        <f>IFERROR(INDEX(PCIe104_INF_E1N001INF1!N:N,MATCH('По платам'!$B18,PCIe104_INF_E1N001INF1!L:L,0)),0)</f>
        <v>8</v>
      </c>
      <c r="K18">
        <f>IFERROR(INDEX(IB_2RS232_E1N002INF1!N:N,MATCH('По платам'!$B18,IB_2RS232_E1N002INF1!L:L,0)),0)</f>
        <v>0</v>
      </c>
      <c r="L18">
        <f>IFERROR(INDEX(IB_2CAN_E1N003INF1!N:N,MATCH('По платам'!$B18,IB_2CAN_E1N003INF1!L:L,0)),0)</f>
        <v>0</v>
      </c>
    </row>
    <row r="19" spans="2:12">
      <c r="B19" s="3" t="s">
        <v>1020</v>
      </c>
      <c r="C19">
        <f>IFERROR(INDEX('C2B004CPU2'!N:N,MATCH('По платам'!B19,'C2B004CPU2'!L:L,0)),0)</f>
        <v>0</v>
      </c>
      <c r="D19">
        <f>IFERROR(INDEX(SBC_DIO_E1N004INF1!N:N,MATCH('По платам'!$B19,SBC_DIO_E1N004INF1!L:L,0)),0)</f>
        <v>0</v>
      </c>
      <c r="E19">
        <f>IFERROR(INDEX(SBC_35_2C3_1_E1E001CPU1E!N:N,MATCH('По платам'!$B19,SBC_35_2C3_1_E1E001CPU1E!L:L,0)),0)</f>
        <v>0</v>
      </c>
      <c r="F19">
        <f>IFERROR(INDEX(PCIe104_PSU_E1N001PWR1!N:N,MATCH('По платам'!$B19,PCIe104_PSU_E1N001PWR1!L:L,0)),0)</f>
        <v>0</v>
      </c>
      <c r="G19">
        <f>IFERROR(INDEX(PCIe104_INF2_E1N006INF1!N:N,MATCH('По платам'!$B19,PCIe104_INF2_E1N006INF1!L:L,0)),0)</f>
        <v>0</v>
      </c>
      <c r="H19">
        <f>IFERROR(INDEX(PCIe104_CON_E1N005INF1!N:N,MATCH('По платам'!$B19,PCIe104_CON_E1N005INF1!L:L,0)),0)</f>
        <v>0</v>
      </c>
      <c r="I19">
        <f>IFERROR(INDEX('EM-PCIE104-CPU_E1E001CPU1E'!N:N,MATCH('По платам'!$B19,'EM-PCIE104-CPU_E1E001CPU1E'!L:L,0)),0)</f>
        <v>2</v>
      </c>
      <c r="J19">
        <f>IFERROR(INDEX(PCIe104_INF_E1N001INF1!N:N,MATCH('По платам'!$B19,PCIe104_INF_E1N001INF1!L:L,0)),0)</f>
        <v>0</v>
      </c>
      <c r="K19">
        <f>IFERROR(INDEX(IB_2RS232_E1N002INF1!N:N,MATCH('По платам'!$B19,IB_2RS232_E1N002INF1!L:L,0)),0)</f>
        <v>0</v>
      </c>
      <c r="L19">
        <f>IFERROR(INDEX(IB_2CAN_E1N003INF1!N:N,MATCH('По платам'!$B19,IB_2CAN_E1N003INF1!L:L,0)),0)</f>
        <v>0</v>
      </c>
    </row>
    <row r="20" spans="2:12">
      <c r="B20" s="3" t="s">
        <v>770</v>
      </c>
      <c r="C20">
        <f>IFERROR(INDEX('C2B004CPU2'!N:N,MATCH('По платам'!B20,'C2B004CPU2'!L:L,0)),0)</f>
        <v>0</v>
      </c>
      <c r="D20">
        <f>IFERROR(INDEX(SBC_DIO_E1N004INF1!N:N,MATCH('По платам'!$B20,SBC_DIO_E1N004INF1!L:L,0)),0)</f>
        <v>0</v>
      </c>
      <c r="E20">
        <f>IFERROR(INDEX(SBC_35_2C3_1_E1E001CPU1E!N:N,MATCH('По платам'!$B20,SBC_35_2C3_1_E1E001CPU1E!L:L,0)),0)</f>
        <v>0</v>
      </c>
      <c r="F20">
        <f>IFERROR(INDEX(PCIe104_PSU_E1N001PWR1!N:N,MATCH('По платам'!$B20,PCIe104_PSU_E1N001PWR1!L:L,0)),0)</f>
        <v>0</v>
      </c>
      <c r="G20">
        <f>IFERROR(INDEX(PCIe104_INF2_E1N006INF1!N:N,MATCH('По платам'!$B20,PCIe104_INF2_E1N006INF1!L:L,0)),0)</f>
        <v>0</v>
      </c>
      <c r="H20">
        <f>IFERROR(INDEX(PCIe104_CON_E1N005INF1!N:N,MATCH('По платам'!$B20,PCIe104_CON_E1N005INF1!L:L,0)),0)</f>
        <v>0</v>
      </c>
      <c r="I20">
        <f>IFERROR(INDEX('EM-PCIE104-CPU_E1E001CPU1E'!N:N,MATCH('По платам'!$B20,'EM-PCIE104-CPU_E1E001CPU1E'!L:L,0)),0)</f>
        <v>1</v>
      </c>
      <c r="J20">
        <f>IFERROR(INDEX(PCIe104_INF_E1N001INF1!N:N,MATCH('По платам'!$B20,PCIe104_INF_E1N001INF1!L:L,0)),0)</f>
        <v>0</v>
      </c>
      <c r="K20">
        <f>IFERROR(INDEX(IB_2RS232_E1N002INF1!N:N,MATCH('По платам'!$B20,IB_2RS232_E1N002INF1!L:L,0)),0)</f>
        <v>0</v>
      </c>
      <c r="L20">
        <f>IFERROR(INDEX(IB_2CAN_E1N003INF1!N:N,MATCH('По платам'!$B20,IB_2CAN_E1N003INF1!L:L,0)),0)</f>
        <v>0</v>
      </c>
    </row>
    <row r="21" spans="2:12">
      <c r="B21" s="3" t="s">
        <v>1623</v>
      </c>
      <c r="C21">
        <f>IFERROR(INDEX('C2B004CPU2'!N:N,MATCH('По платам'!B21,'C2B004CPU2'!L:L,0)),0)</f>
        <v>0</v>
      </c>
      <c r="D21">
        <f>IFERROR(INDEX(SBC_DIO_E1N004INF1!N:N,MATCH('По платам'!$B21,SBC_DIO_E1N004INF1!L:L,0)),0)</f>
        <v>0</v>
      </c>
      <c r="E21">
        <f>IFERROR(INDEX(SBC_35_2C3_1_E1E001CPU1E!N:N,MATCH('По платам'!$B21,SBC_35_2C3_1_E1E001CPU1E!L:L,0)),0)</f>
        <v>1</v>
      </c>
      <c r="F21">
        <f>IFERROR(INDEX(PCIe104_PSU_E1N001PWR1!N:N,MATCH('По платам'!$B21,PCIe104_PSU_E1N001PWR1!L:L,0)),0)</f>
        <v>0</v>
      </c>
      <c r="G21">
        <f>IFERROR(INDEX(PCIe104_INF2_E1N006INF1!N:N,MATCH('По платам'!$B21,PCIe104_INF2_E1N006INF1!L:L,0)),0)</f>
        <v>0</v>
      </c>
      <c r="H21">
        <f>IFERROR(INDEX(PCIe104_CON_E1N005INF1!N:N,MATCH('По платам'!$B21,PCIe104_CON_E1N005INF1!L:L,0)),0)</f>
        <v>0</v>
      </c>
      <c r="I21">
        <f>IFERROR(INDEX('EM-PCIE104-CPU_E1E001CPU1E'!N:N,MATCH('По платам'!$B21,'EM-PCIE104-CPU_E1E001CPU1E'!L:L,0)),0)</f>
        <v>0</v>
      </c>
      <c r="J21">
        <f>IFERROR(INDEX(PCIe104_INF_E1N001INF1!N:N,MATCH('По платам'!$B21,PCIe104_INF_E1N001INF1!L:L,0)),0)</f>
        <v>0</v>
      </c>
      <c r="K21">
        <f>IFERROR(INDEX(IB_2RS232_E1N002INF1!N:N,MATCH('По платам'!$B21,IB_2RS232_E1N002INF1!L:L,0)),0)</f>
        <v>0</v>
      </c>
      <c r="L21">
        <f>IFERROR(INDEX(IB_2CAN_E1N003INF1!N:N,MATCH('По платам'!$B21,IB_2CAN_E1N003INF1!L:L,0)),0)</f>
        <v>0</v>
      </c>
    </row>
    <row r="22" spans="2:12">
      <c r="B22" s="3" t="s">
        <v>762</v>
      </c>
      <c r="C22">
        <f>IFERROR(INDEX('C2B004CPU2'!N:N,MATCH('По платам'!B22,'C2B004CPU2'!L:L,0)),0)</f>
        <v>0</v>
      </c>
      <c r="D22">
        <f>IFERROR(INDEX(SBC_DIO_E1N004INF1!N:N,MATCH('По платам'!$B22,SBC_DIO_E1N004INF1!L:L,0)),0)</f>
        <v>0</v>
      </c>
      <c r="E22">
        <f>IFERROR(INDEX(SBC_35_2C3_1_E1E001CPU1E!N:N,MATCH('По платам'!$B22,SBC_35_2C3_1_E1E001CPU1E!L:L,0)),0)</f>
        <v>1</v>
      </c>
      <c r="F22">
        <f>IFERROR(INDEX(PCIe104_PSU_E1N001PWR1!N:N,MATCH('По платам'!$B22,PCIe104_PSU_E1N001PWR1!L:L,0)),0)</f>
        <v>0</v>
      </c>
      <c r="G22">
        <f>IFERROR(INDEX(PCIe104_INF2_E1N006INF1!N:N,MATCH('По платам'!$B22,PCIe104_INF2_E1N006INF1!L:L,0)),0)</f>
        <v>0</v>
      </c>
      <c r="H22">
        <f>IFERROR(INDEX(PCIe104_CON_E1N005INF1!N:N,MATCH('По платам'!$B22,PCIe104_CON_E1N005INF1!L:L,0)),0)</f>
        <v>0</v>
      </c>
      <c r="I22">
        <f>IFERROR(INDEX('EM-PCIE104-CPU_E1E001CPU1E'!N:N,MATCH('По платам'!$B22,'EM-PCIE104-CPU_E1E001CPU1E'!L:L,0)),0)</f>
        <v>1</v>
      </c>
      <c r="J22">
        <f>IFERROR(INDEX(PCIe104_INF_E1N001INF1!N:N,MATCH('По платам'!$B22,PCIe104_INF_E1N001INF1!L:L,0)),0)</f>
        <v>0</v>
      </c>
      <c r="K22">
        <f>IFERROR(INDEX(IB_2RS232_E1N002INF1!N:N,MATCH('По платам'!$B22,IB_2RS232_E1N002INF1!L:L,0)),0)</f>
        <v>0</v>
      </c>
      <c r="L22">
        <f>IFERROR(INDEX(IB_2CAN_E1N003INF1!N:N,MATCH('По платам'!$B22,IB_2CAN_E1N003INF1!L:L,0)),0)</f>
        <v>0</v>
      </c>
    </row>
    <row r="23" spans="2:12">
      <c r="B23" s="3" t="s">
        <v>766</v>
      </c>
      <c r="C23">
        <f>IFERROR(INDEX('C2B004CPU2'!N:N,MATCH('По платам'!B23,'C2B004CPU2'!L:L,0)),0)</f>
        <v>0</v>
      </c>
      <c r="D23">
        <f>IFERROR(INDEX(SBC_DIO_E1N004INF1!N:N,MATCH('По платам'!$B23,SBC_DIO_E1N004INF1!L:L,0)),0)</f>
        <v>0</v>
      </c>
      <c r="E23">
        <f>IFERROR(INDEX(SBC_35_2C3_1_E1E001CPU1E!N:N,MATCH('По платам'!$B23,SBC_35_2C3_1_E1E001CPU1E!L:L,0)),0)</f>
        <v>2</v>
      </c>
      <c r="F23">
        <f>IFERROR(INDEX(PCIe104_PSU_E1N001PWR1!N:N,MATCH('По платам'!$B23,PCIe104_PSU_E1N001PWR1!L:L,0)),0)</f>
        <v>0</v>
      </c>
      <c r="G23">
        <f>IFERROR(INDEX(PCIe104_INF2_E1N006INF1!N:N,MATCH('По платам'!$B23,PCIe104_INF2_E1N006INF1!L:L,0)),0)</f>
        <v>0</v>
      </c>
      <c r="H23">
        <f>IFERROR(INDEX(PCIe104_CON_E1N005INF1!N:N,MATCH('По платам'!$B23,PCIe104_CON_E1N005INF1!L:L,0)),0)</f>
        <v>0</v>
      </c>
      <c r="I23">
        <f>IFERROR(INDEX('EM-PCIE104-CPU_E1E001CPU1E'!N:N,MATCH('По платам'!$B23,'EM-PCIE104-CPU_E1E001CPU1E'!L:L,0)),0)</f>
        <v>2</v>
      </c>
      <c r="J23">
        <f>IFERROR(INDEX(PCIe104_INF_E1N001INF1!N:N,MATCH('По платам'!$B23,PCIe104_INF_E1N001INF1!L:L,0)),0)</f>
        <v>0</v>
      </c>
      <c r="K23">
        <f>IFERROR(INDEX(IB_2RS232_E1N002INF1!N:N,MATCH('По платам'!$B23,IB_2RS232_E1N002INF1!L:L,0)),0)</f>
        <v>0</v>
      </c>
      <c r="L23">
        <f>IFERROR(INDEX(IB_2CAN_E1N003INF1!N:N,MATCH('По платам'!$B23,IB_2CAN_E1N003INF1!L:L,0)),0)</f>
        <v>0</v>
      </c>
    </row>
    <row r="24" spans="2:12">
      <c r="B24" s="3" t="s">
        <v>1638</v>
      </c>
      <c r="C24">
        <f>IFERROR(INDEX('C2B004CPU2'!N:N,MATCH('По платам'!B24,'C2B004CPU2'!L:L,0)),0)</f>
        <v>0</v>
      </c>
      <c r="D24">
        <f>IFERROR(INDEX(SBC_DIO_E1N004INF1!N:N,MATCH('По платам'!$B24,SBC_DIO_E1N004INF1!L:L,0)),0)</f>
        <v>0</v>
      </c>
      <c r="E24">
        <f>IFERROR(INDEX(SBC_35_2C3_1_E1E001CPU1E!N:N,MATCH('По платам'!$B24,SBC_35_2C3_1_E1E001CPU1E!L:L,0)),0)</f>
        <v>1</v>
      </c>
      <c r="F24">
        <f>IFERROR(INDEX(PCIe104_PSU_E1N001PWR1!N:N,MATCH('По платам'!$B24,PCIe104_PSU_E1N001PWR1!L:L,0)),0)</f>
        <v>0</v>
      </c>
      <c r="G24">
        <f>IFERROR(INDEX(PCIe104_INF2_E1N006INF1!N:N,MATCH('По платам'!$B24,PCIe104_INF2_E1N006INF1!L:L,0)),0)</f>
        <v>0</v>
      </c>
      <c r="H24">
        <f>IFERROR(INDEX(PCIe104_CON_E1N005INF1!N:N,MATCH('По платам'!$B24,PCIe104_CON_E1N005INF1!L:L,0)),0)</f>
        <v>0</v>
      </c>
      <c r="I24">
        <f>IFERROR(INDEX('EM-PCIE104-CPU_E1E001CPU1E'!N:N,MATCH('По платам'!$B24,'EM-PCIE104-CPU_E1E001CPU1E'!L:L,0)),0)</f>
        <v>0</v>
      </c>
      <c r="J24">
        <f>IFERROR(INDEX(PCIe104_INF_E1N001INF1!N:N,MATCH('По платам'!$B24,PCIe104_INF_E1N001INF1!L:L,0)),0)</f>
        <v>0</v>
      </c>
      <c r="K24">
        <f>IFERROR(INDEX(IB_2RS232_E1N002INF1!N:N,MATCH('По платам'!$B24,IB_2RS232_E1N002INF1!L:L,0)),0)</f>
        <v>0</v>
      </c>
      <c r="L24">
        <f>IFERROR(INDEX(IB_2CAN_E1N003INF1!N:N,MATCH('По платам'!$B24,IB_2CAN_E1N003INF1!L:L,0)),0)</f>
        <v>0</v>
      </c>
    </row>
    <row r="25" spans="2:12">
      <c r="B25" s="3" t="s">
        <v>321</v>
      </c>
      <c r="C25">
        <f>IFERROR(INDEX('C2B004CPU2'!N:N,MATCH('По платам'!B25,'C2B004CPU2'!L:L,0)),0)</f>
        <v>0</v>
      </c>
      <c r="D25">
        <f>IFERROR(INDEX(SBC_DIO_E1N004INF1!N:N,MATCH('По платам'!$B25,SBC_DIO_E1N004INF1!L:L,0)),0)</f>
        <v>0</v>
      </c>
      <c r="E25">
        <f>IFERROR(INDEX(SBC_35_2C3_1_E1E001CPU1E!N:N,MATCH('По платам'!$B25,SBC_35_2C3_1_E1E001CPU1E!L:L,0)),0)</f>
        <v>0</v>
      </c>
      <c r="F25">
        <f>IFERROR(INDEX(PCIe104_PSU_E1N001PWR1!N:N,MATCH('По платам'!$B25,PCIe104_PSU_E1N001PWR1!L:L,0)),0)</f>
        <v>0</v>
      </c>
      <c r="G25">
        <f>IFERROR(INDEX(PCIe104_INF2_E1N006INF1!N:N,MATCH('По платам'!$B25,PCIe104_INF2_E1N006INF1!L:L,0)),0)</f>
        <v>0</v>
      </c>
      <c r="H25">
        <f>IFERROR(INDEX(PCIe104_CON_E1N005INF1!N:N,MATCH('По платам'!$B25,PCIe104_CON_E1N005INF1!L:L,0)),0)</f>
        <v>0</v>
      </c>
      <c r="I25">
        <f>IFERROR(INDEX('EM-PCIE104-CPU_E1E001CPU1E'!N:N,MATCH('По платам'!$B25,'EM-PCIE104-CPU_E1E001CPU1E'!L:L,0)),0)</f>
        <v>1</v>
      </c>
      <c r="J25">
        <f>IFERROR(INDEX(PCIe104_INF_E1N001INF1!N:N,MATCH('По платам'!$B25,PCIe104_INF_E1N001INF1!L:L,0)),0)</f>
        <v>1</v>
      </c>
      <c r="K25">
        <f>IFERROR(INDEX(IB_2RS232_E1N002INF1!N:N,MATCH('По платам'!$B25,IB_2RS232_E1N002INF1!L:L,0)),0)</f>
        <v>0</v>
      </c>
      <c r="L25">
        <f>IFERROR(INDEX(IB_2CAN_E1N003INF1!N:N,MATCH('По платам'!$B25,IB_2CAN_E1N003INF1!L:L,0)),0)</f>
        <v>0</v>
      </c>
    </row>
    <row r="26" spans="2:12">
      <c r="B26" s="3" t="s">
        <v>726</v>
      </c>
      <c r="C26">
        <f>IFERROR(INDEX('C2B004CPU2'!N:N,MATCH('По платам'!B26,'C2B004CPU2'!L:L,0)),0)</f>
        <v>0</v>
      </c>
      <c r="D26">
        <f>IFERROR(INDEX(SBC_DIO_E1N004INF1!N:N,MATCH('По платам'!$B26,SBC_DIO_E1N004INF1!L:L,0)),0)</f>
        <v>0</v>
      </c>
      <c r="E26">
        <f>IFERROR(INDEX(SBC_35_2C3_1_E1E001CPU1E!N:N,MATCH('По платам'!$B26,SBC_35_2C3_1_E1E001CPU1E!L:L,0)),0)</f>
        <v>2</v>
      </c>
      <c r="F26">
        <f>IFERROR(INDEX(PCIe104_PSU_E1N001PWR1!N:N,MATCH('По платам'!$B26,PCIe104_PSU_E1N001PWR1!L:L,0)),0)</f>
        <v>0</v>
      </c>
      <c r="G26">
        <f>IFERROR(INDEX(PCIe104_INF2_E1N006INF1!N:N,MATCH('По платам'!$B26,PCIe104_INF2_E1N006INF1!L:L,0)),0)</f>
        <v>0</v>
      </c>
      <c r="H26">
        <f>IFERROR(INDEX(PCIe104_CON_E1N005INF1!N:N,MATCH('По платам'!$B26,PCIe104_CON_E1N005INF1!L:L,0)),0)</f>
        <v>0</v>
      </c>
      <c r="I26">
        <f>IFERROR(INDEX('EM-PCIE104-CPU_E1E001CPU1E'!N:N,MATCH('По платам'!$B26,'EM-PCIE104-CPU_E1E001CPU1E'!L:L,0)),0)</f>
        <v>1</v>
      </c>
      <c r="J26">
        <f>IFERROR(INDEX(PCIe104_INF_E1N001INF1!N:N,MATCH('По платам'!$B26,PCIe104_INF_E1N001INF1!L:L,0)),0)</f>
        <v>0</v>
      </c>
      <c r="K26">
        <f>IFERROR(INDEX(IB_2RS232_E1N002INF1!N:N,MATCH('По платам'!$B26,IB_2RS232_E1N002INF1!L:L,0)),0)</f>
        <v>0</v>
      </c>
      <c r="L26">
        <f>IFERROR(INDEX(IB_2CAN_E1N003INF1!N:N,MATCH('По платам'!$B26,IB_2CAN_E1N003INF1!L:L,0)),0)</f>
        <v>0</v>
      </c>
    </row>
    <row r="27" spans="2:12">
      <c r="B27" s="3" t="s">
        <v>718</v>
      </c>
      <c r="C27">
        <f>IFERROR(INDEX('C2B004CPU2'!N:N,MATCH('По платам'!B27,'C2B004CPU2'!L:L,0)),0)</f>
        <v>0</v>
      </c>
      <c r="D27">
        <f>IFERROR(INDEX(SBC_DIO_E1N004INF1!N:N,MATCH('По платам'!$B27,SBC_DIO_E1N004INF1!L:L,0)),0)</f>
        <v>0</v>
      </c>
      <c r="E27">
        <f>IFERROR(INDEX(SBC_35_2C3_1_E1E001CPU1E!N:N,MATCH('По платам'!$B27,SBC_35_2C3_1_E1E001CPU1E!L:L,0)),0)</f>
        <v>3</v>
      </c>
      <c r="F27">
        <f>IFERROR(INDEX(PCIe104_PSU_E1N001PWR1!N:N,MATCH('По платам'!$B27,PCIe104_PSU_E1N001PWR1!L:L,0)),0)</f>
        <v>0</v>
      </c>
      <c r="G27">
        <f>IFERROR(INDEX(PCIe104_INF2_E1N006INF1!N:N,MATCH('По платам'!$B27,PCIe104_INF2_E1N006INF1!L:L,0)),0)</f>
        <v>2</v>
      </c>
      <c r="H27">
        <f>IFERROR(INDEX(PCIe104_CON_E1N005INF1!N:N,MATCH('По платам'!$B27,PCIe104_CON_E1N005INF1!L:L,0)),0)</f>
        <v>0</v>
      </c>
      <c r="I27">
        <f>IFERROR(INDEX('EM-PCIE104-CPU_E1E001CPU1E'!N:N,MATCH('По платам'!$B27,'EM-PCIE104-CPU_E1E001CPU1E'!L:L,0)),0)</f>
        <v>1</v>
      </c>
      <c r="J27">
        <f>IFERROR(INDEX(PCIe104_INF_E1N001INF1!N:N,MATCH('По платам'!$B27,PCIe104_INF_E1N001INF1!L:L,0)),0)</f>
        <v>0</v>
      </c>
      <c r="K27">
        <f>IFERROR(INDEX(IB_2RS232_E1N002INF1!N:N,MATCH('По платам'!$B27,IB_2RS232_E1N002INF1!L:L,0)),0)</f>
        <v>0</v>
      </c>
      <c r="L27">
        <f>IFERROR(INDEX(IB_2CAN_E1N003INF1!N:N,MATCH('По платам'!$B27,IB_2CAN_E1N003INF1!L:L,0)),0)</f>
        <v>0</v>
      </c>
    </row>
    <row r="28" spans="2:12">
      <c r="B28" s="3" t="s">
        <v>2189</v>
      </c>
      <c r="C28">
        <f>IFERROR(INDEX('C2B004CPU2'!N:N,MATCH('По платам'!B28,'C2B004CPU2'!L:L,0)),0)</f>
        <v>1</v>
      </c>
      <c r="D28">
        <f>IFERROR(INDEX(SBC_DIO_E1N004INF1!N:N,MATCH('По платам'!$B28,SBC_DIO_E1N004INF1!L:L,0)),0)</f>
        <v>0</v>
      </c>
      <c r="E28">
        <f>IFERROR(INDEX(SBC_35_2C3_1_E1E001CPU1E!N:N,MATCH('По платам'!$B28,SBC_35_2C3_1_E1E001CPU1E!L:L,0)),0)</f>
        <v>0</v>
      </c>
      <c r="F28">
        <f>IFERROR(INDEX(PCIe104_PSU_E1N001PWR1!N:N,MATCH('По платам'!$B28,PCIe104_PSU_E1N001PWR1!L:L,0)),0)</f>
        <v>0</v>
      </c>
      <c r="G28">
        <f>IFERROR(INDEX(PCIe104_INF2_E1N006INF1!N:N,MATCH('По платам'!$B28,PCIe104_INF2_E1N006INF1!L:L,0)),0)</f>
        <v>0</v>
      </c>
      <c r="H28">
        <f>IFERROR(INDEX(PCIe104_CON_E1N005INF1!N:N,MATCH('По платам'!$B28,PCIe104_CON_E1N005INF1!L:L,0)),0)</f>
        <v>0</v>
      </c>
      <c r="I28">
        <f>IFERROR(INDEX('EM-PCIE104-CPU_E1E001CPU1E'!N:N,MATCH('По платам'!$B28,'EM-PCIE104-CPU_E1E001CPU1E'!L:L,0)),0)</f>
        <v>0</v>
      </c>
      <c r="J28">
        <f>IFERROR(INDEX(PCIe104_INF_E1N001INF1!N:N,MATCH('По платам'!$B28,PCIe104_INF_E1N001INF1!L:L,0)),0)</f>
        <v>0</v>
      </c>
      <c r="K28">
        <f>IFERROR(INDEX(IB_2RS232_E1N002INF1!N:N,MATCH('По платам'!$B28,IB_2RS232_E1N002INF1!L:L,0)),0)</f>
        <v>0</v>
      </c>
      <c r="L28">
        <f>IFERROR(INDEX(IB_2CAN_E1N003INF1!N:N,MATCH('По платам'!$B28,IB_2CAN_E1N003INF1!L:L,0)),0)</f>
        <v>0</v>
      </c>
    </row>
    <row r="29" spans="2:12">
      <c r="B29" s="3" t="s">
        <v>2306</v>
      </c>
      <c r="C29">
        <f>IFERROR(INDEX('C2B004CPU2'!N:N,MATCH('По платам'!B29,'C2B004CPU2'!L:L,0)),0)</f>
        <v>1</v>
      </c>
      <c r="D29">
        <f>IFERROR(INDEX(SBC_DIO_E1N004INF1!N:N,MATCH('По платам'!$B29,SBC_DIO_E1N004INF1!L:L,0)),0)</f>
        <v>0</v>
      </c>
      <c r="E29">
        <f>IFERROR(INDEX(SBC_35_2C3_1_E1E001CPU1E!N:N,MATCH('По платам'!$B29,SBC_35_2C3_1_E1E001CPU1E!L:L,0)),0)</f>
        <v>0</v>
      </c>
      <c r="F29">
        <f>IFERROR(INDEX(PCIe104_PSU_E1N001PWR1!N:N,MATCH('По платам'!$B29,PCIe104_PSU_E1N001PWR1!L:L,0)),0)</f>
        <v>0</v>
      </c>
      <c r="G29">
        <f>IFERROR(INDEX(PCIe104_INF2_E1N006INF1!N:N,MATCH('По платам'!$B29,PCIe104_INF2_E1N006INF1!L:L,0)),0)</f>
        <v>0</v>
      </c>
      <c r="H29">
        <f>IFERROR(INDEX(PCIe104_CON_E1N005INF1!N:N,MATCH('По платам'!$B29,PCIe104_CON_E1N005INF1!L:L,0)),0)</f>
        <v>0</v>
      </c>
      <c r="I29">
        <f>IFERROR(INDEX('EM-PCIE104-CPU_E1E001CPU1E'!N:N,MATCH('По платам'!$B29,'EM-PCIE104-CPU_E1E001CPU1E'!L:L,0)),0)</f>
        <v>0</v>
      </c>
      <c r="J29">
        <f>IFERROR(INDEX(PCIe104_INF_E1N001INF1!N:N,MATCH('По платам'!$B29,PCIe104_INF_E1N001INF1!L:L,0)),0)</f>
        <v>0</v>
      </c>
      <c r="K29">
        <f>IFERROR(INDEX(IB_2RS232_E1N002INF1!N:N,MATCH('По платам'!$B29,IB_2RS232_E1N002INF1!L:L,0)),0)</f>
        <v>0</v>
      </c>
      <c r="L29">
        <f>IFERROR(INDEX(IB_2CAN_E1N003INF1!N:N,MATCH('По платам'!$B29,IB_2CAN_E1N003INF1!L:L,0)),0)</f>
        <v>0</v>
      </c>
    </row>
    <row r="30" spans="2:12">
      <c r="B30" s="3" t="s">
        <v>1367</v>
      </c>
      <c r="C30">
        <f>IFERROR(INDEX('C2B004CPU2'!N:N,MATCH('По платам'!B30,'C2B004CPU2'!L:L,0)),0)</f>
        <v>0</v>
      </c>
      <c r="D30">
        <f>IFERROR(INDEX(SBC_DIO_E1N004INF1!N:N,MATCH('По платам'!$B30,SBC_DIO_E1N004INF1!L:L,0)),0)</f>
        <v>0</v>
      </c>
      <c r="E30">
        <f>IFERROR(INDEX(SBC_35_2C3_1_E1E001CPU1E!N:N,MATCH('По платам'!$B30,SBC_35_2C3_1_E1E001CPU1E!L:L,0)),0)</f>
        <v>0</v>
      </c>
      <c r="F30">
        <f>IFERROR(INDEX(PCIe104_PSU_E1N001PWR1!N:N,MATCH('По платам'!$B30,PCIe104_PSU_E1N001PWR1!L:L,0)),0)</f>
        <v>1</v>
      </c>
      <c r="G30">
        <f>IFERROR(INDEX(PCIe104_INF2_E1N006INF1!N:N,MATCH('По платам'!$B30,PCIe104_INF2_E1N006INF1!L:L,0)),0)</f>
        <v>0</v>
      </c>
      <c r="H30">
        <f>IFERROR(INDEX(PCIe104_CON_E1N005INF1!N:N,MATCH('По платам'!$B30,PCIe104_CON_E1N005INF1!L:L,0)),0)</f>
        <v>0</v>
      </c>
      <c r="I30">
        <f>IFERROR(INDEX('EM-PCIE104-CPU_E1E001CPU1E'!N:N,MATCH('По платам'!$B30,'EM-PCIE104-CPU_E1E001CPU1E'!L:L,0)),0)</f>
        <v>0</v>
      </c>
      <c r="J30">
        <f>IFERROR(INDEX(PCIe104_INF_E1N001INF1!N:N,MATCH('По платам'!$B30,PCIe104_INF_E1N001INF1!L:L,0)),0)</f>
        <v>0</v>
      </c>
      <c r="K30">
        <f>IFERROR(INDEX(IB_2RS232_E1N002INF1!N:N,MATCH('По платам'!$B30,IB_2RS232_E1N002INF1!L:L,0)),0)</f>
        <v>0</v>
      </c>
      <c r="L30">
        <f>IFERROR(INDEX(IB_2CAN_E1N003INF1!N:N,MATCH('По платам'!$B30,IB_2CAN_E1N003INF1!L:L,0)),0)</f>
        <v>0</v>
      </c>
    </row>
    <row r="31" spans="2:12">
      <c r="B31" s="3" t="s">
        <v>2310</v>
      </c>
      <c r="C31">
        <f>IFERROR(INDEX('C2B004CPU2'!N:N,MATCH('По платам'!B31,'C2B004CPU2'!L:L,0)),0)</f>
        <v>2</v>
      </c>
      <c r="D31">
        <f>IFERROR(INDEX(SBC_DIO_E1N004INF1!N:N,MATCH('По платам'!$B31,SBC_DIO_E1N004INF1!L:L,0)),0)</f>
        <v>0</v>
      </c>
      <c r="E31">
        <f>IFERROR(INDEX(SBC_35_2C3_1_E1E001CPU1E!N:N,MATCH('По платам'!$B31,SBC_35_2C3_1_E1E001CPU1E!L:L,0)),0)</f>
        <v>0</v>
      </c>
      <c r="F31">
        <f>IFERROR(INDEX(PCIe104_PSU_E1N001PWR1!N:N,MATCH('По платам'!$B31,PCIe104_PSU_E1N001PWR1!L:L,0)),0)</f>
        <v>0</v>
      </c>
      <c r="G31">
        <f>IFERROR(INDEX(PCIe104_INF2_E1N006INF1!N:N,MATCH('По платам'!$B31,PCIe104_INF2_E1N006INF1!L:L,0)),0)</f>
        <v>0</v>
      </c>
      <c r="H31">
        <f>IFERROR(INDEX(PCIe104_CON_E1N005INF1!N:N,MATCH('По платам'!$B31,PCIe104_CON_E1N005INF1!L:L,0)),0)</f>
        <v>0</v>
      </c>
      <c r="I31">
        <f>IFERROR(INDEX('EM-PCIE104-CPU_E1E001CPU1E'!N:N,MATCH('По платам'!$B31,'EM-PCIE104-CPU_E1E001CPU1E'!L:L,0)),0)</f>
        <v>0</v>
      </c>
      <c r="J31">
        <f>IFERROR(INDEX(PCIe104_INF_E1N001INF1!N:N,MATCH('По платам'!$B31,PCIe104_INF_E1N001INF1!L:L,0)),0)</f>
        <v>0</v>
      </c>
      <c r="K31">
        <f>IFERROR(INDEX(IB_2RS232_E1N002INF1!N:N,MATCH('По платам'!$B31,IB_2RS232_E1N002INF1!L:L,0)),0)</f>
        <v>0</v>
      </c>
      <c r="L31">
        <f>IFERROR(INDEX(IB_2CAN_E1N003INF1!N:N,MATCH('По платам'!$B31,IB_2CAN_E1N003INF1!L:L,0)),0)</f>
        <v>0</v>
      </c>
    </row>
    <row r="32" spans="2:12">
      <c r="B32" s="3" t="s">
        <v>2302</v>
      </c>
      <c r="C32">
        <f>IFERROR(INDEX('C2B004CPU2'!N:N,MATCH('По платам'!B32,'C2B004CPU2'!L:L,0)),0)</f>
        <v>2</v>
      </c>
      <c r="D32">
        <f>IFERROR(INDEX(SBC_DIO_E1N004INF1!N:N,MATCH('По платам'!$B32,SBC_DIO_E1N004INF1!L:L,0)),0)</f>
        <v>0</v>
      </c>
      <c r="E32">
        <f>IFERROR(INDEX(SBC_35_2C3_1_E1E001CPU1E!N:N,MATCH('По платам'!$B32,SBC_35_2C3_1_E1E001CPU1E!L:L,0)),0)</f>
        <v>0</v>
      </c>
      <c r="F32">
        <f>IFERROR(INDEX(PCIe104_PSU_E1N001PWR1!N:N,MATCH('По платам'!$B32,PCIe104_PSU_E1N001PWR1!L:L,0)),0)</f>
        <v>0</v>
      </c>
      <c r="G32">
        <f>IFERROR(INDEX(PCIe104_INF2_E1N006INF1!N:N,MATCH('По платам'!$B32,PCIe104_INF2_E1N006INF1!L:L,0)),0)</f>
        <v>0</v>
      </c>
      <c r="H32">
        <f>IFERROR(INDEX(PCIe104_CON_E1N005INF1!N:N,MATCH('По платам'!$B32,PCIe104_CON_E1N005INF1!L:L,0)),0)</f>
        <v>0</v>
      </c>
      <c r="I32">
        <f>IFERROR(INDEX('EM-PCIE104-CPU_E1E001CPU1E'!N:N,MATCH('По платам'!$B32,'EM-PCIE104-CPU_E1E001CPU1E'!L:L,0)),0)</f>
        <v>0</v>
      </c>
      <c r="J32">
        <f>IFERROR(INDEX(PCIe104_INF_E1N001INF1!N:N,MATCH('По платам'!$B32,PCIe104_INF_E1N001INF1!L:L,0)),0)</f>
        <v>0</v>
      </c>
      <c r="K32">
        <f>IFERROR(INDEX(IB_2RS232_E1N002INF1!N:N,MATCH('По платам'!$B32,IB_2RS232_E1N002INF1!L:L,0)),0)</f>
        <v>0</v>
      </c>
      <c r="L32">
        <f>IFERROR(INDEX(IB_2CAN_E1N003INF1!N:N,MATCH('По платам'!$B32,IB_2CAN_E1N003INF1!L:L,0)),0)</f>
        <v>0</v>
      </c>
    </row>
    <row r="33" spans="2:12">
      <c r="B33" s="3" t="s">
        <v>104</v>
      </c>
      <c r="C33">
        <f>IFERROR(INDEX('C2B004CPU2'!N:N,MATCH('По платам'!B33,'C2B004CPU2'!L:L,0)),0)</f>
        <v>0</v>
      </c>
      <c r="D33">
        <f>IFERROR(INDEX(SBC_DIO_E1N004INF1!N:N,MATCH('По платам'!$B33,SBC_DIO_E1N004INF1!L:L,0)),0)</f>
        <v>0</v>
      </c>
      <c r="E33">
        <f>IFERROR(INDEX(SBC_35_2C3_1_E1E001CPU1E!N:N,MATCH('По платам'!$B33,SBC_35_2C3_1_E1E001CPU1E!L:L,0)),0)</f>
        <v>0</v>
      </c>
      <c r="F33">
        <f>IFERROR(INDEX(PCIe104_PSU_E1N001PWR1!N:N,MATCH('По платам'!$B33,PCIe104_PSU_E1N001PWR1!L:L,0)),0)</f>
        <v>0</v>
      </c>
      <c r="G33">
        <f>IFERROR(INDEX(PCIe104_INF2_E1N006INF1!N:N,MATCH('По платам'!$B33,PCIe104_INF2_E1N006INF1!L:L,0)),0)</f>
        <v>0</v>
      </c>
      <c r="H33">
        <f>IFERROR(INDEX(PCIe104_CON_E1N005INF1!N:N,MATCH('По платам'!$B33,PCIe104_CON_E1N005INF1!L:L,0)),0)</f>
        <v>0</v>
      </c>
      <c r="I33">
        <f>IFERROR(INDEX('EM-PCIE104-CPU_E1E001CPU1E'!N:N,MATCH('По платам'!$B33,'EM-PCIE104-CPU_E1E001CPU1E'!L:L,0)),0)</f>
        <v>0</v>
      </c>
      <c r="J33">
        <f>IFERROR(INDEX(PCIe104_INF_E1N001INF1!N:N,MATCH('По платам'!$B33,PCIe104_INF_E1N001INF1!L:L,0)),0)</f>
        <v>0</v>
      </c>
      <c r="K33">
        <f>IFERROR(INDEX(IB_2RS232_E1N002INF1!N:N,MATCH('По платам'!$B33,IB_2RS232_E1N002INF1!L:L,0)),0)</f>
        <v>0</v>
      </c>
      <c r="L33">
        <f>IFERROR(INDEX(IB_2CAN_E1N003INF1!N:N,MATCH('По платам'!$B33,IB_2CAN_E1N003INF1!L:L,0)),0)</f>
        <v>3</v>
      </c>
    </row>
    <row r="34" spans="2:12">
      <c r="B34" s="3" t="s">
        <v>2546</v>
      </c>
      <c r="C34">
        <f>IFERROR(INDEX('C2B004CPU2'!N:N,MATCH('По платам'!B34,'C2B004CPU2'!L:L,0)),0)</f>
        <v>1</v>
      </c>
      <c r="D34">
        <f>IFERROR(INDEX(SBC_DIO_E1N004INF1!N:N,MATCH('По платам'!$B34,SBC_DIO_E1N004INF1!L:L,0)),0)</f>
        <v>0</v>
      </c>
      <c r="E34">
        <f>IFERROR(INDEX(SBC_35_2C3_1_E1E001CPU1E!N:N,MATCH('По платам'!$B34,SBC_35_2C3_1_E1E001CPU1E!L:L,0)),0)</f>
        <v>0</v>
      </c>
      <c r="F34">
        <f>IFERROR(INDEX(PCIe104_PSU_E1N001PWR1!N:N,MATCH('По платам'!$B34,PCIe104_PSU_E1N001PWR1!L:L,0)),0)</f>
        <v>0</v>
      </c>
      <c r="G34">
        <f>IFERROR(INDEX(PCIe104_INF2_E1N006INF1!N:N,MATCH('По платам'!$B34,PCIe104_INF2_E1N006INF1!L:L,0)),0)</f>
        <v>0</v>
      </c>
      <c r="H34">
        <f>IFERROR(INDEX(PCIe104_CON_E1N005INF1!N:N,MATCH('По платам'!$B34,PCIe104_CON_E1N005INF1!L:L,0)),0)</f>
        <v>0</v>
      </c>
      <c r="I34">
        <f>IFERROR(INDEX('EM-PCIE104-CPU_E1E001CPU1E'!N:N,MATCH('По платам'!$B34,'EM-PCIE104-CPU_E1E001CPU1E'!L:L,0)),0)</f>
        <v>0</v>
      </c>
      <c r="J34">
        <f>IFERROR(INDEX(PCIe104_INF_E1N001INF1!N:N,MATCH('По платам'!$B34,PCIe104_INF_E1N001INF1!L:L,0)),0)</f>
        <v>0</v>
      </c>
      <c r="K34">
        <f>IFERROR(INDEX(IB_2RS232_E1N002INF1!N:N,MATCH('По платам'!$B34,IB_2RS232_E1N002INF1!L:L,0)),0)</f>
        <v>0</v>
      </c>
      <c r="L34">
        <f>IFERROR(INDEX(IB_2CAN_E1N003INF1!N:N,MATCH('По платам'!$B34,IB_2CAN_E1N003INF1!L:L,0)),0)</f>
        <v>0</v>
      </c>
    </row>
    <row r="35" spans="2:12">
      <c r="B35" s="3" t="s">
        <v>2511</v>
      </c>
      <c r="C35">
        <f>IFERROR(INDEX('C2B004CPU2'!N:N,MATCH('По платам'!B35,'C2B004CPU2'!L:L,0)),0)</f>
        <v>1</v>
      </c>
      <c r="D35">
        <f>IFERROR(INDEX(SBC_DIO_E1N004INF1!N:N,MATCH('По платам'!$B35,SBC_DIO_E1N004INF1!L:L,0)),0)</f>
        <v>0</v>
      </c>
      <c r="E35">
        <f>IFERROR(INDEX(SBC_35_2C3_1_E1E001CPU1E!N:N,MATCH('По платам'!$B35,SBC_35_2C3_1_E1E001CPU1E!L:L,0)),0)</f>
        <v>0</v>
      </c>
      <c r="F35">
        <f>IFERROR(INDEX(PCIe104_PSU_E1N001PWR1!N:N,MATCH('По платам'!$B35,PCIe104_PSU_E1N001PWR1!L:L,0)),0)</f>
        <v>0</v>
      </c>
      <c r="G35">
        <f>IFERROR(INDEX(PCIe104_INF2_E1N006INF1!N:N,MATCH('По платам'!$B35,PCIe104_INF2_E1N006INF1!L:L,0)),0)</f>
        <v>0</v>
      </c>
      <c r="H35">
        <f>IFERROR(INDEX(PCIe104_CON_E1N005INF1!N:N,MATCH('По платам'!$B35,PCIe104_CON_E1N005INF1!L:L,0)),0)</f>
        <v>0</v>
      </c>
      <c r="I35">
        <f>IFERROR(INDEX('EM-PCIE104-CPU_E1E001CPU1E'!N:N,MATCH('По платам'!$B35,'EM-PCIE104-CPU_E1E001CPU1E'!L:L,0)),0)</f>
        <v>0</v>
      </c>
      <c r="J35">
        <f>IFERROR(INDEX(PCIe104_INF_E1N001INF1!N:N,MATCH('По платам'!$B35,PCIe104_INF_E1N001INF1!L:L,0)),0)</f>
        <v>0</v>
      </c>
      <c r="K35">
        <f>IFERROR(INDEX(IB_2RS232_E1N002INF1!N:N,MATCH('По платам'!$B35,IB_2RS232_E1N002INF1!L:L,0)),0)</f>
        <v>0</v>
      </c>
      <c r="L35">
        <f>IFERROR(INDEX(IB_2CAN_E1N003INF1!N:N,MATCH('По платам'!$B35,IB_2CAN_E1N003INF1!L:L,0)),0)</f>
        <v>0</v>
      </c>
    </row>
    <row r="36" spans="2:12">
      <c r="B36" s="3" t="s">
        <v>2537</v>
      </c>
      <c r="C36">
        <f>IFERROR(INDEX('C2B004CPU2'!N:N,MATCH('По платам'!B36,'C2B004CPU2'!L:L,0)),0)</f>
        <v>1</v>
      </c>
      <c r="D36">
        <f>IFERROR(INDEX(SBC_DIO_E1N004INF1!N:N,MATCH('По платам'!$B36,SBC_DIO_E1N004INF1!L:L,0)),0)</f>
        <v>0</v>
      </c>
      <c r="E36">
        <f>IFERROR(INDEX(SBC_35_2C3_1_E1E001CPU1E!N:N,MATCH('По платам'!$B36,SBC_35_2C3_1_E1E001CPU1E!L:L,0)),0)</f>
        <v>0</v>
      </c>
      <c r="F36">
        <f>IFERROR(INDEX(PCIe104_PSU_E1N001PWR1!N:N,MATCH('По платам'!$B36,PCIe104_PSU_E1N001PWR1!L:L,0)),0)</f>
        <v>0</v>
      </c>
      <c r="G36">
        <f>IFERROR(INDEX(PCIe104_INF2_E1N006INF1!N:N,MATCH('По платам'!$B36,PCIe104_INF2_E1N006INF1!L:L,0)),0)</f>
        <v>0</v>
      </c>
      <c r="H36">
        <f>IFERROR(INDEX(PCIe104_CON_E1N005INF1!N:N,MATCH('По платам'!$B36,PCIe104_CON_E1N005INF1!L:L,0)),0)</f>
        <v>0</v>
      </c>
      <c r="I36">
        <f>IFERROR(INDEX('EM-PCIE104-CPU_E1E001CPU1E'!N:N,MATCH('По платам'!$B36,'EM-PCIE104-CPU_E1E001CPU1E'!L:L,0)),0)</f>
        <v>0</v>
      </c>
      <c r="J36">
        <f>IFERROR(INDEX(PCIe104_INF_E1N001INF1!N:N,MATCH('По платам'!$B36,PCIe104_INF_E1N001INF1!L:L,0)),0)</f>
        <v>0</v>
      </c>
      <c r="K36">
        <f>IFERROR(INDEX(IB_2RS232_E1N002INF1!N:N,MATCH('По платам'!$B36,IB_2RS232_E1N002INF1!L:L,0)),0)</f>
        <v>0</v>
      </c>
      <c r="L36">
        <f>IFERROR(INDEX(IB_2CAN_E1N003INF1!N:N,MATCH('По платам'!$B36,IB_2CAN_E1N003INF1!L:L,0)),0)</f>
        <v>0</v>
      </c>
    </row>
    <row r="37" spans="2:12">
      <c r="B37" s="3" t="s">
        <v>2506</v>
      </c>
      <c r="C37">
        <f>IFERROR(INDEX('C2B004CPU2'!N:N,MATCH('По платам'!B37,'C2B004CPU2'!L:L,0)),0)</f>
        <v>5</v>
      </c>
      <c r="D37">
        <f>IFERROR(INDEX(SBC_DIO_E1N004INF1!N:N,MATCH('По платам'!$B37,SBC_DIO_E1N004INF1!L:L,0)),0)</f>
        <v>0</v>
      </c>
      <c r="E37">
        <f>IFERROR(INDEX(SBC_35_2C3_1_E1E001CPU1E!N:N,MATCH('По платам'!$B37,SBC_35_2C3_1_E1E001CPU1E!L:L,0)),0)</f>
        <v>0</v>
      </c>
      <c r="F37">
        <f>IFERROR(INDEX(PCIe104_PSU_E1N001PWR1!N:N,MATCH('По платам'!$B37,PCIe104_PSU_E1N001PWR1!L:L,0)),0)</f>
        <v>0</v>
      </c>
      <c r="G37">
        <f>IFERROR(INDEX(PCIe104_INF2_E1N006INF1!N:N,MATCH('По платам'!$B37,PCIe104_INF2_E1N006INF1!L:L,0)),0)</f>
        <v>0</v>
      </c>
      <c r="H37">
        <f>IFERROR(INDEX(PCIe104_CON_E1N005INF1!N:N,MATCH('По платам'!$B37,PCIe104_CON_E1N005INF1!L:L,0)),0)</f>
        <v>0</v>
      </c>
      <c r="I37">
        <f>IFERROR(INDEX('EM-PCIE104-CPU_E1E001CPU1E'!N:N,MATCH('По платам'!$B37,'EM-PCIE104-CPU_E1E001CPU1E'!L:L,0)),0)</f>
        <v>0</v>
      </c>
      <c r="J37">
        <f>IFERROR(INDEX(PCIe104_INF_E1N001INF1!N:N,MATCH('По платам'!$B37,PCIe104_INF_E1N001INF1!L:L,0)),0)</f>
        <v>0</v>
      </c>
      <c r="K37">
        <f>IFERROR(INDEX(IB_2RS232_E1N002INF1!N:N,MATCH('По платам'!$B37,IB_2RS232_E1N002INF1!L:L,0)),0)</f>
        <v>0</v>
      </c>
      <c r="L37">
        <f>IFERROR(INDEX(IB_2CAN_E1N003INF1!N:N,MATCH('По платам'!$B37,IB_2CAN_E1N003INF1!L:L,0)),0)</f>
        <v>0</v>
      </c>
    </row>
    <row r="38" spans="2:12">
      <c r="B38" s="3" t="s">
        <v>2576</v>
      </c>
      <c r="C38">
        <f>IFERROR(INDEX('C2B004CPU2'!N:N,MATCH('По платам'!B38,'C2B004CPU2'!L:L,0)),0)</f>
        <v>4</v>
      </c>
      <c r="D38">
        <f>IFERROR(INDEX(SBC_DIO_E1N004INF1!N:N,MATCH('По платам'!$B38,SBC_DIO_E1N004INF1!L:L,0)),0)</f>
        <v>0</v>
      </c>
      <c r="E38">
        <f>IFERROR(INDEX(SBC_35_2C3_1_E1E001CPU1E!N:N,MATCH('По платам'!$B38,SBC_35_2C3_1_E1E001CPU1E!L:L,0)),0)</f>
        <v>0</v>
      </c>
      <c r="F38">
        <f>IFERROR(INDEX(PCIe104_PSU_E1N001PWR1!N:N,MATCH('По платам'!$B38,PCIe104_PSU_E1N001PWR1!L:L,0)),0)</f>
        <v>0</v>
      </c>
      <c r="G38">
        <f>IFERROR(INDEX(PCIe104_INF2_E1N006INF1!N:N,MATCH('По платам'!$B38,PCIe104_INF2_E1N006INF1!L:L,0)),0)</f>
        <v>0</v>
      </c>
      <c r="H38">
        <f>IFERROR(INDEX(PCIe104_CON_E1N005INF1!N:N,MATCH('По платам'!$B38,PCIe104_CON_E1N005INF1!L:L,0)),0)</f>
        <v>0</v>
      </c>
      <c r="I38">
        <f>IFERROR(INDEX('EM-PCIE104-CPU_E1E001CPU1E'!N:N,MATCH('По платам'!$B38,'EM-PCIE104-CPU_E1E001CPU1E'!L:L,0)),0)</f>
        <v>0</v>
      </c>
      <c r="J38">
        <f>IFERROR(INDEX(PCIe104_INF_E1N001INF1!N:N,MATCH('По платам'!$B38,PCIe104_INF_E1N001INF1!L:L,0)),0)</f>
        <v>0</v>
      </c>
      <c r="K38">
        <f>IFERROR(INDEX(IB_2RS232_E1N002INF1!N:N,MATCH('По платам'!$B38,IB_2RS232_E1N002INF1!L:L,0)),0)</f>
        <v>0</v>
      </c>
      <c r="L38">
        <f>IFERROR(INDEX(IB_2CAN_E1N003INF1!N:N,MATCH('По платам'!$B38,IB_2CAN_E1N003INF1!L:L,0)),0)</f>
        <v>0</v>
      </c>
    </row>
    <row r="39" spans="2:12">
      <c r="B39" s="3" t="s">
        <v>2502</v>
      </c>
      <c r="C39">
        <f>IFERROR(INDEX('C2B004CPU2'!N:N,MATCH('По платам'!B39,'C2B004CPU2'!L:L,0)),0)</f>
        <v>1</v>
      </c>
      <c r="D39">
        <f>IFERROR(INDEX(SBC_DIO_E1N004INF1!N:N,MATCH('По платам'!$B39,SBC_DIO_E1N004INF1!L:L,0)),0)</f>
        <v>0</v>
      </c>
      <c r="E39">
        <f>IFERROR(INDEX(SBC_35_2C3_1_E1E001CPU1E!N:N,MATCH('По платам'!$B39,SBC_35_2C3_1_E1E001CPU1E!L:L,0)),0)</f>
        <v>0</v>
      </c>
      <c r="F39">
        <f>IFERROR(INDEX(PCIe104_PSU_E1N001PWR1!N:N,MATCH('По платам'!$B39,PCIe104_PSU_E1N001PWR1!L:L,0)),0)</f>
        <v>0</v>
      </c>
      <c r="G39">
        <f>IFERROR(INDEX(PCIe104_INF2_E1N006INF1!N:N,MATCH('По платам'!$B39,PCIe104_INF2_E1N006INF1!L:L,0)),0)</f>
        <v>0</v>
      </c>
      <c r="H39">
        <f>IFERROR(INDEX(PCIe104_CON_E1N005INF1!N:N,MATCH('По платам'!$B39,PCIe104_CON_E1N005INF1!L:L,0)),0)</f>
        <v>0</v>
      </c>
      <c r="I39">
        <f>IFERROR(INDEX('EM-PCIE104-CPU_E1E001CPU1E'!N:N,MATCH('По платам'!$B39,'EM-PCIE104-CPU_E1E001CPU1E'!L:L,0)),0)</f>
        <v>0</v>
      </c>
      <c r="J39">
        <f>IFERROR(INDEX(PCIe104_INF_E1N001INF1!N:N,MATCH('По платам'!$B39,PCIe104_INF_E1N001INF1!L:L,0)),0)</f>
        <v>0</v>
      </c>
      <c r="K39">
        <f>IFERROR(INDEX(IB_2RS232_E1N002INF1!N:N,MATCH('По платам'!$B39,IB_2RS232_E1N002INF1!L:L,0)),0)</f>
        <v>0</v>
      </c>
      <c r="L39">
        <f>IFERROR(INDEX(IB_2CAN_E1N003INF1!N:N,MATCH('По платам'!$B39,IB_2CAN_E1N003INF1!L:L,0)),0)</f>
        <v>0</v>
      </c>
    </row>
    <row r="40" spans="2:12">
      <c r="B40" s="3" t="s">
        <v>2551</v>
      </c>
      <c r="C40">
        <f>IFERROR(INDEX('C2B004CPU2'!N:N,MATCH('По платам'!B40,'C2B004CPU2'!L:L,0)),0)</f>
        <v>1</v>
      </c>
      <c r="D40">
        <f>IFERROR(INDEX(SBC_DIO_E1N004INF1!N:N,MATCH('По платам'!$B40,SBC_DIO_E1N004INF1!L:L,0)),0)</f>
        <v>0</v>
      </c>
      <c r="E40">
        <f>IFERROR(INDEX(SBC_35_2C3_1_E1E001CPU1E!N:N,MATCH('По платам'!$B40,SBC_35_2C3_1_E1E001CPU1E!L:L,0)),0)</f>
        <v>0</v>
      </c>
      <c r="F40">
        <f>IFERROR(INDEX(PCIe104_PSU_E1N001PWR1!N:N,MATCH('По платам'!$B40,PCIe104_PSU_E1N001PWR1!L:L,0)),0)</f>
        <v>0</v>
      </c>
      <c r="G40">
        <f>IFERROR(INDEX(PCIe104_INF2_E1N006INF1!N:N,MATCH('По платам'!$B40,PCIe104_INF2_E1N006INF1!L:L,0)),0)</f>
        <v>0</v>
      </c>
      <c r="H40">
        <f>IFERROR(INDEX(PCIe104_CON_E1N005INF1!N:N,MATCH('По платам'!$B40,PCIe104_CON_E1N005INF1!L:L,0)),0)</f>
        <v>0</v>
      </c>
      <c r="I40">
        <f>IFERROR(INDEX('EM-PCIE104-CPU_E1E001CPU1E'!N:N,MATCH('По платам'!$B40,'EM-PCIE104-CPU_E1E001CPU1E'!L:L,0)),0)</f>
        <v>0</v>
      </c>
      <c r="J40">
        <f>IFERROR(INDEX(PCIe104_INF_E1N001INF1!N:N,MATCH('По платам'!$B40,PCIe104_INF_E1N001INF1!L:L,0)),0)</f>
        <v>0</v>
      </c>
      <c r="K40">
        <f>IFERROR(INDEX(IB_2RS232_E1N002INF1!N:N,MATCH('По платам'!$B40,IB_2RS232_E1N002INF1!L:L,0)),0)</f>
        <v>0</v>
      </c>
      <c r="L40">
        <f>IFERROR(INDEX(IB_2CAN_E1N003INF1!N:N,MATCH('По платам'!$B40,IB_2CAN_E1N003INF1!L:L,0)),0)</f>
        <v>0</v>
      </c>
    </row>
    <row r="41" spans="2:12">
      <c r="B41" s="3" t="s">
        <v>2541</v>
      </c>
      <c r="C41">
        <f>IFERROR(INDEX('C2B004CPU2'!N:N,MATCH('По платам'!B41,'C2B004CPU2'!L:L,0)),0)</f>
        <v>2</v>
      </c>
      <c r="D41">
        <f>IFERROR(INDEX(SBC_DIO_E1N004INF1!N:N,MATCH('По платам'!$B41,SBC_DIO_E1N004INF1!L:L,0)),0)</f>
        <v>0</v>
      </c>
      <c r="E41">
        <f>IFERROR(INDEX(SBC_35_2C3_1_E1E001CPU1E!N:N,MATCH('По платам'!$B41,SBC_35_2C3_1_E1E001CPU1E!L:L,0)),0)</f>
        <v>0</v>
      </c>
      <c r="F41">
        <f>IFERROR(INDEX(PCIe104_PSU_E1N001PWR1!N:N,MATCH('По платам'!$B41,PCIe104_PSU_E1N001PWR1!L:L,0)),0)</f>
        <v>0</v>
      </c>
      <c r="G41">
        <f>IFERROR(INDEX(PCIe104_INF2_E1N006INF1!N:N,MATCH('По платам'!$B41,PCIe104_INF2_E1N006INF1!L:L,0)),0)</f>
        <v>0</v>
      </c>
      <c r="H41">
        <f>IFERROR(INDEX(PCIe104_CON_E1N005INF1!N:N,MATCH('По платам'!$B41,PCIe104_CON_E1N005INF1!L:L,0)),0)</f>
        <v>0</v>
      </c>
      <c r="I41">
        <f>IFERROR(INDEX('EM-PCIE104-CPU_E1E001CPU1E'!N:N,MATCH('По платам'!$B41,'EM-PCIE104-CPU_E1E001CPU1E'!L:L,0)),0)</f>
        <v>0</v>
      </c>
      <c r="J41">
        <f>IFERROR(INDEX(PCIe104_INF_E1N001INF1!N:N,MATCH('По платам'!$B41,PCIe104_INF_E1N001INF1!L:L,0)),0)</f>
        <v>0</v>
      </c>
      <c r="K41">
        <f>IFERROR(INDEX(IB_2RS232_E1N002INF1!N:N,MATCH('По платам'!$B41,IB_2RS232_E1N002INF1!L:L,0)),0)</f>
        <v>0</v>
      </c>
      <c r="L41">
        <f>IFERROR(INDEX(IB_2CAN_E1N003INF1!N:N,MATCH('По платам'!$B41,IB_2CAN_E1N003INF1!L:L,0)),0)</f>
        <v>0</v>
      </c>
    </row>
    <row r="42" spans="2:12">
      <c r="B42" s="3" t="s">
        <v>2562</v>
      </c>
      <c r="C42">
        <f>IFERROR(INDEX('C2B004CPU2'!N:N,MATCH('По платам'!B42,'C2B004CPU2'!L:L,0)),0)</f>
        <v>1</v>
      </c>
      <c r="D42">
        <f>IFERROR(INDEX(SBC_DIO_E1N004INF1!N:N,MATCH('По платам'!$B42,SBC_DIO_E1N004INF1!L:L,0)),0)</f>
        <v>0</v>
      </c>
      <c r="E42">
        <f>IFERROR(INDEX(SBC_35_2C3_1_E1E001CPU1E!N:N,MATCH('По платам'!$B42,SBC_35_2C3_1_E1E001CPU1E!L:L,0)),0)</f>
        <v>0</v>
      </c>
      <c r="F42">
        <f>IFERROR(INDEX(PCIe104_PSU_E1N001PWR1!N:N,MATCH('По платам'!$B42,PCIe104_PSU_E1N001PWR1!L:L,0)),0)</f>
        <v>0</v>
      </c>
      <c r="G42">
        <f>IFERROR(INDEX(PCIe104_INF2_E1N006INF1!N:N,MATCH('По платам'!$B42,PCIe104_INF2_E1N006INF1!L:L,0)),0)</f>
        <v>0</v>
      </c>
      <c r="H42">
        <f>IFERROR(INDEX(PCIe104_CON_E1N005INF1!N:N,MATCH('По платам'!$B42,PCIe104_CON_E1N005INF1!L:L,0)),0)</f>
        <v>0</v>
      </c>
      <c r="I42">
        <f>IFERROR(INDEX('EM-PCIE104-CPU_E1E001CPU1E'!N:N,MATCH('По платам'!$B42,'EM-PCIE104-CPU_E1E001CPU1E'!L:L,0)),0)</f>
        <v>0</v>
      </c>
      <c r="J42">
        <f>IFERROR(INDEX(PCIe104_INF_E1N001INF1!N:N,MATCH('По платам'!$B42,PCIe104_INF_E1N001INF1!L:L,0)),0)</f>
        <v>0</v>
      </c>
      <c r="K42">
        <f>IFERROR(INDEX(IB_2RS232_E1N002INF1!N:N,MATCH('По платам'!$B42,IB_2RS232_E1N002INF1!L:L,0)),0)</f>
        <v>0</v>
      </c>
      <c r="L42">
        <f>IFERROR(INDEX(IB_2CAN_E1N003INF1!N:N,MATCH('По платам'!$B42,IB_2CAN_E1N003INF1!L:L,0)),0)</f>
        <v>0</v>
      </c>
    </row>
    <row r="43" spans="2:12">
      <c r="B43" s="3" t="s">
        <v>1828</v>
      </c>
      <c r="C43">
        <f>IFERROR(INDEX('C2B004CPU2'!N:N,MATCH('По платам'!B43,'C2B004CPU2'!L:L,0)),0)</f>
        <v>0</v>
      </c>
      <c r="D43">
        <f>IFERROR(INDEX(SBC_DIO_E1N004INF1!N:N,MATCH('По платам'!$B43,SBC_DIO_E1N004INF1!L:L,0)),0)</f>
        <v>0</v>
      </c>
      <c r="E43">
        <f>IFERROR(INDEX(SBC_35_2C3_1_E1E001CPU1E!N:N,MATCH('По платам'!$B43,SBC_35_2C3_1_E1E001CPU1E!L:L,0)),0)</f>
        <v>1</v>
      </c>
      <c r="F43">
        <f>IFERROR(INDEX(PCIe104_PSU_E1N001PWR1!N:N,MATCH('По платам'!$B43,PCIe104_PSU_E1N001PWR1!L:L,0)),0)</f>
        <v>0</v>
      </c>
      <c r="G43">
        <f>IFERROR(INDEX(PCIe104_INF2_E1N006INF1!N:N,MATCH('По платам'!$B43,PCIe104_INF2_E1N006INF1!L:L,0)),0)</f>
        <v>0</v>
      </c>
      <c r="H43">
        <f>IFERROR(INDEX(PCIe104_CON_E1N005INF1!N:N,MATCH('По платам'!$B43,PCIe104_CON_E1N005INF1!L:L,0)),0)</f>
        <v>0</v>
      </c>
      <c r="I43">
        <f>IFERROR(INDEX('EM-PCIE104-CPU_E1E001CPU1E'!N:N,MATCH('По платам'!$B43,'EM-PCIE104-CPU_E1E001CPU1E'!L:L,0)),0)</f>
        <v>0</v>
      </c>
      <c r="J43">
        <f>IFERROR(INDEX(PCIe104_INF_E1N001INF1!N:N,MATCH('По платам'!$B43,PCIe104_INF_E1N001INF1!L:L,0)),0)</f>
        <v>0</v>
      </c>
      <c r="K43">
        <f>IFERROR(INDEX(IB_2RS232_E1N002INF1!N:N,MATCH('По платам'!$B43,IB_2RS232_E1N002INF1!L:L,0)),0)</f>
        <v>0</v>
      </c>
      <c r="L43">
        <f>IFERROR(INDEX(IB_2CAN_E1N003INF1!N:N,MATCH('По платам'!$B43,IB_2CAN_E1N003INF1!L:L,0)),0)</f>
        <v>0</v>
      </c>
    </row>
    <row r="44" spans="2:12">
      <c r="B44" s="3" t="s">
        <v>2567</v>
      </c>
      <c r="C44">
        <f>IFERROR(INDEX('C2B004CPU2'!N:N,MATCH('По платам'!B44,'C2B004CPU2'!L:L,0)),0)</f>
        <v>2</v>
      </c>
      <c r="D44">
        <f>IFERROR(INDEX(SBC_DIO_E1N004INF1!N:N,MATCH('По платам'!$B44,SBC_DIO_E1N004INF1!L:L,0)),0)</f>
        <v>0</v>
      </c>
      <c r="E44">
        <f>IFERROR(INDEX(SBC_35_2C3_1_E1E001CPU1E!N:N,MATCH('По платам'!$B44,SBC_35_2C3_1_E1E001CPU1E!L:L,0)),0)</f>
        <v>0</v>
      </c>
      <c r="F44">
        <f>IFERROR(INDEX(PCIe104_PSU_E1N001PWR1!N:N,MATCH('По платам'!$B44,PCIe104_PSU_E1N001PWR1!L:L,0)),0)</f>
        <v>0</v>
      </c>
      <c r="G44">
        <f>IFERROR(INDEX(PCIe104_INF2_E1N006INF1!N:N,MATCH('По платам'!$B44,PCIe104_INF2_E1N006INF1!L:L,0)),0)</f>
        <v>0</v>
      </c>
      <c r="H44">
        <f>IFERROR(INDEX(PCIe104_CON_E1N005INF1!N:N,MATCH('По платам'!$B44,PCIe104_CON_E1N005INF1!L:L,0)),0)</f>
        <v>0</v>
      </c>
      <c r="I44">
        <f>IFERROR(INDEX('EM-PCIE104-CPU_E1E001CPU1E'!N:N,MATCH('По платам'!$B44,'EM-PCIE104-CPU_E1E001CPU1E'!L:L,0)),0)</f>
        <v>0</v>
      </c>
      <c r="J44">
        <f>IFERROR(INDEX(PCIe104_INF_E1N001INF1!N:N,MATCH('По платам'!$B44,PCIe104_INF_E1N001INF1!L:L,0)),0)</f>
        <v>0</v>
      </c>
      <c r="K44">
        <f>IFERROR(INDEX(IB_2RS232_E1N002INF1!N:N,MATCH('По платам'!$B44,IB_2RS232_E1N002INF1!L:L,0)),0)</f>
        <v>0</v>
      </c>
      <c r="L44">
        <f>IFERROR(INDEX(IB_2CAN_E1N003INF1!N:N,MATCH('По платам'!$B44,IB_2CAN_E1N003INF1!L:L,0)),0)</f>
        <v>0</v>
      </c>
    </row>
    <row r="45" spans="2:12">
      <c r="B45" s="3" t="s">
        <v>1832</v>
      </c>
      <c r="C45">
        <f>IFERROR(INDEX('C2B004CPU2'!N:N,MATCH('По платам'!B45,'C2B004CPU2'!L:L,0)),0)</f>
        <v>0</v>
      </c>
      <c r="D45">
        <f>IFERROR(INDEX(SBC_DIO_E1N004INF1!N:N,MATCH('По платам'!$B45,SBC_DIO_E1N004INF1!L:L,0)),0)</f>
        <v>0</v>
      </c>
      <c r="E45">
        <f>IFERROR(INDEX(SBC_35_2C3_1_E1E001CPU1E!N:N,MATCH('По платам'!$B45,SBC_35_2C3_1_E1E001CPU1E!L:L,0)),0)</f>
        <v>1</v>
      </c>
      <c r="F45">
        <f>IFERROR(INDEX(PCIe104_PSU_E1N001PWR1!N:N,MATCH('По платам'!$B45,PCIe104_PSU_E1N001PWR1!L:L,0)),0)</f>
        <v>0</v>
      </c>
      <c r="G45">
        <f>IFERROR(INDEX(PCIe104_INF2_E1N006INF1!N:N,MATCH('По платам'!$B45,PCIe104_INF2_E1N006INF1!L:L,0)),0)</f>
        <v>0</v>
      </c>
      <c r="H45">
        <f>IFERROR(INDEX(PCIe104_CON_E1N005INF1!N:N,MATCH('По платам'!$B45,PCIe104_CON_E1N005INF1!L:L,0)),0)</f>
        <v>0</v>
      </c>
      <c r="I45">
        <f>IFERROR(INDEX('EM-PCIE104-CPU_E1E001CPU1E'!N:N,MATCH('По платам'!$B45,'EM-PCIE104-CPU_E1E001CPU1E'!L:L,0)),0)</f>
        <v>0</v>
      </c>
      <c r="J45">
        <f>IFERROR(INDEX(PCIe104_INF_E1N001INF1!N:N,MATCH('По платам'!$B45,PCIe104_INF_E1N001INF1!L:L,0)),0)</f>
        <v>0</v>
      </c>
      <c r="K45">
        <f>IFERROR(INDEX(IB_2RS232_E1N002INF1!N:N,MATCH('По платам'!$B45,IB_2RS232_E1N002INF1!L:L,0)),0)</f>
        <v>0</v>
      </c>
      <c r="L45">
        <f>IFERROR(INDEX(IB_2CAN_E1N003INF1!N:N,MATCH('По платам'!$B45,IB_2CAN_E1N003INF1!L:L,0)),0)</f>
        <v>0</v>
      </c>
    </row>
    <row r="46" spans="2:12">
      <c r="B46" s="3" t="s">
        <v>2516</v>
      </c>
      <c r="C46">
        <f>IFERROR(INDEX('C2B004CPU2'!N:N,MATCH('По платам'!B46,'C2B004CPU2'!L:L,0)),0)</f>
        <v>1</v>
      </c>
      <c r="D46">
        <f>IFERROR(INDEX(SBC_DIO_E1N004INF1!N:N,MATCH('По платам'!$B46,SBC_DIO_E1N004INF1!L:L,0)),0)</f>
        <v>0</v>
      </c>
      <c r="E46">
        <f>IFERROR(INDEX(SBC_35_2C3_1_E1E001CPU1E!N:N,MATCH('По платам'!$B46,SBC_35_2C3_1_E1E001CPU1E!L:L,0)),0)</f>
        <v>0</v>
      </c>
      <c r="F46">
        <f>IFERROR(INDEX(PCIe104_PSU_E1N001PWR1!N:N,MATCH('По платам'!$B46,PCIe104_PSU_E1N001PWR1!L:L,0)),0)</f>
        <v>0</v>
      </c>
      <c r="G46">
        <f>IFERROR(INDEX(PCIe104_INF2_E1N006INF1!N:N,MATCH('По платам'!$B46,PCIe104_INF2_E1N006INF1!L:L,0)),0)</f>
        <v>0</v>
      </c>
      <c r="H46">
        <f>IFERROR(INDEX(PCIe104_CON_E1N005INF1!N:N,MATCH('По платам'!$B46,PCIe104_CON_E1N005INF1!L:L,0)),0)</f>
        <v>0</v>
      </c>
      <c r="I46">
        <f>IFERROR(INDEX('EM-PCIE104-CPU_E1E001CPU1E'!N:N,MATCH('По платам'!$B46,'EM-PCIE104-CPU_E1E001CPU1E'!L:L,0)),0)</f>
        <v>0</v>
      </c>
      <c r="J46">
        <f>IFERROR(INDEX(PCIe104_INF_E1N001INF1!N:N,MATCH('По платам'!$B46,PCIe104_INF_E1N001INF1!L:L,0)),0)</f>
        <v>0</v>
      </c>
      <c r="K46">
        <f>IFERROR(INDEX(IB_2RS232_E1N002INF1!N:N,MATCH('По платам'!$B46,IB_2RS232_E1N002INF1!L:L,0)),0)</f>
        <v>0</v>
      </c>
      <c r="L46">
        <f>IFERROR(INDEX(IB_2CAN_E1N003INF1!N:N,MATCH('По платам'!$B46,IB_2CAN_E1N003INF1!L:L,0)),0)</f>
        <v>0</v>
      </c>
    </row>
    <row r="47" spans="2:12">
      <c r="B47" s="3" t="s">
        <v>2581</v>
      </c>
      <c r="C47">
        <f>IFERROR(INDEX('C2B004CPU2'!N:N,MATCH('По платам'!B47,'C2B004CPU2'!L:L,0)),0)</f>
        <v>4</v>
      </c>
      <c r="D47">
        <f>IFERROR(INDEX(SBC_DIO_E1N004INF1!N:N,MATCH('По платам'!$B47,SBC_DIO_E1N004INF1!L:L,0)),0)</f>
        <v>0</v>
      </c>
      <c r="E47">
        <f>IFERROR(INDEX(SBC_35_2C3_1_E1E001CPU1E!N:N,MATCH('По платам'!$B47,SBC_35_2C3_1_E1E001CPU1E!L:L,0)),0)</f>
        <v>0</v>
      </c>
      <c r="F47">
        <f>IFERROR(INDEX(PCIe104_PSU_E1N001PWR1!N:N,MATCH('По платам'!$B47,PCIe104_PSU_E1N001PWR1!L:L,0)),0)</f>
        <v>0</v>
      </c>
      <c r="G47">
        <f>IFERROR(INDEX(PCIe104_INF2_E1N006INF1!N:N,MATCH('По платам'!$B47,PCIe104_INF2_E1N006INF1!L:L,0)),0)</f>
        <v>0</v>
      </c>
      <c r="H47">
        <f>IFERROR(INDEX(PCIe104_CON_E1N005INF1!N:N,MATCH('По платам'!$B47,PCIe104_CON_E1N005INF1!L:L,0)),0)</f>
        <v>0</v>
      </c>
      <c r="I47">
        <f>IFERROR(INDEX('EM-PCIE104-CPU_E1E001CPU1E'!N:N,MATCH('По платам'!$B47,'EM-PCIE104-CPU_E1E001CPU1E'!L:L,0)),0)</f>
        <v>0</v>
      </c>
      <c r="J47">
        <f>IFERROR(INDEX(PCIe104_INF_E1N001INF1!N:N,MATCH('По платам'!$B47,PCIe104_INF_E1N001INF1!L:L,0)),0)</f>
        <v>0</v>
      </c>
      <c r="K47">
        <f>IFERROR(INDEX(IB_2RS232_E1N002INF1!N:N,MATCH('По платам'!$B47,IB_2RS232_E1N002INF1!L:L,0)),0)</f>
        <v>0</v>
      </c>
      <c r="L47">
        <f>IFERROR(INDEX(IB_2CAN_E1N003INF1!N:N,MATCH('По платам'!$B47,IB_2CAN_E1N003INF1!L:L,0)),0)</f>
        <v>0</v>
      </c>
    </row>
    <row r="48" spans="2:12">
      <c r="B48" s="3" t="s">
        <v>1371</v>
      </c>
      <c r="C48">
        <f>IFERROR(INDEX('C2B004CPU2'!N:N,MATCH('По платам'!B48,'C2B004CPU2'!L:L,0)),0)</f>
        <v>0</v>
      </c>
      <c r="D48">
        <f>IFERROR(INDEX(SBC_DIO_E1N004INF1!N:N,MATCH('По платам'!$B48,SBC_DIO_E1N004INF1!L:L,0)),0)</f>
        <v>0</v>
      </c>
      <c r="E48">
        <f>IFERROR(INDEX(SBC_35_2C3_1_E1E001CPU1E!N:N,MATCH('По платам'!$B48,SBC_35_2C3_1_E1E001CPU1E!L:L,0)),0)</f>
        <v>0</v>
      </c>
      <c r="F48">
        <f>IFERROR(INDEX(PCIe104_PSU_E1N001PWR1!N:N,MATCH('По платам'!$B48,PCIe104_PSU_E1N001PWR1!L:L,0)),0)</f>
        <v>2</v>
      </c>
      <c r="G48">
        <f>IFERROR(INDEX(PCIe104_INF2_E1N006INF1!N:N,MATCH('По платам'!$B48,PCIe104_INF2_E1N006INF1!L:L,0)),0)</f>
        <v>0</v>
      </c>
      <c r="H48">
        <f>IFERROR(INDEX(PCIe104_CON_E1N005INF1!N:N,MATCH('По платам'!$B48,PCIe104_CON_E1N005INF1!L:L,0)),0)</f>
        <v>0</v>
      </c>
      <c r="I48">
        <f>IFERROR(INDEX('EM-PCIE104-CPU_E1E001CPU1E'!N:N,MATCH('По платам'!$B48,'EM-PCIE104-CPU_E1E001CPU1E'!L:L,0)),0)</f>
        <v>0</v>
      </c>
      <c r="J48">
        <f>IFERROR(INDEX(PCIe104_INF_E1N001INF1!N:N,MATCH('По платам'!$B48,PCIe104_INF_E1N001INF1!L:L,0)),0)</f>
        <v>0</v>
      </c>
      <c r="K48">
        <f>IFERROR(INDEX(IB_2RS232_E1N002INF1!N:N,MATCH('По платам'!$B48,IB_2RS232_E1N002INF1!L:L,0)),0)</f>
        <v>0</v>
      </c>
      <c r="L48">
        <f>IFERROR(INDEX(IB_2CAN_E1N003INF1!N:N,MATCH('По платам'!$B48,IB_2CAN_E1N003INF1!L:L,0)),0)</f>
        <v>0</v>
      </c>
    </row>
    <row r="49" spans="2:12">
      <c r="B49" s="3" t="s">
        <v>2194</v>
      </c>
      <c r="C49">
        <f>IFERROR(INDEX('C2B004CPU2'!N:N,MATCH('По платам'!B49,'C2B004CPU2'!L:L,0)),0)</f>
        <v>2</v>
      </c>
      <c r="D49">
        <f>IFERROR(INDEX(SBC_DIO_E1N004INF1!N:N,MATCH('По платам'!$B49,SBC_DIO_E1N004INF1!L:L,0)),0)</f>
        <v>0</v>
      </c>
      <c r="E49">
        <f>IFERROR(INDEX(SBC_35_2C3_1_E1E001CPU1E!N:N,MATCH('По платам'!$B49,SBC_35_2C3_1_E1E001CPU1E!L:L,0)),0)</f>
        <v>0</v>
      </c>
      <c r="F49">
        <f>IFERROR(INDEX(PCIe104_PSU_E1N001PWR1!N:N,MATCH('По платам'!$B49,PCIe104_PSU_E1N001PWR1!L:L,0)),0)</f>
        <v>0</v>
      </c>
      <c r="G49">
        <f>IFERROR(INDEX(PCIe104_INF2_E1N006INF1!N:N,MATCH('По платам'!$B49,PCIe104_INF2_E1N006INF1!L:L,0)),0)</f>
        <v>0</v>
      </c>
      <c r="H49">
        <f>IFERROR(INDEX(PCIe104_CON_E1N005INF1!N:N,MATCH('По платам'!$B49,PCIe104_CON_E1N005INF1!L:L,0)),0)</f>
        <v>0</v>
      </c>
      <c r="I49">
        <f>IFERROR(INDEX('EM-PCIE104-CPU_E1E001CPU1E'!N:N,MATCH('По платам'!$B49,'EM-PCIE104-CPU_E1E001CPU1E'!L:L,0)),0)</f>
        <v>0</v>
      </c>
      <c r="J49">
        <f>IFERROR(INDEX(PCIe104_INF_E1N001INF1!N:N,MATCH('По платам'!$B49,PCIe104_INF_E1N001INF1!L:L,0)),0)</f>
        <v>0</v>
      </c>
      <c r="K49">
        <f>IFERROR(INDEX(IB_2RS232_E1N002INF1!N:N,MATCH('По платам'!$B49,IB_2RS232_E1N002INF1!L:L,0)),0)</f>
        <v>0</v>
      </c>
      <c r="L49">
        <f>IFERROR(INDEX(IB_2CAN_E1N003INF1!N:N,MATCH('По платам'!$B49,IB_2CAN_E1N003INF1!L:L,0)),0)</f>
        <v>0</v>
      </c>
    </row>
    <row r="50" spans="2:12">
      <c r="B50" s="3" t="s">
        <v>2048</v>
      </c>
      <c r="C50">
        <f>IFERROR(INDEX('C2B004CPU2'!N:N,MATCH('По платам'!B50,'C2B004CPU2'!L:L,0)),0)</f>
        <v>1</v>
      </c>
      <c r="D50">
        <f>IFERROR(INDEX(SBC_DIO_E1N004INF1!N:N,MATCH('По платам'!$B50,SBC_DIO_E1N004INF1!L:L,0)),0)</f>
        <v>0</v>
      </c>
      <c r="E50">
        <f>IFERROR(INDEX(SBC_35_2C3_1_E1E001CPU1E!N:N,MATCH('По платам'!$B50,SBC_35_2C3_1_E1E001CPU1E!L:L,0)),0)</f>
        <v>1</v>
      </c>
      <c r="F50">
        <f>IFERROR(INDEX(PCIe104_PSU_E1N001PWR1!N:N,MATCH('По платам'!$B50,PCIe104_PSU_E1N001PWR1!L:L,0)),0)</f>
        <v>0</v>
      </c>
      <c r="G50">
        <f>IFERROR(INDEX(PCIe104_INF2_E1N006INF1!N:N,MATCH('По платам'!$B50,PCIe104_INF2_E1N006INF1!L:L,0)),0)</f>
        <v>0</v>
      </c>
      <c r="H50">
        <f>IFERROR(INDEX(PCIe104_CON_E1N005INF1!N:N,MATCH('По платам'!$B50,PCIe104_CON_E1N005INF1!L:L,0)),0)</f>
        <v>0</v>
      </c>
      <c r="I50">
        <f>IFERROR(INDEX('EM-PCIE104-CPU_E1E001CPU1E'!N:N,MATCH('По платам'!$B50,'EM-PCIE104-CPU_E1E001CPU1E'!L:L,0)),0)</f>
        <v>0</v>
      </c>
      <c r="J50">
        <f>IFERROR(INDEX(PCIe104_INF_E1N001INF1!N:N,MATCH('По платам'!$B50,PCIe104_INF_E1N001INF1!L:L,0)),0)</f>
        <v>0</v>
      </c>
      <c r="K50">
        <f>IFERROR(INDEX(IB_2RS232_E1N002INF1!N:N,MATCH('По платам'!$B50,IB_2RS232_E1N002INF1!L:L,0)),0)</f>
        <v>0</v>
      </c>
      <c r="L50">
        <f>IFERROR(INDEX(IB_2CAN_E1N003INF1!N:N,MATCH('По платам'!$B50,IB_2CAN_E1N003INF1!L:L,0)),0)</f>
        <v>0</v>
      </c>
    </row>
    <row r="51" spans="2:12">
      <c r="B51" s="3" t="s">
        <v>293</v>
      </c>
      <c r="C51">
        <f>IFERROR(INDEX('C2B004CPU2'!N:N,MATCH('По платам'!B51,'C2B004CPU2'!L:L,0)),0)</f>
        <v>0</v>
      </c>
      <c r="D51">
        <f>IFERROR(INDEX(SBC_DIO_E1N004INF1!N:N,MATCH('По платам'!$B51,SBC_DIO_E1N004INF1!L:L,0)),0)</f>
        <v>0</v>
      </c>
      <c r="E51">
        <f>IFERROR(INDEX(SBC_35_2C3_1_E1E001CPU1E!N:N,MATCH('По платам'!$B51,SBC_35_2C3_1_E1E001CPU1E!L:L,0)),0)</f>
        <v>0</v>
      </c>
      <c r="F51">
        <f>IFERROR(INDEX(PCIe104_PSU_E1N001PWR1!N:N,MATCH('По платам'!$B51,PCIe104_PSU_E1N001PWR1!L:L,0)),0)</f>
        <v>0</v>
      </c>
      <c r="G51">
        <f>IFERROR(INDEX(PCIe104_INF2_E1N006INF1!N:N,MATCH('По платам'!$B51,PCIe104_INF2_E1N006INF1!L:L,0)),0)</f>
        <v>0</v>
      </c>
      <c r="H51">
        <f>IFERROR(INDEX(PCIe104_CON_E1N005INF1!N:N,MATCH('По платам'!$B51,PCIe104_CON_E1N005INF1!L:L,0)),0)</f>
        <v>0</v>
      </c>
      <c r="I51">
        <f>IFERROR(INDEX('EM-PCIE104-CPU_E1E001CPU1E'!N:N,MATCH('По платам'!$B51,'EM-PCIE104-CPU_E1E001CPU1E'!L:L,0)),0)</f>
        <v>35</v>
      </c>
      <c r="J51">
        <f>IFERROR(INDEX(PCIe104_INF_E1N001INF1!N:N,MATCH('По платам'!$B51,PCIe104_INF_E1N001INF1!L:L,0)),0)</f>
        <v>22</v>
      </c>
      <c r="K51">
        <f>IFERROR(INDEX(IB_2RS232_E1N002INF1!N:N,MATCH('По платам'!$B51,IB_2RS232_E1N002INF1!L:L,0)),0)</f>
        <v>0</v>
      </c>
      <c r="L51">
        <f>IFERROR(INDEX(IB_2CAN_E1N003INF1!N:N,MATCH('По платам'!$B51,IB_2CAN_E1N003INF1!L:L,0)),0)</f>
        <v>0</v>
      </c>
    </row>
    <row r="52" spans="2:12">
      <c r="B52" s="3" t="s">
        <v>2352</v>
      </c>
      <c r="C52">
        <f>IFERROR(INDEX('C2B004CPU2'!N:N,MATCH('По платам'!B52,'C2B004CPU2'!L:L,0)),0)</f>
        <v>3</v>
      </c>
      <c r="D52">
        <f>IFERROR(INDEX(SBC_DIO_E1N004INF1!N:N,MATCH('По платам'!$B52,SBC_DIO_E1N004INF1!L:L,0)),0)</f>
        <v>0</v>
      </c>
      <c r="E52">
        <f>IFERROR(INDEX(SBC_35_2C3_1_E1E001CPU1E!N:N,MATCH('По платам'!$B52,SBC_35_2C3_1_E1E001CPU1E!L:L,0)),0)</f>
        <v>0</v>
      </c>
      <c r="F52">
        <f>IFERROR(INDEX(PCIe104_PSU_E1N001PWR1!N:N,MATCH('По платам'!$B52,PCIe104_PSU_E1N001PWR1!L:L,0)),0)</f>
        <v>0</v>
      </c>
      <c r="G52">
        <f>IFERROR(INDEX(PCIe104_INF2_E1N006INF1!N:N,MATCH('По платам'!$B52,PCIe104_INF2_E1N006INF1!L:L,0)),0)</f>
        <v>0</v>
      </c>
      <c r="H52">
        <f>IFERROR(INDEX(PCIe104_CON_E1N005INF1!N:N,MATCH('По платам'!$B52,PCIe104_CON_E1N005INF1!L:L,0)),0)</f>
        <v>0</v>
      </c>
      <c r="I52">
        <f>IFERROR(INDEX('EM-PCIE104-CPU_E1E001CPU1E'!N:N,MATCH('По платам'!$B52,'EM-PCIE104-CPU_E1E001CPU1E'!L:L,0)),0)</f>
        <v>0</v>
      </c>
      <c r="J52">
        <f>IFERROR(INDEX(PCIe104_INF_E1N001INF1!N:N,MATCH('По платам'!$B52,PCIe104_INF_E1N001INF1!L:L,0)),0)</f>
        <v>0</v>
      </c>
      <c r="K52">
        <f>IFERROR(INDEX(IB_2RS232_E1N002INF1!N:N,MATCH('По платам'!$B52,IB_2RS232_E1N002INF1!L:L,0)),0)</f>
        <v>0</v>
      </c>
      <c r="L52">
        <f>IFERROR(INDEX(IB_2CAN_E1N003INF1!N:N,MATCH('По платам'!$B52,IB_2CAN_E1N003INF1!L:L,0)),0)</f>
        <v>0</v>
      </c>
    </row>
    <row r="53" spans="2:12">
      <c r="B53" s="3" t="s">
        <v>2348</v>
      </c>
      <c r="C53">
        <f>IFERROR(INDEX('C2B004CPU2'!N:N,MATCH('По платам'!B53,'C2B004CPU2'!L:L,0)),0)</f>
        <v>1</v>
      </c>
      <c r="D53">
        <f>IFERROR(INDEX(SBC_DIO_E1N004INF1!N:N,MATCH('По платам'!$B53,SBC_DIO_E1N004INF1!L:L,0)),0)</f>
        <v>0</v>
      </c>
      <c r="E53">
        <f>IFERROR(INDEX(SBC_35_2C3_1_E1E001CPU1E!N:N,MATCH('По платам'!$B53,SBC_35_2C3_1_E1E001CPU1E!L:L,0)),0)</f>
        <v>0</v>
      </c>
      <c r="F53">
        <f>IFERROR(INDEX(PCIe104_PSU_E1N001PWR1!N:N,MATCH('По платам'!$B53,PCIe104_PSU_E1N001PWR1!L:L,0)),0)</f>
        <v>0</v>
      </c>
      <c r="G53">
        <f>IFERROR(INDEX(PCIe104_INF2_E1N006INF1!N:N,MATCH('По платам'!$B53,PCIe104_INF2_E1N006INF1!L:L,0)),0)</f>
        <v>0</v>
      </c>
      <c r="H53">
        <f>IFERROR(INDEX(PCIe104_CON_E1N005INF1!N:N,MATCH('По платам'!$B53,PCIe104_CON_E1N005INF1!L:L,0)),0)</f>
        <v>0</v>
      </c>
      <c r="I53">
        <f>IFERROR(INDEX('EM-PCIE104-CPU_E1E001CPU1E'!N:N,MATCH('По платам'!$B53,'EM-PCIE104-CPU_E1E001CPU1E'!L:L,0)),0)</f>
        <v>0</v>
      </c>
      <c r="J53">
        <f>IFERROR(INDEX(PCIe104_INF_E1N001INF1!N:N,MATCH('По платам'!$B53,PCIe104_INF_E1N001INF1!L:L,0)),0)</f>
        <v>0</v>
      </c>
      <c r="K53">
        <f>IFERROR(INDEX(IB_2RS232_E1N002INF1!N:N,MATCH('По платам'!$B53,IB_2RS232_E1N002INF1!L:L,0)),0)</f>
        <v>0</v>
      </c>
      <c r="L53">
        <f>IFERROR(INDEX(IB_2CAN_E1N003INF1!N:N,MATCH('По платам'!$B53,IB_2CAN_E1N003INF1!L:L,0)),0)</f>
        <v>0</v>
      </c>
    </row>
    <row r="54" spans="2:12">
      <c r="B54" s="3" t="s">
        <v>2357</v>
      </c>
      <c r="C54">
        <f>IFERROR(INDEX('C2B004CPU2'!N:N,MATCH('По платам'!B54,'C2B004CPU2'!L:L,0)),0)</f>
        <v>1</v>
      </c>
      <c r="D54">
        <f>IFERROR(INDEX(SBC_DIO_E1N004INF1!N:N,MATCH('По платам'!$B54,SBC_DIO_E1N004INF1!L:L,0)),0)</f>
        <v>0</v>
      </c>
      <c r="E54">
        <f>IFERROR(INDEX(SBC_35_2C3_1_E1E001CPU1E!N:N,MATCH('По платам'!$B54,SBC_35_2C3_1_E1E001CPU1E!L:L,0)),0)</f>
        <v>0</v>
      </c>
      <c r="F54">
        <f>IFERROR(INDEX(PCIe104_PSU_E1N001PWR1!N:N,MATCH('По платам'!$B54,PCIe104_PSU_E1N001PWR1!L:L,0)),0)</f>
        <v>0</v>
      </c>
      <c r="G54">
        <f>IFERROR(INDEX(PCIe104_INF2_E1N006INF1!N:N,MATCH('По платам'!$B54,PCIe104_INF2_E1N006INF1!L:L,0)),0)</f>
        <v>0</v>
      </c>
      <c r="H54">
        <f>IFERROR(INDEX(PCIe104_CON_E1N005INF1!N:N,MATCH('По платам'!$B54,PCIe104_CON_E1N005INF1!L:L,0)),0)</f>
        <v>0</v>
      </c>
      <c r="I54">
        <f>IFERROR(INDEX('EM-PCIE104-CPU_E1E001CPU1E'!N:N,MATCH('По платам'!$B54,'EM-PCIE104-CPU_E1E001CPU1E'!L:L,0)),0)</f>
        <v>0</v>
      </c>
      <c r="J54">
        <f>IFERROR(INDEX(PCIe104_INF_E1N001INF1!N:N,MATCH('По платам'!$B54,PCIe104_INF_E1N001INF1!L:L,0)),0)</f>
        <v>0</v>
      </c>
      <c r="K54">
        <f>IFERROR(INDEX(IB_2RS232_E1N002INF1!N:N,MATCH('По платам'!$B54,IB_2RS232_E1N002INF1!L:L,0)),0)</f>
        <v>0</v>
      </c>
      <c r="L54">
        <f>IFERROR(INDEX(IB_2CAN_E1N003INF1!N:N,MATCH('По платам'!$B54,IB_2CAN_E1N003INF1!L:L,0)),0)</f>
        <v>0</v>
      </c>
    </row>
    <row r="55" spans="2:12">
      <c r="B55" s="3" t="s">
        <v>1700</v>
      </c>
      <c r="C55">
        <f>IFERROR(INDEX('C2B004CPU2'!N:N,MATCH('По платам'!B55,'C2B004CPU2'!L:L,0)),0)</f>
        <v>0</v>
      </c>
      <c r="D55">
        <f>IFERROR(INDEX(SBC_DIO_E1N004INF1!N:N,MATCH('По платам'!$B55,SBC_DIO_E1N004INF1!L:L,0)),0)</f>
        <v>0</v>
      </c>
      <c r="E55">
        <f>IFERROR(INDEX(SBC_35_2C3_1_E1E001CPU1E!N:N,MATCH('По платам'!$B55,SBC_35_2C3_1_E1E001CPU1E!L:L,0)),0)</f>
        <v>1</v>
      </c>
      <c r="F55">
        <f>IFERROR(INDEX(PCIe104_PSU_E1N001PWR1!N:N,MATCH('По платам'!$B55,PCIe104_PSU_E1N001PWR1!L:L,0)),0)</f>
        <v>0</v>
      </c>
      <c r="G55">
        <f>IFERROR(INDEX(PCIe104_INF2_E1N006INF1!N:N,MATCH('По платам'!$B55,PCIe104_INF2_E1N006INF1!L:L,0)),0)</f>
        <v>0</v>
      </c>
      <c r="H55">
        <f>IFERROR(INDEX(PCIe104_CON_E1N005INF1!N:N,MATCH('По платам'!$B55,PCIe104_CON_E1N005INF1!L:L,0)),0)</f>
        <v>0</v>
      </c>
      <c r="I55">
        <f>IFERROR(INDEX('EM-PCIE104-CPU_E1E001CPU1E'!N:N,MATCH('По платам'!$B55,'EM-PCIE104-CPU_E1E001CPU1E'!L:L,0)),0)</f>
        <v>0</v>
      </c>
      <c r="J55">
        <f>IFERROR(INDEX(PCIe104_INF_E1N001INF1!N:N,MATCH('По платам'!$B55,PCIe104_INF_E1N001INF1!L:L,0)),0)</f>
        <v>0</v>
      </c>
      <c r="K55">
        <f>IFERROR(INDEX(IB_2RS232_E1N002INF1!N:N,MATCH('По платам'!$B55,IB_2RS232_E1N002INF1!L:L,0)),0)</f>
        <v>0</v>
      </c>
      <c r="L55">
        <f>IFERROR(INDEX(IB_2CAN_E1N003INF1!N:N,MATCH('По платам'!$B55,IB_2CAN_E1N003INF1!L:L,0)),0)</f>
        <v>0</v>
      </c>
    </row>
    <row r="56" spans="2:12">
      <c r="B56" s="3" t="s">
        <v>1689</v>
      </c>
      <c r="C56">
        <f>IFERROR(INDEX('C2B004CPU2'!N:N,MATCH('По платам'!B56,'C2B004CPU2'!L:L,0)),0)</f>
        <v>0</v>
      </c>
      <c r="D56">
        <f>IFERROR(INDEX(SBC_DIO_E1N004INF1!N:N,MATCH('По платам'!$B56,SBC_DIO_E1N004INF1!L:L,0)),0)</f>
        <v>0</v>
      </c>
      <c r="E56">
        <f>IFERROR(INDEX(SBC_35_2C3_1_E1E001CPU1E!N:N,MATCH('По платам'!$B56,SBC_35_2C3_1_E1E001CPU1E!L:L,0)),0)</f>
        <v>1</v>
      </c>
      <c r="F56">
        <f>IFERROR(INDEX(PCIe104_PSU_E1N001PWR1!N:N,MATCH('По платам'!$B56,PCIe104_PSU_E1N001PWR1!L:L,0)),0)</f>
        <v>0</v>
      </c>
      <c r="G56">
        <f>IFERROR(INDEX(PCIe104_INF2_E1N006INF1!N:N,MATCH('По платам'!$B56,PCIe104_INF2_E1N006INF1!L:L,0)),0)</f>
        <v>0</v>
      </c>
      <c r="H56">
        <f>IFERROR(INDEX(PCIe104_CON_E1N005INF1!N:N,MATCH('По платам'!$B56,PCIe104_CON_E1N005INF1!L:L,0)),0)</f>
        <v>0</v>
      </c>
      <c r="I56">
        <f>IFERROR(INDEX('EM-PCIE104-CPU_E1E001CPU1E'!N:N,MATCH('По платам'!$B56,'EM-PCIE104-CPU_E1E001CPU1E'!L:L,0)),0)</f>
        <v>0</v>
      </c>
      <c r="J56">
        <f>IFERROR(INDEX(PCIe104_INF_E1N001INF1!N:N,MATCH('По платам'!$B56,PCIe104_INF_E1N001INF1!L:L,0)),0)</f>
        <v>0</v>
      </c>
      <c r="K56">
        <f>IFERROR(INDEX(IB_2RS232_E1N002INF1!N:N,MATCH('По платам'!$B56,IB_2RS232_E1N002INF1!L:L,0)),0)</f>
        <v>0</v>
      </c>
      <c r="L56">
        <f>IFERROR(INDEX(IB_2CAN_E1N003INF1!N:N,MATCH('По платам'!$B56,IB_2CAN_E1N003INF1!L:L,0)),0)</f>
        <v>0</v>
      </c>
    </row>
    <row r="57" spans="2:12">
      <c r="B57" s="3" t="s">
        <v>1681</v>
      </c>
      <c r="C57">
        <f>IFERROR(INDEX('C2B004CPU2'!N:N,MATCH('По платам'!B57,'C2B004CPU2'!L:L,0)),0)</f>
        <v>0</v>
      </c>
      <c r="D57">
        <f>IFERROR(INDEX(SBC_DIO_E1N004INF1!N:N,MATCH('По платам'!$B57,SBC_DIO_E1N004INF1!L:L,0)),0)</f>
        <v>0</v>
      </c>
      <c r="E57">
        <f>IFERROR(INDEX(SBC_35_2C3_1_E1E001CPU1E!N:N,MATCH('По платам'!$B57,SBC_35_2C3_1_E1E001CPU1E!L:L,0)),0)</f>
        <v>1</v>
      </c>
      <c r="F57">
        <f>IFERROR(INDEX(PCIe104_PSU_E1N001PWR1!N:N,MATCH('По платам'!$B57,PCIe104_PSU_E1N001PWR1!L:L,0)),0)</f>
        <v>0</v>
      </c>
      <c r="G57">
        <f>IFERROR(INDEX(PCIe104_INF2_E1N006INF1!N:N,MATCH('По платам'!$B57,PCIe104_INF2_E1N006INF1!L:L,0)),0)</f>
        <v>0</v>
      </c>
      <c r="H57">
        <f>IFERROR(INDEX(PCIe104_CON_E1N005INF1!N:N,MATCH('По платам'!$B57,PCIe104_CON_E1N005INF1!L:L,0)),0)</f>
        <v>0</v>
      </c>
      <c r="I57">
        <f>IFERROR(INDEX('EM-PCIE104-CPU_E1E001CPU1E'!N:N,MATCH('По платам'!$B57,'EM-PCIE104-CPU_E1E001CPU1E'!L:L,0)),0)</f>
        <v>0</v>
      </c>
      <c r="J57">
        <f>IFERROR(INDEX(PCIe104_INF_E1N001INF1!N:N,MATCH('По платам'!$B57,PCIe104_INF_E1N001INF1!L:L,0)),0)</f>
        <v>0</v>
      </c>
      <c r="K57">
        <f>IFERROR(INDEX(IB_2RS232_E1N002INF1!N:N,MATCH('По платам'!$B57,IB_2RS232_E1N002INF1!L:L,0)),0)</f>
        <v>0</v>
      </c>
      <c r="L57">
        <f>IFERROR(INDEX(IB_2CAN_E1N003INF1!N:N,MATCH('По платам'!$B57,IB_2CAN_E1N003INF1!L:L,0)),0)</f>
        <v>0</v>
      </c>
    </row>
    <row r="58" spans="2:12">
      <c r="B58" s="3" t="s">
        <v>1685</v>
      </c>
      <c r="C58">
        <f>IFERROR(INDEX('C2B004CPU2'!N:N,MATCH('По платам'!B58,'C2B004CPU2'!L:L,0)),0)</f>
        <v>0</v>
      </c>
      <c r="D58">
        <f>IFERROR(INDEX(SBC_DIO_E1N004INF1!N:N,MATCH('По платам'!$B58,SBC_DIO_E1N004INF1!L:L,0)),0)</f>
        <v>0</v>
      </c>
      <c r="E58">
        <f>IFERROR(INDEX(SBC_35_2C3_1_E1E001CPU1E!N:N,MATCH('По платам'!$B58,SBC_35_2C3_1_E1E001CPU1E!L:L,0)),0)</f>
        <v>1</v>
      </c>
      <c r="F58">
        <f>IFERROR(INDEX(PCIe104_PSU_E1N001PWR1!N:N,MATCH('По платам'!$B58,PCIe104_PSU_E1N001PWR1!L:L,0)),0)</f>
        <v>0</v>
      </c>
      <c r="G58">
        <f>IFERROR(INDEX(PCIe104_INF2_E1N006INF1!N:N,MATCH('По платам'!$B58,PCIe104_INF2_E1N006INF1!L:L,0)),0)</f>
        <v>0</v>
      </c>
      <c r="H58">
        <f>IFERROR(INDEX(PCIe104_CON_E1N005INF1!N:N,MATCH('По платам'!$B58,PCIe104_CON_E1N005INF1!L:L,0)),0)</f>
        <v>0</v>
      </c>
      <c r="I58">
        <f>IFERROR(INDEX('EM-PCIE104-CPU_E1E001CPU1E'!N:N,MATCH('По платам'!$B58,'EM-PCIE104-CPU_E1E001CPU1E'!L:L,0)),0)</f>
        <v>0</v>
      </c>
      <c r="J58">
        <f>IFERROR(INDEX(PCIe104_INF_E1N001INF1!N:N,MATCH('По платам'!$B58,PCIe104_INF_E1N001INF1!L:L,0)),0)</f>
        <v>0</v>
      </c>
      <c r="K58">
        <f>IFERROR(INDEX(IB_2RS232_E1N002INF1!N:N,MATCH('По платам'!$B58,IB_2RS232_E1N002INF1!L:L,0)),0)</f>
        <v>0</v>
      </c>
      <c r="L58">
        <f>IFERROR(INDEX(IB_2CAN_E1N003INF1!N:N,MATCH('По платам'!$B58,IB_2CAN_E1N003INF1!L:L,0)),0)</f>
        <v>0</v>
      </c>
    </row>
    <row r="59" spans="2:12">
      <c r="B59" s="3" t="s">
        <v>2362</v>
      </c>
      <c r="C59">
        <f>IFERROR(INDEX('C2B004CPU2'!N:N,MATCH('По платам'!B59,'C2B004CPU2'!L:L,0)),0)</f>
        <v>3</v>
      </c>
      <c r="D59">
        <f>IFERROR(INDEX(SBC_DIO_E1N004INF1!N:N,MATCH('По платам'!$B59,SBC_DIO_E1N004INF1!L:L,0)),0)</f>
        <v>0</v>
      </c>
      <c r="E59">
        <f>IFERROR(INDEX(SBC_35_2C3_1_E1E001CPU1E!N:N,MATCH('По платам'!$B59,SBC_35_2C3_1_E1E001CPU1E!L:L,0)),0)</f>
        <v>0</v>
      </c>
      <c r="F59">
        <f>IFERROR(INDEX(PCIe104_PSU_E1N001PWR1!N:N,MATCH('По платам'!$B59,PCIe104_PSU_E1N001PWR1!L:L,0)),0)</f>
        <v>0</v>
      </c>
      <c r="G59">
        <f>IFERROR(INDEX(PCIe104_INF2_E1N006INF1!N:N,MATCH('По платам'!$B59,PCIe104_INF2_E1N006INF1!L:L,0)),0)</f>
        <v>0</v>
      </c>
      <c r="H59">
        <f>IFERROR(INDEX(PCIe104_CON_E1N005INF1!N:N,MATCH('По платам'!$B59,PCIe104_CON_E1N005INF1!L:L,0)),0)</f>
        <v>0</v>
      </c>
      <c r="I59">
        <f>IFERROR(INDEX('EM-PCIE104-CPU_E1E001CPU1E'!N:N,MATCH('По платам'!$B59,'EM-PCIE104-CPU_E1E001CPU1E'!L:L,0)),0)</f>
        <v>0</v>
      </c>
      <c r="J59">
        <f>IFERROR(INDEX(PCIe104_INF_E1N001INF1!N:N,MATCH('По платам'!$B59,PCIe104_INF_E1N001INF1!L:L,0)),0)</f>
        <v>0</v>
      </c>
      <c r="K59">
        <f>IFERROR(INDEX(IB_2RS232_E1N002INF1!N:N,MATCH('По платам'!$B59,IB_2RS232_E1N002INF1!L:L,0)),0)</f>
        <v>0</v>
      </c>
      <c r="L59">
        <f>IFERROR(INDEX(IB_2CAN_E1N003INF1!N:N,MATCH('По платам'!$B59,IB_2CAN_E1N003INF1!L:L,0)),0)</f>
        <v>0</v>
      </c>
    </row>
    <row r="60" spans="2:12">
      <c r="B60" s="3" t="s">
        <v>2708</v>
      </c>
      <c r="C60">
        <f>IFERROR(INDEX('C2B004CPU2'!N:N,MATCH('По платам'!B60,'C2B004CPU2'!L:L,0)),0)</f>
        <v>1</v>
      </c>
      <c r="D60">
        <f>IFERROR(INDEX(SBC_DIO_E1N004INF1!N:N,MATCH('По платам'!$B60,SBC_DIO_E1N004INF1!L:L,0)),0)</f>
        <v>0</v>
      </c>
      <c r="E60">
        <f>IFERROR(INDEX(SBC_35_2C3_1_E1E001CPU1E!N:N,MATCH('По платам'!$B60,SBC_35_2C3_1_E1E001CPU1E!L:L,0)),0)</f>
        <v>0</v>
      </c>
      <c r="F60">
        <f>IFERROR(INDEX(PCIe104_PSU_E1N001PWR1!N:N,MATCH('По платам'!$B60,PCIe104_PSU_E1N001PWR1!L:L,0)),0)</f>
        <v>0</v>
      </c>
      <c r="G60">
        <f>IFERROR(INDEX(PCIe104_INF2_E1N006INF1!N:N,MATCH('По платам'!$B60,PCIe104_INF2_E1N006INF1!L:L,0)),0)</f>
        <v>0</v>
      </c>
      <c r="H60">
        <f>IFERROR(INDEX(PCIe104_CON_E1N005INF1!N:N,MATCH('По платам'!$B60,PCIe104_CON_E1N005INF1!L:L,0)),0)</f>
        <v>0</v>
      </c>
      <c r="I60">
        <f>IFERROR(INDEX('EM-PCIE104-CPU_E1E001CPU1E'!N:N,MATCH('По платам'!$B60,'EM-PCIE104-CPU_E1E001CPU1E'!L:L,0)),0)</f>
        <v>0</v>
      </c>
      <c r="J60">
        <f>IFERROR(INDEX(PCIe104_INF_E1N001INF1!N:N,MATCH('По платам'!$B60,PCIe104_INF_E1N001INF1!L:L,0)),0)</f>
        <v>0</v>
      </c>
      <c r="K60">
        <f>IFERROR(INDEX(IB_2RS232_E1N002INF1!N:N,MATCH('По платам'!$B60,IB_2RS232_E1N002INF1!L:L,0)),0)</f>
        <v>0</v>
      </c>
      <c r="L60">
        <f>IFERROR(INDEX(IB_2CAN_E1N003INF1!N:N,MATCH('По платам'!$B60,IB_2CAN_E1N003INF1!L:L,0)),0)</f>
        <v>0</v>
      </c>
    </row>
    <row r="61" spans="2:12">
      <c r="B61" s="3" t="s">
        <v>2783</v>
      </c>
      <c r="C61">
        <f>IFERROR(INDEX('C2B004CPU2'!N:N,MATCH('По платам'!B61,'C2B004CPU2'!L:L,0)),0)</f>
        <v>1</v>
      </c>
      <c r="D61">
        <f>IFERROR(INDEX(SBC_DIO_E1N004INF1!N:N,MATCH('По платам'!$B61,SBC_DIO_E1N004INF1!L:L,0)),0)</f>
        <v>0</v>
      </c>
      <c r="E61">
        <f>IFERROR(INDEX(SBC_35_2C3_1_E1E001CPU1E!N:N,MATCH('По платам'!$B61,SBC_35_2C3_1_E1E001CPU1E!L:L,0)),0)</f>
        <v>0</v>
      </c>
      <c r="F61">
        <f>IFERROR(INDEX(PCIe104_PSU_E1N001PWR1!N:N,MATCH('По платам'!$B61,PCIe104_PSU_E1N001PWR1!L:L,0)),0)</f>
        <v>0</v>
      </c>
      <c r="G61">
        <f>IFERROR(INDEX(PCIe104_INF2_E1N006INF1!N:N,MATCH('По платам'!$B61,PCIe104_INF2_E1N006INF1!L:L,0)),0)</f>
        <v>0</v>
      </c>
      <c r="H61">
        <f>IFERROR(INDEX(PCIe104_CON_E1N005INF1!N:N,MATCH('По платам'!$B61,PCIe104_CON_E1N005INF1!L:L,0)),0)</f>
        <v>0</v>
      </c>
      <c r="I61">
        <f>IFERROR(INDEX('EM-PCIE104-CPU_E1E001CPU1E'!N:N,MATCH('По платам'!$B61,'EM-PCIE104-CPU_E1E001CPU1E'!L:L,0)),0)</f>
        <v>0</v>
      </c>
      <c r="J61">
        <f>IFERROR(INDEX(PCIe104_INF_E1N001INF1!N:N,MATCH('По платам'!$B61,PCIe104_INF_E1N001INF1!L:L,0)),0)</f>
        <v>0</v>
      </c>
      <c r="K61">
        <f>IFERROR(INDEX(IB_2RS232_E1N002INF1!N:N,MATCH('По платам'!$B61,IB_2RS232_E1N002INF1!L:L,0)),0)</f>
        <v>0</v>
      </c>
      <c r="L61">
        <f>IFERROR(INDEX(IB_2CAN_E1N003INF1!N:N,MATCH('По платам'!$B61,IB_2CAN_E1N003INF1!L:L,0)),0)</f>
        <v>0</v>
      </c>
    </row>
    <row r="62" spans="2:12">
      <c r="B62" s="3" t="s">
        <v>1128</v>
      </c>
      <c r="C62">
        <f>IFERROR(INDEX('C2B004CPU2'!N:N,MATCH('По платам'!B62,'C2B004CPU2'!L:L,0)),0)</f>
        <v>0</v>
      </c>
      <c r="D62">
        <f>IFERROR(INDEX(SBC_DIO_E1N004INF1!N:N,MATCH('По платам'!$B62,SBC_DIO_E1N004INF1!L:L,0)),0)</f>
        <v>8</v>
      </c>
      <c r="E62">
        <f>IFERROR(INDEX(SBC_35_2C3_1_E1E001CPU1E!N:N,MATCH('По платам'!$B62,SBC_35_2C3_1_E1E001CPU1E!L:L,0)),0)</f>
        <v>0</v>
      </c>
      <c r="F62">
        <f>IFERROR(INDEX(PCIe104_PSU_E1N001PWR1!N:N,MATCH('По платам'!$B62,PCIe104_PSU_E1N001PWR1!L:L,0)),0)</f>
        <v>0</v>
      </c>
      <c r="G62">
        <f>IFERROR(INDEX(PCIe104_INF2_E1N006INF1!N:N,MATCH('По платам'!$B62,PCIe104_INF2_E1N006INF1!L:L,0)),0)</f>
        <v>0</v>
      </c>
      <c r="H62">
        <f>IFERROR(INDEX(PCIe104_CON_E1N005INF1!N:N,MATCH('По платам'!$B62,PCIe104_CON_E1N005INF1!L:L,0)),0)</f>
        <v>4</v>
      </c>
      <c r="I62">
        <f>IFERROR(INDEX('EM-PCIE104-CPU_E1E001CPU1E'!N:N,MATCH('По платам'!$B62,'EM-PCIE104-CPU_E1E001CPU1E'!L:L,0)),0)</f>
        <v>0</v>
      </c>
      <c r="J62">
        <f>IFERROR(INDEX(PCIe104_INF_E1N001INF1!N:N,MATCH('По платам'!$B62,PCIe104_INF_E1N001INF1!L:L,0)),0)</f>
        <v>0</v>
      </c>
      <c r="K62">
        <f>IFERROR(INDEX(IB_2RS232_E1N002INF1!N:N,MATCH('По платам'!$B62,IB_2RS232_E1N002INF1!L:L,0)),0)</f>
        <v>0</v>
      </c>
      <c r="L62">
        <f>IFERROR(INDEX(IB_2CAN_E1N003INF1!N:N,MATCH('По платам'!$B62,IB_2CAN_E1N003INF1!L:L,0)),0)</f>
        <v>0</v>
      </c>
    </row>
    <row r="63" spans="2:12">
      <c r="B63" s="3" t="s">
        <v>2665</v>
      </c>
      <c r="C63">
        <f>IFERROR(INDEX('C2B004CPU2'!N:N,MATCH('По платам'!B63,'C2B004CPU2'!L:L,0)),0)</f>
        <v>1</v>
      </c>
      <c r="D63">
        <f>IFERROR(INDEX(SBC_DIO_E1N004INF1!N:N,MATCH('По платам'!$B63,SBC_DIO_E1N004INF1!L:L,0)),0)</f>
        <v>0</v>
      </c>
      <c r="E63">
        <f>IFERROR(INDEX(SBC_35_2C3_1_E1E001CPU1E!N:N,MATCH('По платам'!$B63,SBC_35_2C3_1_E1E001CPU1E!L:L,0)),0)</f>
        <v>0</v>
      </c>
      <c r="F63">
        <f>IFERROR(INDEX(PCIe104_PSU_E1N001PWR1!N:N,MATCH('По платам'!$B63,PCIe104_PSU_E1N001PWR1!L:L,0)),0)</f>
        <v>0</v>
      </c>
      <c r="G63">
        <f>IFERROR(INDEX(PCIe104_INF2_E1N006INF1!N:N,MATCH('По платам'!$B63,PCIe104_INF2_E1N006INF1!L:L,0)),0)</f>
        <v>0</v>
      </c>
      <c r="H63">
        <f>IFERROR(INDEX(PCIe104_CON_E1N005INF1!N:N,MATCH('По платам'!$B63,PCIe104_CON_E1N005INF1!L:L,0)),0)</f>
        <v>0</v>
      </c>
      <c r="I63">
        <f>IFERROR(INDEX('EM-PCIE104-CPU_E1E001CPU1E'!N:N,MATCH('По платам'!$B63,'EM-PCIE104-CPU_E1E001CPU1E'!L:L,0)),0)</f>
        <v>0</v>
      </c>
      <c r="J63">
        <f>IFERROR(INDEX(PCIe104_INF_E1N001INF1!N:N,MATCH('По платам'!$B63,PCIe104_INF_E1N001INF1!L:L,0)),0)</f>
        <v>0</v>
      </c>
      <c r="K63">
        <f>IFERROR(INDEX(IB_2RS232_E1N002INF1!N:N,MATCH('По платам'!$B63,IB_2RS232_E1N002INF1!L:L,0)),0)</f>
        <v>0</v>
      </c>
      <c r="L63">
        <f>IFERROR(INDEX(IB_2CAN_E1N003INF1!N:N,MATCH('По платам'!$B63,IB_2CAN_E1N003INF1!L:L,0)),0)</f>
        <v>0</v>
      </c>
    </row>
    <row r="64" spans="2:12">
      <c r="B64" s="3" t="s">
        <v>2669</v>
      </c>
      <c r="C64">
        <f>IFERROR(INDEX('C2B004CPU2'!N:N,MATCH('По платам'!B64,'C2B004CPU2'!L:L,0)),0)</f>
        <v>1</v>
      </c>
      <c r="D64">
        <f>IFERROR(INDEX(SBC_DIO_E1N004INF1!N:N,MATCH('По платам'!$B64,SBC_DIO_E1N004INF1!L:L,0)),0)</f>
        <v>0</v>
      </c>
      <c r="E64">
        <f>IFERROR(INDEX(SBC_35_2C3_1_E1E001CPU1E!N:N,MATCH('По платам'!$B64,SBC_35_2C3_1_E1E001CPU1E!L:L,0)),0)</f>
        <v>0</v>
      </c>
      <c r="F64">
        <f>IFERROR(INDEX(PCIe104_PSU_E1N001PWR1!N:N,MATCH('По платам'!$B64,PCIe104_PSU_E1N001PWR1!L:L,0)),0)</f>
        <v>0</v>
      </c>
      <c r="G64">
        <f>IFERROR(INDEX(PCIe104_INF2_E1N006INF1!N:N,MATCH('По платам'!$B64,PCIe104_INF2_E1N006INF1!L:L,0)),0)</f>
        <v>0</v>
      </c>
      <c r="H64">
        <f>IFERROR(INDEX(PCIe104_CON_E1N005INF1!N:N,MATCH('По платам'!$B64,PCIe104_CON_E1N005INF1!L:L,0)),0)</f>
        <v>0</v>
      </c>
      <c r="I64">
        <f>IFERROR(INDEX('EM-PCIE104-CPU_E1E001CPU1E'!N:N,MATCH('По платам'!$B64,'EM-PCIE104-CPU_E1E001CPU1E'!L:L,0)),0)</f>
        <v>0</v>
      </c>
      <c r="J64">
        <f>IFERROR(INDEX(PCIe104_INF_E1N001INF1!N:N,MATCH('По платам'!$B64,PCIe104_INF_E1N001INF1!L:L,0)),0)</f>
        <v>0</v>
      </c>
      <c r="K64">
        <f>IFERROR(INDEX(IB_2RS232_E1N002INF1!N:N,MATCH('По платам'!$B64,IB_2RS232_E1N002INF1!L:L,0)),0)</f>
        <v>0</v>
      </c>
      <c r="L64">
        <f>IFERROR(INDEX(IB_2CAN_E1N003INF1!N:N,MATCH('По платам'!$B64,IB_2CAN_E1N003INF1!L:L,0)),0)</f>
        <v>0</v>
      </c>
    </row>
    <row r="65" spans="2:12">
      <c r="B65" s="3" t="s">
        <v>2073</v>
      </c>
      <c r="C65">
        <f>IFERROR(INDEX('C2B004CPU2'!N:N,MATCH('По платам'!B65,'C2B004CPU2'!L:L,0)),0)</f>
        <v>0</v>
      </c>
      <c r="D65">
        <f>IFERROR(INDEX(SBC_DIO_E1N004INF1!N:N,MATCH('По платам'!$B65,SBC_DIO_E1N004INF1!L:L,0)),0)</f>
        <v>2</v>
      </c>
      <c r="E65">
        <f>IFERROR(INDEX(SBC_35_2C3_1_E1E001CPU1E!N:N,MATCH('По платам'!$B65,SBC_35_2C3_1_E1E001CPU1E!L:L,0)),0)</f>
        <v>0</v>
      </c>
      <c r="F65">
        <f>IFERROR(INDEX(PCIe104_PSU_E1N001PWR1!N:N,MATCH('По платам'!$B65,PCIe104_PSU_E1N001PWR1!L:L,0)),0)</f>
        <v>0</v>
      </c>
      <c r="G65">
        <f>IFERROR(INDEX(PCIe104_INF2_E1N006INF1!N:N,MATCH('По платам'!$B65,PCIe104_INF2_E1N006INF1!L:L,0)),0)</f>
        <v>0</v>
      </c>
      <c r="H65">
        <f>IFERROR(INDEX(PCIe104_CON_E1N005INF1!N:N,MATCH('По платам'!$B65,PCIe104_CON_E1N005INF1!L:L,0)),0)</f>
        <v>0</v>
      </c>
      <c r="I65">
        <f>IFERROR(INDEX('EM-PCIE104-CPU_E1E001CPU1E'!N:N,MATCH('По платам'!$B65,'EM-PCIE104-CPU_E1E001CPU1E'!L:L,0)),0)</f>
        <v>0</v>
      </c>
      <c r="J65">
        <f>IFERROR(INDEX(PCIe104_INF_E1N001INF1!N:N,MATCH('По платам'!$B65,PCIe104_INF_E1N001INF1!L:L,0)),0)</f>
        <v>0</v>
      </c>
      <c r="K65">
        <f>IFERROR(INDEX(IB_2RS232_E1N002INF1!N:N,MATCH('По платам'!$B65,IB_2RS232_E1N002INF1!L:L,0)),0)</f>
        <v>0</v>
      </c>
      <c r="L65">
        <f>IFERROR(INDEX(IB_2CAN_E1N003INF1!N:N,MATCH('По платам'!$B65,IB_2CAN_E1N003INF1!L:L,0)),0)</f>
        <v>0</v>
      </c>
    </row>
    <row r="66" spans="2:12">
      <c r="B66" s="3" t="s">
        <v>1338</v>
      </c>
      <c r="C66">
        <f>IFERROR(INDEX('C2B004CPU2'!N:N,MATCH('По платам'!B66,'C2B004CPU2'!L:L,0)),0)</f>
        <v>0</v>
      </c>
      <c r="D66">
        <f>IFERROR(INDEX(SBC_DIO_E1N004INF1!N:N,MATCH('По платам'!$B66,SBC_DIO_E1N004INF1!L:L,0)),0)</f>
        <v>0</v>
      </c>
      <c r="E66">
        <f>IFERROR(INDEX(SBC_35_2C3_1_E1E001CPU1E!N:N,MATCH('По платам'!$B66,SBC_35_2C3_1_E1E001CPU1E!L:L,0)),0)</f>
        <v>0</v>
      </c>
      <c r="F66">
        <f>IFERROR(INDEX(PCIe104_PSU_E1N001PWR1!N:N,MATCH('По платам'!$B66,PCIe104_PSU_E1N001PWR1!L:L,0)),0)</f>
        <v>1</v>
      </c>
      <c r="G66">
        <f>IFERROR(INDEX(PCIe104_INF2_E1N006INF1!N:N,MATCH('По платам'!$B66,PCIe104_INF2_E1N006INF1!L:L,0)),0)</f>
        <v>0</v>
      </c>
      <c r="H66">
        <f>IFERROR(INDEX(PCIe104_CON_E1N005INF1!N:N,MATCH('По платам'!$B66,PCIe104_CON_E1N005INF1!L:L,0)),0)</f>
        <v>0</v>
      </c>
      <c r="I66">
        <f>IFERROR(INDEX('EM-PCIE104-CPU_E1E001CPU1E'!N:N,MATCH('По платам'!$B66,'EM-PCIE104-CPU_E1E001CPU1E'!L:L,0)),0)</f>
        <v>0</v>
      </c>
      <c r="J66">
        <f>IFERROR(INDEX(PCIe104_INF_E1N001INF1!N:N,MATCH('По платам'!$B66,PCIe104_INF_E1N001INF1!L:L,0)),0)</f>
        <v>0</v>
      </c>
      <c r="K66">
        <f>IFERROR(INDEX(IB_2RS232_E1N002INF1!N:N,MATCH('По платам'!$B66,IB_2RS232_E1N002INF1!L:L,0)),0)</f>
        <v>0</v>
      </c>
      <c r="L66">
        <f>IFERROR(INDEX(IB_2CAN_E1N003INF1!N:N,MATCH('По платам'!$B66,IB_2CAN_E1N003INF1!L:L,0)),0)</f>
        <v>0</v>
      </c>
    </row>
    <row r="67" spans="2:12">
      <c r="B67" s="3" t="s">
        <v>1335</v>
      </c>
      <c r="C67">
        <f>IFERROR(INDEX('C2B004CPU2'!N:N,MATCH('По платам'!B67,'C2B004CPU2'!L:L,0)),0)</f>
        <v>0</v>
      </c>
      <c r="D67">
        <f>IFERROR(INDEX(SBC_DIO_E1N004INF1!N:N,MATCH('По платам'!$B67,SBC_DIO_E1N004INF1!L:L,0)),0)</f>
        <v>0</v>
      </c>
      <c r="E67">
        <f>IFERROR(INDEX(SBC_35_2C3_1_E1E001CPU1E!N:N,MATCH('По платам'!$B67,SBC_35_2C3_1_E1E001CPU1E!L:L,0)),0)</f>
        <v>0</v>
      </c>
      <c r="F67">
        <f>IFERROR(INDEX(PCIe104_PSU_E1N001PWR1!N:N,MATCH('По платам'!$B67,PCIe104_PSU_E1N001PWR1!L:L,0)),0)</f>
        <v>1</v>
      </c>
      <c r="G67">
        <f>IFERROR(INDEX(PCIe104_INF2_E1N006INF1!N:N,MATCH('По платам'!$B67,PCIe104_INF2_E1N006INF1!L:L,0)),0)</f>
        <v>0</v>
      </c>
      <c r="H67">
        <f>IFERROR(INDEX(PCIe104_CON_E1N005INF1!N:N,MATCH('По платам'!$B67,PCIe104_CON_E1N005INF1!L:L,0)),0)</f>
        <v>0</v>
      </c>
      <c r="I67">
        <f>IFERROR(INDEX('EM-PCIE104-CPU_E1E001CPU1E'!N:N,MATCH('По платам'!$B67,'EM-PCIE104-CPU_E1E001CPU1E'!L:L,0)),0)</f>
        <v>0</v>
      </c>
      <c r="J67">
        <f>IFERROR(INDEX(PCIe104_INF_E1N001INF1!N:N,MATCH('По платам'!$B67,PCIe104_INF_E1N001INF1!L:L,0)),0)</f>
        <v>0</v>
      </c>
      <c r="K67">
        <f>IFERROR(INDEX(IB_2RS232_E1N002INF1!N:N,MATCH('По платам'!$B67,IB_2RS232_E1N002INF1!L:L,0)),0)</f>
        <v>0</v>
      </c>
      <c r="L67">
        <f>IFERROR(INDEX(IB_2CAN_E1N003INF1!N:N,MATCH('По платам'!$B67,IB_2CAN_E1N003INF1!L:L,0)),0)</f>
        <v>0</v>
      </c>
    </row>
    <row r="68" spans="2:12">
      <c r="B68" s="3" t="s">
        <v>2245</v>
      </c>
      <c r="C68">
        <f>IFERROR(INDEX('C2B004CPU2'!N:N,MATCH('По платам'!B68,'C2B004CPU2'!L:L,0)),0)</f>
        <v>3</v>
      </c>
      <c r="D68">
        <f>IFERROR(INDEX(SBC_DIO_E1N004INF1!N:N,MATCH('По платам'!$B68,SBC_DIO_E1N004INF1!L:L,0)),0)</f>
        <v>0</v>
      </c>
      <c r="E68">
        <f>IFERROR(INDEX(SBC_35_2C3_1_E1E001CPU1E!N:N,MATCH('По платам'!$B68,SBC_35_2C3_1_E1E001CPU1E!L:L,0)),0)</f>
        <v>0</v>
      </c>
      <c r="F68">
        <f>IFERROR(INDEX(PCIe104_PSU_E1N001PWR1!N:N,MATCH('По платам'!$B68,PCIe104_PSU_E1N001PWR1!L:L,0)),0)</f>
        <v>0</v>
      </c>
      <c r="G68">
        <f>IFERROR(INDEX(PCIe104_INF2_E1N006INF1!N:N,MATCH('По платам'!$B68,PCIe104_INF2_E1N006INF1!L:L,0)),0)</f>
        <v>0</v>
      </c>
      <c r="H68">
        <f>IFERROR(INDEX(PCIe104_CON_E1N005INF1!N:N,MATCH('По платам'!$B68,PCIe104_CON_E1N005INF1!L:L,0)),0)</f>
        <v>0</v>
      </c>
      <c r="I68">
        <f>IFERROR(INDEX('EM-PCIE104-CPU_E1E001CPU1E'!N:N,MATCH('По платам'!$B68,'EM-PCIE104-CPU_E1E001CPU1E'!L:L,0)),0)</f>
        <v>0</v>
      </c>
      <c r="J68">
        <f>IFERROR(INDEX(PCIe104_INF_E1N001INF1!N:N,MATCH('По платам'!$B68,PCIe104_INF_E1N001INF1!L:L,0)),0)</f>
        <v>0</v>
      </c>
      <c r="K68">
        <f>IFERROR(INDEX(IB_2RS232_E1N002INF1!N:N,MATCH('По платам'!$B68,IB_2RS232_E1N002INF1!L:L,0)),0)</f>
        <v>0</v>
      </c>
      <c r="L68">
        <f>IFERROR(INDEX(IB_2CAN_E1N003INF1!N:N,MATCH('По платам'!$B68,IB_2CAN_E1N003INF1!L:L,0)),0)</f>
        <v>0</v>
      </c>
    </row>
    <row r="69" spans="2:12">
      <c r="B69" s="3" t="s">
        <v>752</v>
      </c>
      <c r="C69">
        <f>IFERROR(INDEX('C2B004CPU2'!N:N,MATCH('По платам'!B69,'C2B004CPU2'!L:L,0)),0)</f>
        <v>0</v>
      </c>
      <c r="D69">
        <f>IFERROR(INDEX(SBC_DIO_E1N004INF1!N:N,MATCH('По платам'!$B69,SBC_DIO_E1N004INF1!L:L,0)),0)</f>
        <v>0</v>
      </c>
      <c r="E69">
        <f>IFERROR(INDEX(SBC_35_2C3_1_E1E001CPU1E!N:N,MATCH('По платам'!$B69,SBC_35_2C3_1_E1E001CPU1E!L:L,0)),0)</f>
        <v>1</v>
      </c>
      <c r="F69">
        <f>IFERROR(INDEX(PCIe104_PSU_E1N001PWR1!N:N,MATCH('По платам'!$B69,PCIe104_PSU_E1N001PWR1!L:L,0)),0)</f>
        <v>0</v>
      </c>
      <c r="G69">
        <f>IFERROR(INDEX(PCIe104_INF2_E1N006INF1!N:N,MATCH('По платам'!$B69,PCIe104_INF2_E1N006INF1!L:L,0)),0)</f>
        <v>0</v>
      </c>
      <c r="H69">
        <f>IFERROR(INDEX(PCIe104_CON_E1N005INF1!N:N,MATCH('По платам'!$B69,PCIe104_CON_E1N005INF1!L:L,0)),0)</f>
        <v>0</v>
      </c>
      <c r="I69">
        <f>IFERROR(INDEX('EM-PCIE104-CPU_E1E001CPU1E'!N:N,MATCH('По платам'!$B69,'EM-PCIE104-CPU_E1E001CPU1E'!L:L,0)),0)</f>
        <v>1</v>
      </c>
      <c r="J69">
        <f>IFERROR(INDEX(PCIe104_INF_E1N001INF1!N:N,MATCH('По платам'!$B69,PCIe104_INF_E1N001INF1!L:L,0)),0)</f>
        <v>0</v>
      </c>
      <c r="K69">
        <f>IFERROR(INDEX(IB_2RS232_E1N002INF1!N:N,MATCH('По платам'!$B69,IB_2RS232_E1N002INF1!L:L,0)),0)</f>
        <v>0</v>
      </c>
      <c r="L69">
        <f>IFERROR(INDEX(IB_2CAN_E1N003INF1!N:N,MATCH('По платам'!$B69,IB_2CAN_E1N003INF1!L:L,0)),0)</f>
        <v>0</v>
      </c>
    </row>
    <row r="70" spans="2:12">
      <c r="B70" s="3" t="s">
        <v>356</v>
      </c>
      <c r="C70">
        <f>IFERROR(INDEX('C2B004CPU2'!N:N,MATCH('По платам'!B70,'C2B004CPU2'!L:L,0)),0)</f>
        <v>0</v>
      </c>
      <c r="D70">
        <f>IFERROR(INDEX(SBC_DIO_E1N004INF1!N:N,MATCH('По платам'!$B70,SBC_DIO_E1N004INF1!L:L,0)),0)</f>
        <v>0</v>
      </c>
      <c r="E70">
        <f>IFERROR(INDEX(SBC_35_2C3_1_E1E001CPU1E!N:N,MATCH('По платам'!$B70,SBC_35_2C3_1_E1E001CPU1E!L:L,0)),0)</f>
        <v>6</v>
      </c>
      <c r="F70">
        <f>IFERROR(INDEX(PCIe104_PSU_E1N001PWR1!N:N,MATCH('По платам'!$B70,PCIe104_PSU_E1N001PWR1!L:L,0)),0)</f>
        <v>0</v>
      </c>
      <c r="G70">
        <f>IFERROR(INDEX(PCIe104_INF2_E1N006INF1!N:N,MATCH('По платам'!$B70,PCIe104_INF2_E1N006INF1!L:L,0)),0)</f>
        <v>2</v>
      </c>
      <c r="H70">
        <f>IFERROR(INDEX(PCIe104_CON_E1N005INF1!N:N,MATCH('По платам'!$B70,PCIe104_CON_E1N005INF1!L:L,0)),0)</f>
        <v>0</v>
      </c>
      <c r="I70">
        <f>IFERROR(INDEX('EM-PCIE104-CPU_E1E001CPU1E'!N:N,MATCH('По платам'!$B70,'EM-PCIE104-CPU_E1E001CPU1E'!L:L,0)),0)</f>
        <v>4</v>
      </c>
      <c r="J70">
        <f>IFERROR(INDEX(PCIe104_INF_E1N001INF1!N:N,MATCH('По платам'!$B70,PCIe104_INF_E1N001INF1!L:L,0)),0)</f>
        <v>3</v>
      </c>
      <c r="K70">
        <f>IFERROR(INDEX(IB_2RS232_E1N002INF1!N:N,MATCH('По платам'!$B70,IB_2RS232_E1N002INF1!L:L,0)),0)</f>
        <v>0</v>
      </c>
      <c r="L70">
        <f>IFERROR(INDEX(IB_2CAN_E1N003INF1!N:N,MATCH('По платам'!$B70,IB_2CAN_E1N003INF1!L:L,0)),0)</f>
        <v>0</v>
      </c>
    </row>
    <row r="71" spans="2:12">
      <c r="B71" s="3" t="s">
        <v>2206</v>
      </c>
      <c r="C71">
        <f>IFERROR(INDEX('C2B004CPU2'!N:N,MATCH('По платам'!B71,'C2B004CPU2'!L:L,0)),0)</f>
        <v>8</v>
      </c>
      <c r="D71">
        <f>IFERROR(INDEX(SBC_DIO_E1N004INF1!N:N,MATCH('По платам'!$B71,SBC_DIO_E1N004INF1!L:L,0)),0)</f>
        <v>0</v>
      </c>
      <c r="E71">
        <f>IFERROR(INDEX(SBC_35_2C3_1_E1E001CPU1E!N:N,MATCH('По платам'!$B71,SBC_35_2C3_1_E1E001CPU1E!L:L,0)),0)</f>
        <v>0</v>
      </c>
      <c r="F71">
        <f>IFERROR(INDEX(PCIe104_PSU_E1N001PWR1!N:N,MATCH('По платам'!$B71,PCIe104_PSU_E1N001PWR1!L:L,0)),0)</f>
        <v>0</v>
      </c>
      <c r="G71">
        <f>IFERROR(INDEX(PCIe104_INF2_E1N006INF1!N:N,MATCH('По платам'!$B71,PCIe104_INF2_E1N006INF1!L:L,0)),0)</f>
        <v>0</v>
      </c>
      <c r="H71">
        <f>IFERROR(INDEX(PCIe104_CON_E1N005INF1!N:N,MATCH('По платам'!$B71,PCIe104_CON_E1N005INF1!L:L,0)),0)</f>
        <v>0</v>
      </c>
      <c r="I71">
        <f>IFERROR(INDEX('EM-PCIE104-CPU_E1E001CPU1E'!N:N,MATCH('По платам'!$B71,'EM-PCIE104-CPU_E1E001CPU1E'!L:L,0)),0)</f>
        <v>0</v>
      </c>
      <c r="J71">
        <f>IFERROR(INDEX(PCIe104_INF_E1N001INF1!N:N,MATCH('По платам'!$B71,PCIe104_INF_E1N001INF1!L:L,0)),0)</f>
        <v>0</v>
      </c>
      <c r="K71">
        <f>IFERROR(INDEX(IB_2RS232_E1N002INF1!N:N,MATCH('По платам'!$B71,IB_2RS232_E1N002INF1!L:L,0)),0)</f>
        <v>0</v>
      </c>
      <c r="L71">
        <f>IFERROR(INDEX(IB_2CAN_E1N003INF1!N:N,MATCH('По платам'!$B71,IB_2CAN_E1N003INF1!L:L,0)),0)</f>
        <v>0</v>
      </c>
    </row>
    <row r="72" spans="2:12">
      <c r="B72" s="3" t="s">
        <v>346</v>
      </c>
      <c r="C72">
        <f>IFERROR(INDEX('C2B004CPU2'!N:N,MATCH('По платам'!B72,'C2B004CPU2'!L:L,0)),0)</f>
        <v>0</v>
      </c>
      <c r="D72">
        <f>IFERROR(INDEX(SBC_DIO_E1N004INF1!N:N,MATCH('По платам'!$B72,SBC_DIO_E1N004INF1!L:L,0)),0)</f>
        <v>0</v>
      </c>
      <c r="E72">
        <f>IFERROR(INDEX(SBC_35_2C3_1_E1E001CPU1E!N:N,MATCH('По платам'!$B72,SBC_35_2C3_1_E1E001CPU1E!L:L,0)),0)</f>
        <v>0</v>
      </c>
      <c r="F72">
        <f>IFERROR(INDEX(PCIe104_PSU_E1N001PWR1!N:N,MATCH('По платам'!$B72,PCIe104_PSU_E1N001PWR1!L:L,0)),0)</f>
        <v>0</v>
      </c>
      <c r="G72">
        <f>IFERROR(INDEX(PCIe104_INF2_E1N006INF1!N:N,MATCH('По платам'!$B72,PCIe104_INF2_E1N006INF1!L:L,0)),0)</f>
        <v>0</v>
      </c>
      <c r="H72">
        <f>IFERROR(INDEX(PCIe104_CON_E1N005INF1!N:N,MATCH('По платам'!$B72,PCIe104_CON_E1N005INF1!L:L,0)),0)</f>
        <v>0</v>
      </c>
      <c r="I72">
        <f>IFERROR(INDEX('EM-PCIE104-CPU_E1E001CPU1E'!N:N,MATCH('По платам'!$B72,'EM-PCIE104-CPU_E1E001CPU1E'!L:L,0)),0)</f>
        <v>3</v>
      </c>
      <c r="J72">
        <f>IFERROR(INDEX(PCIe104_INF_E1N001INF1!N:N,MATCH('По платам'!$B72,PCIe104_INF_E1N001INF1!L:L,0)),0)</f>
        <v>2</v>
      </c>
      <c r="K72">
        <f>IFERROR(INDEX(IB_2RS232_E1N002INF1!N:N,MATCH('По платам'!$B72,IB_2RS232_E1N002INF1!L:L,0)),0)</f>
        <v>0</v>
      </c>
      <c r="L72">
        <f>IFERROR(INDEX(IB_2CAN_E1N003INF1!N:N,MATCH('По платам'!$B72,IB_2CAN_E1N003INF1!L:L,0)),0)</f>
        <v>0</v>
      </c>
    </row>
    <row r="73" spans="2:12">
      <c r="B73" s="3" t="s">
        <v>1629</v>
      </c>
      <c r="C73">
        <f>IFERROR(INDEX('C2B004CPU2'!N:N,MATCH('По платам'!B73,'C2B004CPU2'!L:L,0)),0)</f>
        <v>0</v>
      </c>
      <c r="D73">
        <f>IFERROR(INDEX(SBC_DIO_E1N004INF1!N:N,MATCH('По платам'!$B73,SBC_DIO_E1N004INF1!L:L,0)),0)</f>
        <v>0</v>
      </c>
      <c r="E73">
        <f>IFERROR(INDEX(SBC_35_2C3_1_E1E001CPU1E!N:N,MATCH('По платам'!$B73,SBC_35_2C3_1_E1E001CPU1E!L:L,0)),0)</f>
        <v>6</v>
      </c>
      <c r="F73">
        <f>IFERROR(INDEX(PCIe104_PSU_E1N001PWR1!N:N,MATCH('По платам'!$B73,PCIe104_PSU_E1N001PWR1!L:L,0)),0)</f>
        <v>0</v>
      </c>
      <c r="G73">
        <f>IFERROR(INDEX(PCIe104_INF2_E1N006INF1!N:N,MATCH('По платам'!$B73,PCIe104_INF2_E1N006INF1!L:L,0)),0)</f>
        <v>0</v>
      </c>
      <c r="H73">
        <f>IFERROR(INDEX(PCIe104_CON_E1N005INF1!N:N,MATCH('По платам'!$B73,PCIe104_CON_E1N005INF1!L:L,0)),0)</f>
        <v>0</v>
      </c>
      <c r="I73">
        <f>IFERROR(INDEX('EM-PCIE104-CPU_E1E001CPU1E'!N:N,MATCH('По платам'!$B73,'EM-PCIE104-CPU_E1E001CPU1E'!L:L,0)),0)</f>
        <v>0</v>
      </c>
      <c r="J73">
        <f>IFERROR(INDEX(PCIe104_INF_E1N001INF1!N:N,MATCH('По платам'!$B73,PCIe104_INF_E1N001INF1!L:L,0)),0)</f>
        <v>0</v>
      </c>
      <c r="K73">
        <f>IFERROR(INDEX(IB_2RS232_E1N002INF1!N:N,MATCH('По платам'!$B73,IB_2RS232_E1N002INF1!L:L,0)),0)</f>
        <v>0</v>
      </c>
      <c r="L73">
        <f>IFERROR(INDEX(IB_2CAN_E1N003INF1!N:N,MATCH('По платам'!$B73,IB_2CAN_E1N003INF1!L:L,0)),0)</f>
        <v>0</v>
      </c>
    </row>
    <row r="74" spans="2:12">
      <c r="B74" s="3" t="s">
        <v>331</v>
      </c>
      <c r="C74">
        <f>IFERROR(INDEX('C2B004CPU2'!N:N,MATCH('По платам'!B74,'C2B004CPU2'!L:L,0)),0)</f>
        <v>0</v>
      </c>
      <c r="D74">
        <f>IFERROR(INDEX(SBC_DIO_E1N004INF1!N:N,MATCH('По платам'!$B74,SBC_DIO_E1N004INF1!L:L,0)),0)</f>
        <v>0</v>
      </c>
      <c r="E74">
        <f>IFERROR(INDEX(SBC_35_2C3_1_E1E001CPU1E!N:N,MATCH('По платам'!$B74,SBC_35_2C3_1_E1E001CPU1E!L:L,0)),0)</f>
        <v>0</v>
      </c>
      <c r="F74">
        <f>IFERROR(INDEX(PCIe104_PSU_E1N001PWR1!N:N,MATCH('По платам'!$B74,PCIe104_PSU_E1N001PWR1!L:L,0)),0)</f>
        <v>0</v>
      </c>
      <c r="G74">
        <f>IFERROR(INDEX(PCIe104_INF2_E1N006INF1!N:N,MATCH('По платам'!$B74,PCIe104_INF2_E1N006INF1!L:L,0)),0)</f>
        <v>2</v>
      </c>
      <c r="H74">
        <f>IFERROR(INDEX(PCIe104_CON_E1N005INF1!N:N,MATCH('По платам'!$B74,PCIe104_CON_E1N005INF1!L:L,0)),0)</f>
        <v>0</v>
      </c>
      <c r="I74">
        <f>IFERROR(INDEX('EM-PCIE104-CPU_E1E001CPU1E'!N:N,MATCH('По платам'!$B74,'EM-PCIE104-CPU_E1E001CPU1E'!L:L,0)),0)</f>
        <v>1</v>
      </c>
      <c r="J74">
        <f>IFERROR(INDEX(PCIe104_INF_E1N001INF1!N:N,MATCH('По платам'!$B74,PCIe104_INF_E1N001INF1!L:L,0)),0)</f>
        <v>2</v>
      </c>
      <c r="K74">
        <f>IFERROR(INDEX(IB_2RS232_E1N002INF1!N:N,MATCH('По платам'!$B74,IB_2RS232_E1N002INF1!L:L,0)),0)</f>
        <v>0</v>
      </c>
      <c r="L74">
        <f>IFERROR(INDEX(IB_2CAN_E1N003INF1!N:N,MATCH('По платам'!$B74,IB_2CAN_E1N003INF1!L:L,0)),0)</f>
        <v>0</v>
      </c>
    </row>
    <row r="75" spans="2:12">
      <c r="B75" s="3" t="s">
        <v>732</v>
      </c>
      <c r="C75">
        <f>IFERROR(INDEX('C2B004CPU2'!N:N,MATCH('По платам'!B75,'C2B004CPU2'!L:L,0)),0)</f>
        <v>0</v>
      </c>
      <c r="D75">
        <f>IFERROR(INDEX(SBC_DIO_E1N004INF1!N:N,MATCH('По платам'!$B75,SBC_DIO_E1N004INF1!L:L,0)),0)</f>
        <v>0</v>
      </c>
      <c r="E75">
        <f>IFERROR(INDEX(SBC_35_2C3_1_E1E001CPU1E!N:N,MATCH('По платам'!$B75,SBC_35_2C3_1_E1E001CPU1E!L:L,0)),0)</f>
        <v>4</v>
      </c>
      <c r="F75">
        <f>IFERROR(INDEX(PCIe104_PSU_E1N001PWR1!N:N,MATCH('По платам'!$B75,PCIe104_PSU_E1N001PWR1!L:L,0)),0)</f>
        <v>0</v>
      </c>
      <c r="G75">
        <f>IFERROR(INDEX(PCIe104_INF2_E1N006INF1!N:N,MATCH('По платам'!$B75,PCIe104_INF2_E1N006INF1!L:L,0)),0)</f>
        <v>0</v>
      </c>
      <c r="H75">
        <f>IFERROR(INDEX(PCIe104_CON_E1N005INF1!N:N,MATCH('По платам'!$B75,PCIe104_CON_E1N005INF1!L:L,0)),0)</f>
        <v>0</v>
      </c>
      <c r="I75">
        <f>IFERROR(INDEX('EM-PCIE104-CPU_E1E001CPU1E'!N:N,MATCH('По платам'!$B75,'EM-PCIE104-CPU_E1E001CPU1E'!L:L,0)),0)</f>
        <v>4</v>
      </c>
      <c r="J75">
        <f>IFERROR(INDEX(PCIe104_INF_E1N001INF1!N:N,MATCH('По платам'!$B75,PCIe104_INF_E1N001INF1!L:L,0)),0)</f>
        <v>0</v>
      </c>
      <c r="K75">
        <f>IFERROR(INDEX(IB_2RS232_E1N002INF1!N:N,MATCH('По платам'!$B75,IB_2RS232_E1N002INF1!L:L,0)),0)</f>
        <v>0</v>
      </c>
      <c r="L75">
        <f>IFERROR(INDEX(IB_2CAN_E1N003INF1!N:N,MATCH('По платам'!$B75,IB_2CAN_E1N003INF1!L:L,0)),0)</f>
        <v>0</v>
      </c>
    </row>
    <row r="76" spans="2:12">
      <c r="B76" s="3" t="s">
        <v>2274</v>
      </c>
      <c r="C76">
        <f>IFERROR(INDEX('C2B004CPU2'!N:N,MATCH('По платам'!B76,'C2B004CPU2'!L:L,0)),0)</f>
        <v>3</v>
      </c>
      <c r="D76">
        <f>IFERROR(INDEX(SBC_DIO_E1N004INF1!N:N,MATCH('По платам'!$B76,SBC_DIO_E1N004INF1!L:L,0)),0)</f>
        <v>0</v>
      </c>
      <c r="E76">
        <f>IFERROR(INDEX(SBC_35_2C3_1_E1E001CPU1E!N:N,MATCH('По платам'!$B76,SBC_35_2C3_1_E1E001CPU1E!L:L,0)),0)</f>
        <v>0</v>
      </c>
      <c r="F76">
        <f>IFERROR(INDEX(PCIe104_PSU_E1N001PWR1!N:N,MATCH('По платам'!$B76,PCIe104_PSU_E1N001PWR1!L:L,0)),0)</f>
        <v>0</v>
      </c>
      <c r="G76">
        <f>IFERROR(INDEX(PCIe104_INF2_E1N006INF1!N:N,MATCH('По платам'!$B76,PCIe104_INF2_E1N006INF1!L:L,0)),0)</f>
        <v>0</v>
      </c>
      <c r="H76">
        <f>IFERROR(INDEX(PCIe104_CON_E1N005INF1!N:N,MATCH('По платам'!$B76,PCIe104_CON_E1N005INF1!L:L,0)),0)</f>
        <v>0</v>
      </c>
      <c r="I76">
        <f>IFERROR(INDEX('EM-PCIE104-CPU_E1E001CPU1E'!N:N,MATCH('По платам'!$B76,'EM-PCIE104-CPU_E1E001CPU1E'!L:L,0)),0)</f>
        <v>0</v>
      </c>
      <c r="J76">
        <f>IFERROR(INDEX(PCIe104_INF_E1N001INF1!N:N,MATCH('По платам'!$B76,PCIe104_INF_E1N001INF1!L:L,0)),0)</f>
        <v>0</v>
      </c>
      <c r="K76">
        <f>IFERROR(INDEX(IB_2RS232_E1N002INF1!N:N,MATCH('По платам'!$B76,IB_2RS232_E1N002INF1!L:L,0)),0)</f>
        <v>0</v>
      </c>
      <c r="L76">
        <f>IFERROR(INDEX(IB_2CAN_E1N003INF1!N:N,MATCH('По платам'!$B76,IB_2CAN_E1N003INF1!L:L,0)),0)</f>
        <v>0</v>
      </c>
    </row>
    <row r="77" spans="2:12">
      <c r="B77" s="3" t="s">
        <v>1362</v>
      </c>
      <c r="C77">
        <f>IFERROR(INDEX('C2B004CPU2'!N:N,MATCH('По платам'!B77,'C2B004CPU2'!L:L,0)),0)</f>
        <v>0</v>
      </c>
      <c r="D77">
        <f>IFERROR(INDEX(SBC_DIO_E1N004INF1!N:N,MATCH('По платам'!$B77,SBC_DIO_E1N004INF1!L:L,0)),0)</f>
        <v>0</v>
      </c>
      <c r="E77">
        <f>IFERROR(INDEX(SBC_35_2C3_1_E1E001CPU1E!N:N,MATCH('По платам'!$B77,SBC_35_2C3_1_E1E001CPU1E!L:L,0)),0)</f>
        <v>0</v>
      </c>
      <c r="F77">
        <f>IFERROR(INDEX(PCIe104_PSU_E1N001PWR1!N:N,MATCH('По платам'!$B77,PCIe104_PSU_E1N001PWR1!L:L,0)),0)</f>
        <v>1</v>
      </c>
      <c r="G77">
        <f>IFERROR(INDEX(PCIe104_INF2_E1N006INF1!N:N,MATCH('По платам'!$B77,PCIe104_INF2_E1N006INF1!L:L,0)),0)</f>
        <v>0</v>
      </c>
      <c r="H77">
        <f>IFERROR(INDEX(PCIe104_CON_E1N005INF1!N:N,MATCH('По платам'!$B77,PCIe104_CON_E1N005INF1!L:L,0)),0)</f>
        <v>0</v>
      </c>
      <c r="I77">
        <f>IFERROR(INDEX('EM-PCIE104-CPU_E1E001CPU1E'!N:N,MATCH('По платам'!$B77,'EM-PCIE104-CPU_E1E001CPU1E'!L:L,0)),0)</f>
        <v>0</v>
      </c>
      <c r="J77">
        <f>IFERROR(INDEX(PCIe104_INF_E1N001INF1!N:N,MATCH('По платам'!$B77,PCIe104_INF_E1N001INF1!L:L,0)),0)</f>
        <v>0</v>
      </c>
      <c r="K77">
        <f>IFERROR(INDEX(IB_2RS232_E1N002INF1!N:N,MATCH('По платам'!$B77,IB_2RS232_E1N002INF1!L:L,0)),0)</f>
        <v>0</v>
      </c>
      <c r="L77">
        <f>IFERROR(INDEX(IB_2CAN_E1N003INF1!N:N,MATCH('По платам'!$B77,IB_2CAN_E1N003INF1!L:L,0)),0)</f>
        <v>0</v>
      </c>
    </row>
    <row r="78" spans="2:12">
      <c r="B78" s="3" t="s">
        <v>508</v>
      </c>
      <c r="C78">
        <f>IFERROR(INDEX('C2B004CPU2'!N:N,MATCH('По платам'!B78,'C2B004CPU2'!L:L,0)),0)</f>
        <v>0</v>
      </c>
      <c r="D78">
        <f>IFERROR(INDEX(SBC_DIO_E1N004INF1!N:N,MATCH('По платам'!$B78,SBC_DIO_E1N004INF1!L:L,0)),0)</f>
        <v>8</v>
      </c>
      <c r="E78">
        <f>IFERROR(INDEX(SBC_35_2C3_1_E1E001CPU1E!N:N,MATCH('По платам'!$B78,SBC_35_2C3_1_E1E001CPU1E!L:L,0)),0)</f>
        <v>8</v>
      </c>
      <c r="F78">
        <f>IFERROR(INDEX(PCIe104_PSU_E1N001PWR1!N:N,MATCH('По платам'!$B78,PCIe104_PSU_E1N001PWR1!L:L,0)),0)</f>
        <v>5</v>
      </c>
      <c r="G78">
        <f>IFERROR(INDEX(PCIe104_INF2_E1N006INF1!N:N,MATCH('По платам'!$B78,PCIe104_INF2_E1N006INF1!L:L,0)),0)</f>
        <v>2</v>
      </c>
      <c r="H78">
        <f>IFERROR(INDEX(PCIe104_CON_E1N005INF1!N:N,MATCH('По платам'!$B78,PCIe104_CON_E1N005INF1!L:L,0)),0)</f>
        <v>0</v>
      </c>
      <c r="I78">
        <f>IFERROR(INDEX('EM-PCIE104-CPU_E1E001CPU1E'!N:N,MATCH('По платам'!$B78,'EM-PCIE104-CPU_E1E001CPU1E'!L:L,0)),0)</f>
        <v>11</v>
      </c>
      <c r="J78">
        <f>IFERROR(INDEX(PCIe104_INF_E1N001INF1!N:N,MATCH('По платам'!$B78,PCIe104_INF_E1N001INF1!L:L,0)),0)</f>
        <v>2</v>
      </c>
      <c r="K78">
        <f>IFERROR(INDEX(IB_2RS232_E1N002INF1!N:N,MATCH('По платам'!$B78,IB_2RS232_E1N002INF1!L:L,0)),0)</f>
        <v>0</v>
      </c>
      <c r="L78">
        <f>IFERROR(INDEX(IB_2CAN_E1N003INF1!N:N,MATCH('По платам'!$B78,IB_2CAN_E1N003INF1!L:L,0)),0)</f>
        <v>0</v>
      </c>
    </row>
    <row r="79" spans="2:12">
      <c r="B79" s="3" t="s">
        <v>511</v>
      </c>
      <c r="C79">
        <f>IFERROR(INDEX('C2B004CPU2'!N:N,MATCH('По платам'!B79,'C2B004CPU2'!L:L,0)),0)</f>
        <v>0</v>
      </c>
      <c r="D79">
        <f>IFERROR(INDEX(SBC_DIO_E1N004INF1!N:N,MATCH('По платам'!$B79,SBC_DIO_E1N004INF1!L:L,0)),0)</f>
        <v>0</v>
      </c>
      <c r="E79">
        <f>IFERROR(INDEX(SBC_35_2C3_1_E1E001CPU1E!N:N,MATCH('По платам'!$B79,SBC_35_2C3_1_E1E001CPU1E!L:L,0)),0)</f>
        <v>0</v>
      </c>
      <c r="F79">
        <f>IFERROR(INDEX(PCIe104_PSU_E1N001PWR1!N:N,MATCH('По платам'!$B79,PCIe104_PSU_E1N001PWR1!L:L,0)),0)</f>
        <v>0</v>
      </c>
      <c r="G79">
        <f>IFERROR(INDEX(PCIe104_INF2_E1N006INF1!N:N,MATCH('По платам'!$B79,PCIe104_INF2_E1N006INF1!L:L,0)),0)</f>
        <v>16</v>
      </c>
      <c r="H79">
        <f>IFERROR(INDEX(PCIe104_CON_E1N005INF1!N:N,MATCH('По платам'!$B79,PCIe104_CON_E1N005INF1!L:L,0)),0)</f>
        <v>0</v>
      </c>
      <c r="I79">
        <f>IFERROR(INDEX('EM-PCIE104-CPU_E1E001CPU1E'!N:N,MATCH('По платам'!$B79,'EM-PCIE104-CPU_E1E001CPU1E'!L:L,0)),0)</f>
        <v>0</v>
      </c>
      <c r="J79">
        <f>IFERROR(INDEX(PCIe104_INF_E1N001INF1!N:N,MATCH('По платам'!$B79,PCIe104_INF_E1N001INF1!L:L,0)),0)</f>
        <v>8</v>
      </c>
      <c r="K79">
        <f>IFERROR(INDEX(IB_2RS232_E1N002INF1!N:N,MATCH('По платам'!$B79,IB_2RS232_E1N002INF1!L:L,0)),0)</f>
        <v>0</v>
      </c>
      <c r="L79">
        <f>IFERROR(INDEX(IB_2CAN_E1N003INF1!N:N,MATCH('По платам'!$B79,IB_2CAN_E1N003INF1!L:L,0)),0)</f>
        <v>0</v>
      </c>
    </row>
    <row r="80" spans="2:12">
      <c r="B80" s="3" t="s">
        <v>1184</v>
      </c>
      <c r="C80">
        <f>IFERROR(INDEX('C2B004CPU2'!N:N,MATCH('По платам'!B80,'C2B004CPU2'!L:L,0)),0)</f>
        <v>0</v>
      </c>
      <c r="D80">
        <f>IFERROR(INDEX(SBC_DIO_E1N004INF1!N:N,MATCH('По платам'!$B80,SBC_DIO_E1N004INF1!L:L,0)),0)</f>
        <v>0</v>
      </c>
      <c r="E80">
        <f>IFERROR(INDEX(SBC_35_2C3_1_E1E001CPU1E!N:N,MATCH('По платам'!$B80,SBC_35_2C3_1_E1E001CPU1E!L:L,0)),0)</f>
        <v>0</v>
      </c>
      <c r="F80">
        <f>IFERROR(INDEX(PCIe104_PSU_E1N001PWR1!N:N,MATCH('По платам'!$B80,PCIe104_PSU_E1N001PWR1!L:L,0)),0)</f>
        <v>0</v>
      </c>
      <c r="G80">
        <f>IFERROR(INDEX(PCIe104_INF2_E1N006INF1!N:N,MATCH('По платам'!$B80,PCIe104_INF2_E1N006INF1!L:L,0)),0)</f>
        <v>0</v>
      </c>
      <c r="H80">
        <f>IFERROR(INDEX(PCIe104_CON_E1N005INF1!N:N,MATCH('По платам'!$B80,PCIe104_CON_E1N005INF1!L:L,0)),0)</f>
        <v>5</v>
      </c>
      <c r="I80">
        <f>IFERROR(INDEX('EM-PCIE104-CPU_E1E001CPU1E'!N:N,MATCH('По платам'!$B80,'EM-PCIE104-CPU_E1E001CPU1E'!L:L,0)),0)</f>
        <v>0</v>
      </c>
      <c r="J80">
        <f>IFERROR(INDEX(PCIe104_INF_E1N001INF1!N:N,MATCH('По платам'!$B80,PCIe104_INF_E1N001INF1!L:L,0)),0)</f>
        <v>0</v>
      </c>
      <c r="K80">
        <f>IFERROR(INDEX(IB_2RS232_E1N002INF1!N:N,MATCH('По платам'!$B80,IB_2RS232_E1N002INF1!L:L,0)),0)</f>
        <v>0</v>
      </c>
      <c r="L80">
        <f>IFERROR(INDEX(IB_2CAN_E1N003INF1!N:N,MATCH('По платам'!$B80,IB_2CAN_E1N003INF1!L:L,0)),0)</f>
        <v>0</v>
      </c>
    </row>
    <row r="81" spans="2:12">
      <c r="B81" s="3" t="s">
        <v>1933</v>
      </c>
      <c r="C81">
        <f>IFERROR(INDEX('C2B004CPU2'!N:N,MATCH('По платам'!B81,'C2B004CPU2'!L:L,0)),0)</f>
        <v>0</v>
      </c>
      <c r="D81">
        <f>IFERROR(INDEX(SBC_DIO_E1N004INF1!N:N,MATCH('По платам'!$B81,SBC_DIO_E1N004INF1!L:L,0)),0)</f>
        <v>0</v>
      </c>
      <c r="E81">
        <f>IFERROR(INDEX(SBC_35_2C3_1_E1E001CPU1E!N:N,MATCH('По платам'!$B81,SBC_35_2C3_1_E1E001CPU1E!L:L,0)),0)</f>
        <v>5</v>
      </c>
      <c r="F81">
        <f>IFERROR(INDEX(PCIe104_PSU_E1N001PWR1!N:N,MATCH('По платам'!$B81,PCIe104_PSU_E1N001PWR1!L:L,0)),0)</f>
        <v>0</v>
      </c>
      <c r="G81">
        <f>IFERROR(INDEX(PCIe104_INF2_E1N006INF1!N:N,MATCH('По платам'!$B81,PCIe104_INF2_E1N006INF1!L:L,0)),0)</f>
        <v>0</v>
      </c>
      <c r="H81">
        <f>IFERROR(INDEX(PCIe104_CON_E1N005INF1!N:N,MATCH('По платам'!$B81,PCIe104_CON_E1N005INF1!L:L,0)),0)</f>
        <v>0</v>
      </c>
      <c r="I81">
        <f>IFERROR(INDEX('EM-PCIE104-CPU_E1E001CPU1E'!N:N,MATCH('По платам'!$B81,'EM-PCIE104-CPU_E1E001CPU1E'!L:L,0)),0)</f>
        <v>0</v>
      </c>
      <c r="J81">
        <f>IFERROR(INDEX(PCIe104_INF_E1N001INF1!N:N,MATCH('По платам'!$B81,PCIe104_INF_E1N001INF1!L:L,0)),0)</f>
        <v>0</v>
      </c>
      <c r="K81">
        <f>IFERROR(INDEX(IB_2RS232_E1N002INF1!N:N,MATCH('По платам'!$B81,IB_2RS232_E1N002INF1!L:L,0)),0)</f>
        <v>0</v>
      </c>
      <c r="L81">
        <f>IFERROR(INDEX(IB_2CAN_E1N003INF1!N:N,MATCH('По платам'!$B81,IB_2CAN_E1N003INF1!L:L,0)),0)</f>
        <v>0</v>
      </c>
    </row>
    <row r="82" spans="2:12">
      <c r="B82" s="3" t="s">
        <v>1967</v>
      </c>
      <c r="C82">
        <f>IFERROR(INDEX('C2B004CPU2'!N:N,MATCH('По платам'!B82,'C2B004CPU2'!L:L,0)),0)</f>
        <v>0</v>
      </c>
      <c r="D82">
        <f>IFERROR(INDEX(SBC_DIO_E1N004INF1!N:N,MATCH('По платам'!$B82,SBC_DIO_E1N004INF1!L:L,0)),0)</f>
        <v>0</v>
      </c>
      <c r="E82">
        <f>IFERROR(INDEX(SBC_35_2C3_1_E1E001CPU1E!N:N,MATCH('По платам'!$B82,SBC_35_2C3_1_E1E001CPU1E!L:L,0)),0)</f>
        <v>1</v>
      </c>
      <c r="F82">
        <f>IFERROR(INDEX(PCIe104_PSU_E1N001PWR1!N:N,MATCH('По платам'!$B82,PCIe104_PSU_E1N001PWR1!L:L,0)),0)</f>
        <v>0</v>
      </c>
      <c r="G82">
        <f>IFERROR(INDEX(PCIe104_INF2_E1N006INF1!N:N,MATCH('По платам'!$B82,PCIe104_INF2_E1N006INF1!L:L,0)),0)</f>
        <v>0</v>
      </c>
      <c r="H82">
        <f>IFERROR(INDEX(PCIe104_CON_E1N005INF1!N:N,MATCH('По платам'!$B82,PCIe104_CON_E1N005INF1!L:L,0)),0)</f>
        <v>0</v>
      </c>
      <c r="I82">
        <f>IFERROR(INDEX('EM-PCIE104-CPU_E1E001CPU1E'!N:N,MATCH('По платам'!$B82,'EM-PCIE104-CPU_E1E001CPU1E'!L:L,0)),0)</f>
        <v>0</v>
      </c>
      <c r="J82">
        <f>IFERROR(INDEX(PCIe104_INF_E1N001INF1!N:N,MATCH('По платам'!$B82,PCIe104_INF_E1N001INF1!L:L,0)),0)</f>
        <v>0</v>
      </c>
      <c r="K82">
        <f>IFERROR(INDEX(IB_2RS232_E1N002INF1!N:N,MATCH('По платам'!$B82,IB_2RS232_E1N002INF1!L:L,0)),0)</f>
        <v>0</v>
      </c>
      <c r="L82">
        <f>IFERROR(INDEX(IB_2CAN_E1N003INF1!N:N,MATCH('По платам'!$B82,IB_2CAN_E1N003INF1!L:L,0)),0)</f>
        <v>0</v>
      </c>
    </row>
    <row r="83" spans="2:12">
      <c r="B83" s="3" t="s">
        <v>1613</v>
      </c>
      <c r="C83">
        <f>IFERROR(INDEX('C2B004CPU2'!N:N,MATCH('По платам'!B83,'C2B004CPU2'!L:L,0)),0)</f>
        <v>0</v>
      </c>
      <c r="D83">
        <f>IFERROR(INDEX(SBC_DIO_E1N004INF1!N:N,MATCH('По платам'!$B83,SBC_DIO_E1N004INF1!L:L,0)),0)</f>
        <v>0</v>
      </c>
      <c r="E83">
        <f>IFERROR(INDEX(SBC_35_2C3_1_E1E001CPU1E!N:N,MATCH('По платам'!$B83,SBC_35_2C3_1_E1E001CPU1E!L:L,0)),0)</f>
        <v>2</v>
      </c>
      <c r="F83">
        <f>IFERROR(INDEX(PCIe104_PSU_E1N001PWR1!N:N,MATCH('По платам'!$B83,PCIe104_PSU_E1N001PWR1!L:L,0)),0)</f>
        <v>0</v>
      </c>
      <c r="G83">
        <f>IFERROR(INDEX(PCIe104_INF2_E1N006INF1!N:N,MATCH('По платам'!$B83,PCIe104_INF2_E1N006INF1!L:L,0)),0)</f>
        <v>0</v>
      </c>
      <c r="H83">
        <f>IFERROR(INDEX(PCIe104_CON_E1N005INF1!N:N,MATCH('По платам'!$B83,PCIe104_CON_E1N005INF1!L:L,0)),0)</f>
        <v>0</v>
      </c>
      <c r="I83">
        <f>IFERROR(INDEX('EM-PCIE104-CPU_E1E001CPU1E'!N:N,MATCH('По платам'!$B83,'EM-PCIE104-CPU_E1E001CPU1E'!L:L,0)),0)</f>
        <v>0</v>
      </c>
      <c r="J83">
        <f>IFERROR(INDEX(PCIe104_INF_E1N001INF1!N:N,MATCH('По платам'!$B83,PCIe104_INF_E1N001INF1!L:L,0)),0)</f>
        <v>0</v>
      </c>
      <c r="K83">
        <f>IFERROR(INDEX(IB_2RS232_E1N002INF1!N:N,MATCH('По платам'!$B83,IB_2RS232_E1N002INF1!L:L,0)),0)</f>
        <v>0</v>
      </c>
      <c r="L83">
        <f>IFERROR(INDEX(IB_2CAN_E1N003INF1!N:N,MATCH('По платам'!$B83,IB_2CAN_E1N003INF1!L:L,0)),0)</f>
        <v>0</v>
      </c>
    </row>
    <row r="84" spans="2:12">
      <c r="B84" s="3" t="s">
        <v>343</v>
      </c>
      <c r="C84">
        <f>IFERROR(INDEX('C2B004CPU2'!N:N,MATCH('По платам'!B84,'C2B004CPU2'!L:L,0)),0)</f>
        <v>0</v>
      </c>
      <c r="D84">
        <f>IFERROR(INDEX(SBC_DIO_E1N004INF1!N:N,MATCH('По платам'!$B84,SBC_DIO_E1N004INF1!L:L,0)),0)</f>
        <v>0</v>
      </c>
      <c r="E84">
        <f>IFERROR(INDEX(SBC_35_2C3_1_E1E001CPU1E!N:N,MATCH('По платам'!$B84,SBC_35_2C3_1_E1E001CPU1E!L:L,0)),0)</f>
        <v>0</v>
      </c>
      <c r="F84">
        <f>IFERROR(INDEX(PCIe104_PSU_E1N001PWR1!N:N,MATCH('По платам'!$B84,PCIe104_PSU_E1N001PWR1!L:L,0)),0)</f>
        <v>0</v>
      </c>
      <c r="G84">
        <f>IFERROR(INDEX(PCIe104_INF2_E1N006INF1!N:N,MATCH('По платам'!$B84,PCIe104_INF2_E1N006INF1!L:L,0)),0)</f>
        <v>0</v>
      </c>
      <c r="H84">
        <f>IFERROR(INDEX(PCIe104_CON_E1N005INF1!N:N,MATCH('По платам'!$B84,PCIe104_CON_E1N005INF1!L:L,0)),0)</f>
        <v>0</v>
      </c>
      <c r="I84">
        <f>IFERROR(INDEX('EM-PCIE104-CPU_E1E001CPU1E'!N:N,MATCH('По платам'!$B84,'EM-PCIE104-CPU_E1E001CPU1E'!L:L,0)),0)</f>
        <v>0</v>
      </c>
      <c r="J84">
        <f>IFERROR(INDEX(PCIe104_INF_E1N001INF1!N:N,MATCH('По платам'!$B84,PCIe104_INF_E1N001INF1!L:L,0)),0)</f>
        <v>2</v>
      </c>
      <c r="K84">
        <f>IFERROR(INDEX(IB_2RS232_E1N002INF1!N:N,MATCH('По платам'!$B84,IB_2RS232_E1N002INF1!L:L,0)),0)</f>
        <v>0</v>
      </c>
      <c r="L84">
        <f>IFERROR(INDEX(IB_2CAN_E1N003INF1!N:N,MATCH('По платам'!$B84,IB_2CAN_E1N003INF1!L:L,0)),0)</f>
        <v>0</v>
      </c>
    </row>
    <row r="85" spans="2:12">
      <c r="B85" s="3" t="s">
        <v>2214</v>
      </c>
      <c r="C85">
        <f>IFERROR(INDEX('C2B004CPU2'!N:N,MATCH('По платам'!B85,'C2B004CPU2'!L:L,0)),0)</f>
        <v>1</v>
      </c>
      <c r="D85">
        <f>IFERROR(INDEX(SBC_DIO_E1N004INF1!N:N,MATCH('По платам'!$B85,SBC_DIO_E1N004INF1!L:L,0)),0)</f>
        <v>0</v>
      </c>
      <c r="E85">
        <f>IFERROR(INDEX(SBC_35_2C3_1_E1E001CPU1E!N:N,MATCH('По платам'!$B85,SBC_35_2C3_1_E1E001CPU1E!L:L,0)),0)</f>
        <v>0</v>
      </c>
      <c r="F85">
        <f>IFERROR(INDEX(PCIe104_PSU_E1N001PWR1!N:N,MATCH('По платам'!$B85,PCIe104_PSU_E1N001PWR1!L:L,0)),0)</f>
        <v>0</v>
      </c>
      <c r="G85">
        <f>IFERROR(INDEX(PCIe104_INF2_E1N006INF1!N:N,MATCH('По платам'!$B85,PCIe104_INF2_E1N006INF1!L:L,0)),0)</f>
        <v>0</v>
      </c>
      <c r="H85">
        <f>IFERROR(INDEX(PCIe104_CON_E1N005INF1!N:N,MATCH('По платам'!$B85,PCIe104_CON_E1N005INF1!L:L,0)),0)</f>
        <v>0</v>
      </c>
      <c r="I85">
        <f>IFERROR(INDEX('EM-PCIE104-CPU_E1E001CPU1E'!N:N,MATCH('По платам'!$B85,'EM-PCIE104-CPU_E1E001CPU1E'!L:L,0)),0)</f>
        <v>0</v>
      </c>
      <c r="J85">
        <f>IFERROR(INDEX(PCIe104_INF_E1N001INF1!N:N,MATCH('По платам'!$B85,PCIe104_INF_E1N001INF1!L:L,0)),0)</f>
        <v>0</v>
      </c>
      <c r="K85">
        <f>IFERROR(INDEX(IB_2RS232_E1N002INF1!N:N,MATCH('По платам'!$B85,IB_2RS232_E1N002INF1!L:L,0)),0)</f>
        <v>0</v>
      </c>
      <c r="L85">
        <f>IFERROR(INDEX(IB_2CAN_E1N003INF1!N:N,MATCH('По платам'!$B85,IB_2CAN_E1N003INF1!L:L,0)),0)</f>
        <v>0</v>
      </c>
    </row>
    <row r="86" spans="2:12">
      <c r="B86" s="3" t="s">
        <v>325</v>
      </c>
      <c r="C86">
        <f>IFERROR(INDEX('C2B004CPU2'!N:N,MATCH('По платам'!B86,'C2B004CPU2'!L:L,0)),0)</f>
        <v>0</v>
      </c>
      <c r="D86">
        <f>IFERROR(INDEX(SBC_DIO_E1N004INF1!N:N,MATCH('По платам'!$B86,SBC_DIO_E1N004INF1!L:L,0)),0)</f>
        <v>0</v>
      </c>
      <c r="E86">
        <f>IFERROR(INDEX(SBC_35_2C3_1_E1E001CPU1E!N:N,MATCH('По платам'!$B86,SBC_35_2C3_1_E1E001CPU1E!L:L,0)),0)</f>
        <v>0</v>
      </c>
      <c r="F86">
        <f>IFERROR(INDEX(PCIe104_PSU_E1N001PWR1!N:N,MATCH('По платам'!$B86,PCIe104_PSU_E1N001PWR1!L:L,0)),0)</f>
        <v>0</v>
      </c>
      <c r="G86">
        <f>IFERROR(INDEX(PCIe104_INF2_E1N006INF1!N:N,MATCH('По платам'!$B86,PCIe104_INF2_E1N006INF1!L:L,0)),0)</f>
        <v>0</v>
      </c>
      <c r="H86">
        <f>IFERROR(INDEX(PCIe104_CON_E1N005INF1!N:N,MATCH('По платам'!$B86,PCIe104_CON_E1N005INF1!L:L,0)),0)</f>
        <v>0</v>
      </c>
      <c r="I86">
        <f>IFERROR(INDEX('EM-PCIE104-CPU_E1E001CPU1E'!N:N,MATCH('По платам'!$B86,'EM-PCIE104-CPU_E1E001CPU1E'!L:L,0)),0)</f>
        <v>0</v>
      </c>
      <c r="J86">
        <f>IFERROR(INDEX(PCIe104_INF_E1N001INF1!N:N,MATCH('По платам'!$B86,PCIe104_INF_E1N001INF1!L:L,0)),0)</f>
        <v>5</v>
      </c>
      <c r="K86">
        <f>IFERROR(INDEX(IB_2RS232_E1N002INF1!N:N,MATCH('По платам'!$B86,IB_2RS232_E1N002INF1!L:L,0)),0)</f>
        <v>0</v>
      </c>
      <c r="L86">
        <f>IFERROR(INDEX(IB_2CAN_E1N003INF1!N:N,MATCH('По платам'!$B86,IB_2CAN_E1N003INF1!L:L,0)),0)</f>
        <v>0</v>
      </c>
    </row>
    <row r="87" spans="2:12">
      <c r="B87" s="3" t="s">
        <v>742</v>
      </c>
      <c r="C87">
        <f>IFERROR(INDEX('C2B004CPU2'!N:N,MATCH('По платам'!B87,'C2B004CPU2'!L:L,0)),0)</f>
        <v>0</v>
      </c>
      <c r="D87">
        <f>IFERROR(INDEX(SBC_DIO_E1N004INF1!N:N,MATCH('По платам'!$B87,SBC_DIO_E1N004INF1!L:L,0)),0)</f>
        <v>0</v>
      </c>
      <c r="E87">
        <f>IFERROR(INDEX(SBC_35_2C3_1_E1E001CPU1E!N:N,MATCH('По платам'!$B87,SBC_35_2C3_1_E1E001CPU1E!L:L,0)),0)</f>
        <v>0</v>
      </c>
      <c r="F87">
        <f>IFERROR(INDEX(PCIe104_PSU_E1N001PWR1!N:N,MATCH('По платам'!$B87,PCIe104_PSU_E1N001PWR1!L:L,0)),0)</f>
        <v>0</v>
      </c>
      <c r="G87">
        <f>IFERROR(INDEX(PCIe104_INF2_E1N006INF1!N:N,MATCH('По платам'!$B87,PCIe104_INF2_E1N006INF1!L:L,0)),0)</f>
        <v>0</v>
      </c>
      <c r="H87">
        <f>IFERROR(INDEX(PCIe104_CON_E1N005INF1!N:N,MATCH('По платам'!$B87,PCIe104_CON_E1N005INF1!L:L,0)),0)</f>
        <v>0</v>
      </c>
      <c r="I87">
        <f>IFERROR(INDEX('EM-PCIE104-CPU_E1E001CPU1E'!N:N,MATCH('По платам'!$B87,'EM-PCIE104-CPU_E1E001CPU1E'!L:L,0)),0)</f>
        <v>1</v>
      </c>
      <c r="J87">
        <f>IFERROR(INDEX(PCIe104_INF_E1N001INF1!N:N,MATCH('По платам'!$B87,PCIe104_INF_E1N001INF1!L:L,0)),0)</f>
        <v>0</v>
      </c>
      <c r="K87">
        <f>IFERROR(INDEX(IB_2RS232_E1N002INF1!N:N,MATCH('По платам'!$B87,IB_2RS232_E1N002INF1!L:L,0)),0)</f>
        <v>0</v>
      </c>
      <c r="L87">
        <f>IFERROR(INDEX(IB_2CAN_E1N003INF1!N:N,MATCH('По платам'!$B87,IB_2CAN_E1N003INF1!L:L,0)),0)</f>
        <v>0</v>
      </c>
    </row>
    <row r="88" spans="2:12">
      <c r="B88" s="3" t="s">
        <v>1599</v>
      </c>
      <c r="C88">
        <f>IFERROR(INDEX('C2B004CPU2'!N:N,MATCH('По платам'!B88,'C2B004CPU2'!L:L,0)),0)</f>
        <v>0</v>
      </c>
      <c r="D88">
        <f>IFERROR(INDEX(SBC_DIO_E1N004INF1!N:N,MATCH('По платам'!$B88,SBC_DIO_E1N004INF1!L:L,0)),0)</f>
        <v>0</v>
      </c>
      <c r="E88">
        <f>IFERROR(INDEX(SBC_35_2C3_1_E1E001CPU1E!N:N,MATCH('По платам'!$B88,SBC_35_2C3_1_E1E001CPU1E!L:L,0)),0)</f>
        <v>1</v>
      </c>
      <c r="F88">
        <f>IFERROR(INDEX(PCIe104_PSU_E1N001PWR1!N:N,MATCH('По платам'!$B88,PCIe104_PSU_E1N001PWR1!L:L,0)),0)</f>
        <v>0</v>
      </c>
      <c r="G88">
        <f>IFERROR(INDEX(PCIe104_INF2_E1N006INF1!N:N,MATCH('По платам'!$B88,PCIe104_INF2_E1N006INF1!L:L,0)),0)</f>
        <v>0</v>
      </c>
      <c r="H88">
        <f>IFERROR(INDEX(PCIe104_CON_E1N005INF1!N:N,MATCH('По платам'!$B88,PCIe104_CON_E1N005INF1!L:L,0)),0)</f>
        <v>0</v>
      </c>
      <c r="I88">
        <f>IFERROR(INDEX('EM-PCIE104-CPU_E1E001CPU1E'!N:N,MATCH('По платам'!$B88,'EM-PCIE104-CPU_E1E001CPU1E'!L:L,0)),0)</f>
        <v>0</v>
      </c>
      <c r="J88">
        <f>IFERROR(INDEX(PCIe104_INF_E1N001INF1!N:N,MATCH('По платам'!$B88,PCIe104_INF_E1N001INF1!L:L,0)),0)</f>
        <v>0</v>
      </c>
      <c r="K88">
        <f>IFERROR(INDEX(IB_2RS232_E1N002INF1!N:N,MATCH('По платам'!$B88,IB_2RS232_E1N002INF1!L:L,0)),0)</f>
        <v>0</v>
      </c>
      <c r="L88">
        <f>IFERROR(INDEX(IB_2CAN_E1N003INF1!N:N,MATCH('По платам'!$B88,IB_2CAN_E1N003INF1!L:L,0)),0)</f>
        <v>0</v>
      </c>
    </row>
    <row r="89" spans="2:12">
      <c r="B89" s="3" t="s">
        <v>1032</v>
      </c>
      <c r="C89">
        <f>IFERROR(INDEX('C2B004CPU2'!N:N,MATCH('По платам'!B89,'C2B004CPU2'!L:L,0)),0)</f>
        <v>0</v>
      </c>
      <c r="D89">
        <f>IFERROR(INDEX(SBC_DIO_E1N004INF1!N:N,MATCH('По платам'!$B89,SBC_DIO_E1N004INF1!L:L,0)),0)</f>
        <v>0</v>
      </c>
      <c r="E89">
        <f>IFERROR(INDEX(SBC_35_2C3_1_E1E001CPU1E!N:N,MATCH('По платам'!$B89,SBC_35_2C3_1_E1E001CPU1E!L:L,0)),0)</f>
        <v>0</v>
      </c>
      <c r="F89">
        <f>IFERROR(INDEX(PCIe104_PSU_E1N001PWR1!N:N,MATCH('По платам'!$B89,PCIe104_PSU_E1N001PWR1!L:L,0)),0)</f>
        <v>2</v>
      </c>
      <c r="G89">
        <f>IFERROR(INDEX(PCIe104_INF2_E1N006INF1!N:N,MATCH('По платам'!$B89,PCIe104_INF2_E1N006INF1!L:L,0)),0)</f>
        <v>0</v>
      </c>
      <c r="H89">
        <f>IFERROR(INDEX(PCIe104_CON_E1N005INF1!N:N,MATCH('По платам'!$B89,PCIe104_CON_E1N005INF1!L:L,0)),0)</f>
        <v>0</v>
      </c>
      <c r="I89">
        <f>IFERROR(INDEX('EM-PCIE104-CPU_E1E001CPU1E'!N:N,MATCH('По платам'!$B89,'EM-PCIE104-CPU_E1E001CPU1E'!L:L,0)),0)</f>
        <v>2</v>
      </c>
      <c r="J89">
        <f>IFERROR(INDEX(PCIe104_INF_E1N001INF1!N:N,MATCH('По платам'!$B89,PCIe104_INF_E1N001INF1!L:L,0)),0)</f>
        <v>0</v>
      </c>
      <c r="K89">
        <f>IFERROR(INDEX(IB_2RS232_E1N002INF1!N:N,MATCH('По платам'!$B89,IB_2RS232_E1N002INF1!L:L,0)),0)</f>
        <v>0</v>
      </c>
      <c r="L89">
        <f>IFERROR(INDEX(IB_2CAN_E1N003INF1!N:N,MATCH('По платам'!$B89,IB_2CAN_E1N003INF1!L:L,0)),0)</f>
        <v>0</v>
      </c>
    </row>
    <row r="90" spans="2:12">
      <c r="B90" s="3" t="s">
        <v>1926</v>
      </c>
      <c r="C90">
        <f>IFERROR(INDEX('C2B004CPU2'!N:N,MATCH('По платам'!B90,'C2B004CPU2'!L:L,0)),0)</f>
        <v>0</v>
      </c>
      <c r="D90">
        <f>IFERROR(INDEX(SBC_DIO_E1N004INF1!N:N,MATCH('По платам'!$B90,SBC_DIO_E1N004INF1!L:L,0)),0)</f>
        <v>0</v>
      </c>
      <c r="E90">
        <f>IFERROR(INDEX(SBC_35_2C3_1_E1E001CPU1E!N:N,MATCH('По платам'!$B90,SBC_35_2C3_1_E1E001CPU1E!L:L,0)),0)</f>
        <v>4</v>
      </c>
      <c r="F90">
        <f>IFERROR(INDEX(PCIe104_PSU_E1N001PWR1!N:N,MATCH('По платам'!$B90,PCIe104_PSU_E1N001PWR1!L:L,0)),0)</f>
        <v>0</v>
      </c>
      <c r="G90">
        <f>IFERROR(INDEX(PCIe104_INF2_E1N006INF1!N:N,MATCH('По платам'!$B90,PCIe104_INF2_E1N006INF1!L:L,0)),0)</f>
        <v>0</v>
      </c>
      <c r="H90">
        <f>IFERROR(INDEX(PCIe104_CON_E1N005INF1!N:N,MATCH('По платам'!$B90,PCIe104_CON_E1N005INF1!L:L,0)),0)</f>
        <v>0</v>
      </c>
      <c r="I90">
        <f>IFERROR(INDEX('EM-PCIE104-CPU_E1E001CPU1E'!N:N,MATCH('По платам'!$B90,'EM-PCIE104-CPU_E1E001CPU1E'!L:L,0)),0)</f>
        <v>0</v>
      </c>
      <c r="J90">
        <f>IFERROR(INDEX(PCIe104_INF_E1N001INF1!N:N,MATCH('По платам'!$B90,PCIe104_INF_E1N001INF1!L:L,0)),0)</f>
        <v>0</v>
      </c>
      <c r="K90">
        <f>IFERROR(INDEX(IB_2RS232_E1N002INF1!N:N,MATCH('По платам'!$B90,IB_2RS232_E1N002INF1!L:L,0)),0)</f>
        <v>0</v>
      </c>
      <c r="L90">
        <f>IFERROR(INDEX(IB_2CAN_E1N003INF1!N:N,MATCH('По платам'!$B90,IB_2CAN_E1N003INF1!L:L,0)),0)</f>
        <v>0</v>
      </c>
    </row>
    <row r="91" spans="2:12">
      <c r="B91" s="3" t="s">
        <v>2753</v>
      </c>
      <c r="C91">
        <f>IFERROR(INDEX('C2B004CPU2'!N:N,MATCH('По платам'!B91,'C2B004CPU2'!L:L,0)),0)</f>
        <v>2</v>
      </c>
      <c r="D91">
        <f>IFERROR(INDEX(SBC_DIO_E1N004INF1!N:N,MATCH('По платам'!$B91,SBC_DIO_E1N004INF1!L:L,0)),0)</f>
        <v>0</v>
      </c>
      <c r="E91">
        <f>IFERROR(INDEX(SBC_35_2C3_1_E1E001CPU1E!N:N,MATCH('По платам'!$B91,SBC_35_2C3_1_E1E001CPU1E!L:L,0)),0)</f>
        <v>0</v>
      </c>
      <c r="F91">
        <f>IFERROR(INDEX(PCIe104_PSU_E1N001PWR1!N:N,MATCH('По платам'!$B91,PCIe104_PSU_E1N001PWR1!L:L,0)),0)</f>
        <v>0</v>
      </c>
      <c r="G91">
        <f>IFERROR(INDEX(PCIe104_INF2_E1N006INF1!N:N,MATCH('По платам'!$B91,PCIe104_INF2_E1N006INF1!L:L,0)),0)</f>
        <v>0</v>
      </c>
      <c r="H91">
        <f>IFERROR(INDEX(PCIe104_CON_E1N005INF1!N:N,MATCH('По платам'!$B91,PCIe104_CON_E1N005INF1!L:L,0)),0)</f>
        <v>0</v>
      </c>
      <c r="I91">
        <f>IFERROR(INDEX('EM-PCIE104-CPU_E1E001CPU1E'!N:N,MATCH('По платам'!$B91,'EM-PCIE104-CPU_E1E001CPU1E'!L:L,0)),0)</f>
        <v>0</v>
      </c>
      <c r="J91">
        <f>IFERROR(INDEX(PCIe104_INF_E1N001INF1!N:N,MATCH('По платам'!$B91,PCIe104_INF_E1N001INF1!L:L,0)),0)</f>
        <v>0</v>
      </c>
      <c r="K91">
        <f>IFERROR(INDEX(IB_2RS232_E1N002INF1!N:N,MATCH('По платам'!$B91,IB_2RS232_E1N002INF1!L:L,0)),0)</f>
        <v>0</v>
      </c>
      <c r="L91">
        <f>IFERROR(INDEX(IB_2CAN_E1N003INF1!N:N,MATCH('По платам'!$B91,IB_2CAN_E1N003INF1!L:L,0)),0)</f>
        <v>0</v>
      </c>
    </row>
    <row r="92" spans="2:12">
      <c r="B92" s="3" t="s">
        <v>1659</v>
      </c>
      <c r="C92">
        <f>IFERROR(INDEX('C2B004CPU2'!N:N,MATCH('По платам'!B92,'C2B004CPU2'!L:L,0)),0)</f>
        <v>0</v>
      </c>
      <c r="D92">
        <f>IFERROR(INDEX(SBC_DIO_E1N004INF1!N:N,MATCH('По платам'!$B92,SBC_DIO_E1N004INF1!L:L,0)),0)</f>
        <v>0</v>
      </c>
      <c r="E92">
        <f>IFERROR(INDEX(SBC_35_2C3_1_E1E001CPU1E!N:N,MATCH('По платам'!$B92,SBC_35_2C3_1_E1E001CPU1E!L:L,0)),0)</f>
        <v>4</v>
      </c>
      <c r="F92">
        <f>IFERROR(INDEX(PCIe104_PSU_E1N001PWR1!N:N,MATCH('По платам'!$B92,PCIe104_PSU_E1N001PWR1!L:L,0)),0)</f>
        <v>0</v>
      </c>
      <c r="G92">
        <f>IFERROR(INDEX(PCIe104_INF2_E1N006INF1!N:N,MATCH('По платам'!$B92,PCIe104_INF2_E1N006INF1!L:L,0)),0)</f>
        <v>0</v>
      </c>
      <c r="H92">
        <f>IFERROR(INDEX(PCIe104_CON_E1N005INF1!N:N,MATCH('По платам'!$B92,PCIe104_CON_E1N005INF1!L:L,0)),0)</f>
        <v>0</v>
      </c>
      <c r="I92">
        <f>IFERROR(INDEX('EM-PCIE104-CPU_E1E001CPU1E'!N:N,MATCH('По платам'!$B92,'EM-PCIE104-CPU_E1E001CPU1E'!L:L,0)),0)</f>
        <v>0</v>
      </c>
      <c r="J92">
        <f>IFERROR(INDEX(PCIe104_INF_E1N001INF1!N:N,MATCH('По платам'!$B92,PCIe104_INF_E1N001INF1!L:L,0)),0)</f>
        <v>0</v>
      </c>
      <c r="K92">
        <f>IFERROR(INDEX(IB_2RS232_E1N002INF1!N:N,MATCH('По платам'!$B92,IB_2RS232_E1N002INF1!L:L,0)),0)</f>
        <v>0</v>
      </c>
      <c r="L92">
        <f>IFERROR(INDEX(IB_2CAN_E1N003INF1!N:N,MATCH('По платам'!$B92,IB_2CAN_E1N003INF1!L:L,0)),0)</f>
        <v>0</v>
      </c>
    </row>
    <row r="93" spans="2:12">
      <c r="B93" s="3" t="s">
        <v>775</v>
      </c>
      <c r="C93">
        <f>IFERROR(INDEX('C2B004CPU2'!N:N,MATCH('По платам'!B93,'C2B004CPU2'!L:L,0)),0)</f>
        <v>0</v>
      </c>
      <c r="D93">
        <f>IFERROR(INDEX(SBC_DIO_E1N004INF1!N:N,MATCH('По платам'!$B93,SBC_DIO_E1N004INF1!L:L,0)),0)</f>
        <v>0</v>
      </c>
      <c r="E93">
        <f>IFERROR(INDEX(SBC_35_2C3_1_E1E001CPU1E!N:N,MATCH('По платам'!$B93,SBC_35_2C3_1_E1E001CPU1E!L:L,0)),0)</f>
        <v>4</v>
      </c>
      <c r="F93">
        <f>IFERROR(INDEX(PCIe104_PSU_E1N001PWR1!N:N,MATCH('По платам'!$B93,PCIe104_PSU_E1N001PWR1!L:L,0)),0)</f>
        <v>0</v>
      </c>
      <c r="G93">
        <f>IFERROR(INDEX(PCIe104_INF2_E1N006INF1!N:N,MATCH('По платам'!$B93,PCIe104_INF2_E1N006INF1!L:L,0)),0)</f>
        <v>0</v>
      </c>
      <c r="H93">
        <f>IFERROR(INDEX(PCIe104_CON_E1N005INF1!N:N,MATCH('По платам'!$B93,PCIe104_CON_E1N005INF1!L:L,0)),0)</f>
        <v>0</v>
      </c>
      <c r="I93">
        <f>IFERROR(INDEX('EM-PCIE104-CPU_E1E001CPU1E'!N:N,MATCH('По платам'!$B93,'EM-PCIE104-CPU_E1E001CPU1E'!L:L,0)),0)</f>
        <v>2</v>
      </c>
      <c r="J93">
        <f>IFERROR(INDEX(PCIe104_INF_E1N001INF1!N:N,MATCH('По платам'!$B93,PCIe104_INF_E1N001INF1!L:L,0)),0)</f>
        <v>0</v>
      </c>
      <c r="K93">
        <f>IFERROR(INDEX(IB_2RS232_E1N002INF1!N:N,MATCH('По платам'!$B93,IB_2RS232_E1N002INF1!L:L,0)),0)</f>
        <v>0</v>
      </c>
      <c r="L93">
        <f>IFERROR(INDEX(IB_2CAN_E1N003INF1!N:N,MATCH('По платам'!$B93,IB_2CAN_E1N003INF1!L:L,0)),0)</f>
        <v>0</v>
      </c>
    </row>
    <row r="94" spans="2:12">
      <c r="B94" s="3" t="s">
        <v>709</v>
      </c>
      <c r="C94">
        <f>IFERROR(INDEX('C2B004CPU2'!N:N,MATCH('По платам'!B94,'C2B004CPU2'!L:L,0)),0)</f>
        <v>1</v>
      </c>
      <c r="D94">
        <f>IFERROR(INDEX(SBC_DIO_E1N004INF1!N:N,MATCH('По платам'!$B94,SBC_DIO_E1N004INF1!L:L,0)),0)</f>
        <v>0</v>
      </c>
      <c r="E94">
        <f>IFERROR(INDEX(SBC_35_2C3_1_E1E001CPU1E!N:N,MATCH('По платам'!$B94,SBC_35_2C3_1_E1E001CPU1E!L:L,0)),0)</f>
        <v>1</v>
      </c>
      <c r="F94">
        <f>IFERROR(INDEX(PCIe104_PSU_E1N001PWR1!N:N,MATCH('По платам'!$B94,PCIe104_PSU_E1N001PWR1!L:L,0)),0)</f>
        <v>0</v>
      </c>
      <c r="G94">
        <f>IFERROR(INDEX(PCIe104_INF2_E1N006INF1!N:N,MATCH('По платам'!$B94,PCIe104_INF2_E1N006INF1!L:L,0)),0)</f>
        <v>0</v>
      </c>
      <c r="H94">
        <f>IFERROR(INDEX(PCIe104_CON_E1N005INF1!N:N,MATCH('По платам'!$B94,PCIe104_CON_E1N005INF1!L:L,0)),0)</f>
        <v>0</v>
      </c>
      <c r="I94">
        <f>IFERROR(INDEX('EM-PCIE104-CPU_E1E001CPU1E'!N:N,MATCH('По платам'!$B94,'EM-PCIE104-CPU_E1E001CPU1E'!L:L,0)),0)</f>
        <v>1</v>
      </c>
      <c r="J94">
        <f>IFERROR(INDEX(PCIe104_INF_E1N001INF1!N:N,MATCH('По платам'!$B94,PCIe104_INF_E1N001INF1!L:L,0)),0)</f>
        <v>0</v>
      </c>
      <c r="K94">
        <f>IFERROR(INDEX(IB_2RS232_E1N002INF1!N:N,MATCH('По платам'!$B94,IB_2RS232_E1N002INF1!L:L,0)),0)</f>
        <v>0</v>
      </c>
      <c r="L94">
        <f>IFERROR(INDEX(IB_2CAN_E1N003INF1!N:N,MATCH('По платам'!$B94,IB_2CAN_E1N003INF1!L:L,0)),0)</f>
        <v>0</v>
      </c>
    </row>
    <row r="95" spans="2:12">
      <c r="B95" s="3" t="s">
        <v>2318</v>
      </c>
      <c r="C95">
        <f>IFERROR(INDEX('C2B004CPU2'!N:N,MATCH('По платам'!B95,'C2B004CPU2'!L:L,0)),0)</f>
        <v>1</v>
      </c>
      <c r="D95">
        <f>IFERROR(INDEX(SBC_DIO_E1N004INF1!N:N,MATCH('По платам'!$B95,SBC_DIO_E1N004INF1!L:L,0)),0)</f>
        <v>0</v>
      </c>
      <c r="E95">
        <f>IFERROR(INDEX(SBC_35_2C3_1_E1E001CPU1E!N:N,MATCH('По платам'!$B95,SBC_35_2C3_1_E1E001CPU1E!L:L,0)),0)</f>
        <v>0</v>
      </c>
      <c r="F95">
        <f>IFERROR(INDEX(PCIe104_PSU_E1N001PWR1!N:N,MATCH('По платам'!$B95,PCIe104_PSU_E1N001PWR1!L:L,0)),0)</f>
        <v>0</v>
      </c>
      <c r="G95">
        <f>IFERROR(INDEX(PCIe104_INF2_E1N006INF1!N:N,MATCH('По платам'!$B95,PCIe104_INF2_E1N006INF1!L:L,0)),0)</f>
        <v>0</v>
      </c>
      <c r="H95">
        <f>IFERROR(INDEX(PCIe104_CON_E1N005INF1!N:N,MATCH('По платам'!$B95,PCIe104_CON_E1N005INF1!L:L,0)),0)</f>
        <v>0</v>
      </c>
      <c r="I95">
        <f>IFERROR(INDEX('EM-PCIE104-CPU_E1E001CPU1E'!N:N,MATCH('По платам'!$B95,'EM-PCIE104-CPU_E1E001CPU1E'!L:L,0)),0)</f>
        <v>0</v>
      </c>
      <c r="J95">
        <f>IFERROR(INDEX(PCIe104_INF_E1N001INF1!N:N,MATCH('По платам'!$B95,PCIe104_INF_E1N001INF1!L:L,0)),0)</f>
        <v>0</v>
      </c>
      <c r="K95">
        <f>IFERROR(INDEX(IB_2RS232_E1N002INF1!N:N,MATCH('По платам'!$B95,IB_2RS232_E1N002INF1!L:L,0)),0)</f>
        <v>0</v>
      </c>
      <c r="L95">
        <f>IFERROR(INDEX(IB_2CAN_E1N003INF1!N:N,MATCH('По платам'!$B95,IB_2CAN_E1N003INF1!L:L,0)),0)</f>
        <v>0</v>
      </c>
    </row>
    <row r="96" spans="2:12">
      <c r="B96" s="3" t="s">
        <v>2736</v>
      </c>
      <c r="C96">
        <f>IFERROR(INDEX('C2B004CPU2'!N:N,MATCH('По платам'!B96,'C2B004CPU2'!L:L,0)),0)</f>
        <v>1</v>
      </c>
      <c r="D96">
        <f>IFERROR(INDEX(SBC_DIO_E1N004INF1!N:N,MATCH('По платам'!$B96,SBC_DIO_E1N004INF1!L:L,0)),0)</f>
        <v>0</v>
      </c>
      <c r="E96">
        <f>IFERROR(INDEX(SBC_35_2C3_1_E1E001CPU1E!N:N,MATCH('По платам'!$B96,SBC_35_2C3_1_E1E001CPU1E!L:L,0)),0)</f>
        <v>0</v>
      </c>
      <c r="F96">
        <f>IFERROR(INDEX(PCIe104_PSU_E1N001PWR1!N:N,MATCH('По платам'!$B96,PCIe104_PSU_E1N001PWR1!L:L,0)),0)</f>
        <v>0</v>
      </c>
      <c r="G96">
        <f>IFERROR(INDEX(PCIe104_INF2_E1N006INF1!N:N,MATCH('По платам'!$B96,PCIe104_INF2_E1N006INF1!L:L,0)),0)</f>
        <v>0</v>
      </c>
      <c r="H96">
        <f>IFERROR(INDEX(PCIe104_CON_E1N005INF1!N:N,MATCH('По платам'!$B96,PCIe104_CON_E1N005INF1!L:L,0)),0)</f>
        <v>0</v>
      </c>
      <c r="I96">
        <f>IFERROR(INDEX('EM-PCIE104-CPU_E1E001CPU1E'!N:N,MATCH('По платам'!$B96,'EM-PCIE104-CPU_E1E001CPU1E'!L:L,0)),0)</f>
        <v>0</v>
      </c>
      <c r="J96">
        <f>IFERROR(INDEX(PCIe104_INF_E1N001INF1!N:N,MATCH('По платам'!$B96,PCIe104_INF_E1N001INF1!L:L,0)),0)</f>
        <v>0</v>
      </c>
      <c r="K96">
        <f>IFERROR(INDEX(IB_2RS232_E1N002INF1!N:N,MATCH('По платам'!$B96,IB_2RS232_E1N002INF1!L:L,0)),0)</f>
        <v>0</v>
      </c>
      <c r="L96">
        <f>IFERROR(INDEX(IB_2CAN_E1N003INF1!N:N,MATCH('По платам'!$B96,IB_2CAN_E1N003INF1!L:L,0)),0)</f>
        <v>0</v>
      </c>
    </row>
    <row r="97" spans="2:12">
      <c r="B97" s="3" t="s">
        <v>1937</v>
      </c>
      <c r="C97">
        <f>IFERROR(INDEX('C2B004CPU2'!N:N,MATCH('По платам'!B97,'C2B004CPU2'!L:L,0)),0)</f>
        <v>0</v>
      </c>
      <c r="D97">
        <f>IFERROR(INDEX(SBC_DIO_E1N004INF1!N:N,MATCH('По платам'!$B97,SBC_DIO_E1N004INF1!L:L,0)),0)</f>
        <v>0</v>
      </c>
      <c r="E97">
        <f>IFERROR(INDEX(SBC_35_2C3_1_E1E001CPU1E!N:N,MATCH('По платам'!$B97,SBC_35_2C3_1_E1E001CPU1E!L:L,0)),0)</f>
        <v>3</v>
      </c>
      <c r="F97">
        <f>IFERROR(INDEX(PCIe104_PSU_E1N001PWR1!N:N,MATCH('По платам'!$B97,PCIe104_PSU_E1N001PWR1!L:L,0)),0)</f>
        <v>0</v>
      </c>
      <c r="G97">
        <f>IFERROR(INDEX(PCIe104_INF2_E1N006INF1!N:N,MATCH('По платам'!$B97,PCIe104_INF2_E1N006INF1!L:L,0)),0)</f>
        <v>0</v>
      </c>
      <c r="H97">
        <f>IFERROR(INDEX(PCIe104_CON_E1N005INF1!N:N,MATCH('По платам'!$B97,PCIe104_CON_E1N005INF1!L:L,0)),0)</f>
        <v>0</v>
      </c>
      <c r="I97">
        <f>IFERROR(INDEX('EM-PCIE104-CPU_E1E001CPU1E'!N:N,MATCH('По платам'!$B97,'EM-PCIE104-CPU_E1E001CPU1E'!L:L,0)),0)</f>
        <v>0</v>
      </c>
      <c r="J97">
        <f>IFERROR(INDEX(PCIe104_INF_E1N001INF1!N:N,MATCH('По платам'!$B97,PCIe104_INF_E1N001INF1!L:L,0)),0)</f>
        <v>0</v>
      </c>
      <c r="K97">
        <f>IFERROR(INDEX(IB_2RS232_E1N002INF1!N:N,MATCH('По платам'!$B97,IB_2RS232_E1N002INF1!L:L,0)),0)</f>
        <v>0</v>
      </c>
      <c r="L97">
        <f>IFERROR(INDEX(IB_2CAN_E1N003INF1!N:N,MATCH('По платам'!$B97,IB_2CAN_E1N003INF1!L:L,0)),0)</f>
        <v>0</v>
      </c>
    </row>
    <row r="98" spans="2:12">
      <c r="B98" s="3" t="s">
        <v>1163</v>
      </c>
      <c r="C98">
        <f>IFERROR(INDEX('C2B004CPU2'!N:N,MATCH('По платам'!B98,'C2B004CPU2'!L:L,0)),0)</f>
        <v>0</v>
      </c>
      <c r="D98">
        <f>IFERROR(INDEX(SBC_DIO_E1N004INF1!N:N,MATCH('По платам'!$B98,SBC_DIO_E1N004INF1!L:L,0)),0)</f>
        <v>8</v>
      </c>
      <c r="E98">
        <f>IFERROR(INDEX(SBC_35_2C3_1_E1E001CPU1E!N:N,MATCH('По платам'!$B98,SBC_35_2C3_1_E1E001CPU1E!L:L,0)),0)</f>
        <v>0</v>
      </c>
      <c r="F98">
        <f>IFERROR(INDEX(PCIe104_PSU_E1N001PWR1!N:N,MATCH('По платам'!$B98,PCIe104_PSU_E1N001PWR1!L:L,0)),0)</f>
        <v>1</v>
      </c>
      <c r="G98">
        <f>IFERROR(INDEX(PCIe104_INF2_E1N006INF1!N:N,MATCH('По платам'!$B98,PCIe104_INF2_E1N006INF1!L:L,0)),0)</f>
        <v>0</v>
      </c>
      <c r="H98">
        <f>IFERROR(INDEX(PCIe104_CON_E1N005INF1!N:N,MATCH('По платам'!$B98,PCIe104_CON_E1N005INF1!L:L,0)),0)</f>
        <v>4</v>
      </c>
      <c r="I98">
        <f>IFERROR(INDEX('EM-PCIE104-CPU_E1E001CPU1E'!N:N,MATCH('По платам'!$B98,'EM-PCIE104-CPU_E1E001CPU1E'!L:L,0)),0)</f>
        <v>0</v>
      </c>
      <c r="J98">
        <f>IFERROR(INDEX(PCIe104_INF_E1N001INF1!N:N,MATCH('По платам'!$B98,PCIe104_INF_E1N001INF1!L:L,0)),0)</f>
        <v>0</v>
      </c>
      <c r="K98">
        <f>IFERROR(INDEX(IB_2RS232_E1N002INF1!N:N,MATCH('По платам'!$B98,IB_2RS232_E1N002INF1!L:L,0)),0)</f>
        <v>0</v>
      </c>
      <c r="L98">
        <f>IFERROR(INDEX(IB_2CAN_E1N003INF1!N:N,MATCH('По платам'!$B98,IB_2CAN_E1N003INF1!L:L,0)),0)</f>
        <v>0</v>
      </c>
    </row>
    <row r="99" spans="2:12">
      <c r="B99" s="3" t="s">
        <v>167</v>
      </c>
      <c r="C99">
        <f>IFERROR(INDEX('C2B004CPU2'!N:N,MATCH('По платам'!B99,'C2B004CPU2'!L:L,0)),0)</f>
        <v>0</v>
      </c>
      <c r="D99">
        <f>IFERROR(INDEX(SBC_DIO_E1N004INF1!N:N,MATCH('По платам'!$B99,SBC_DIO_E1N004INF1!L:L,0)),0)</f>
        <v>0</v>
      </c>
      <c r="E99">
        <f>IFERROR(INDEX(SBC_35_2C3_1_E1E001CPU1E!N:N,MATCH('По платам'!$B99,SBC_35_2C3_1_E1E001CPU1E!L:L,0)),0)</f>
        <v>0</v>
      </c>
      <c r="F99">
        <f>IFERROR(INDEX(PCIe104_PSU_E1N001PWR1!N:N,MATCH('По платам'!$B99,PCIe104_PSU_E1N001PWR1!L:L,0)),0)</f>
        <v>0</v>
      </c>
      <c r="G99">
        <f>IFERROR(INDEX(PCIe104_INF2_E1N006INF1!N:N,MATCH('По платам'!$B99,PCIe104_INF2_E1N006INF1!L:L,0)),0)</f>
        <v>4</v>
      </c>
      <c r="H99">
        <f>IFERROR(INDEX(PCIe104_CON_E1N005INF1!N:N,MATCH('По платам'!$B99,PCIe104_CON_E1N005INF1!L:L,0)),0)</f>
        <v>0</v>
      </c>
      <c r="I99">
        <f>IFERROR(INDEX('EM-PCIE104-CPU_E1E001CPU1E'!N:N,MATCH('По платам'!$B99,'EM-PCIE104-CPU_E1E001CPU1E'!L:L,0)),0)</f>
        <v>0</v>
      </c>
      <c r="J99">
        <f>IFERROR(INDEX(PCIe104_INF_E1N001INF1!N:N,MATCH('По платам'!$B99,PCIe104_INF_E1N001INF1!L:L,0)),0)</f>
        <v>2</v>
      </c>
      <c r="K99">
        <f>IFERROR(INDEX(IB_2RS232_E1N002INF1!N:N,MATCH('По платам'!$B99,IB_2RS232_E1N002INF1!L:L,0)),0)</f>
        <v>2</v>
      </c>
      <c r="L99">
        <f>IFERROR(INDEX(IB_2CAN_E1N003INF1!N:N,MATCH('По платам'!$B99,IB_2CAN_E1N003INF1!L:L,0)),0)</f>
        <v>0</v>
      </c>
    </row>
    <row r="100" spans="2:12">
      <c r="B100" s="3" t="s">
        <v>163</v>
      </c>
      <c r="C100">
        <f>IFERROR(INDEX('C2B004CPU2'!N:N,MATCH('По платам'!B100,'C2B004CPU2'!L:L,0)),0)</f>
        <v>0</v>
      </c>
      <c r="D100">
        <f>IFERROR(INDEX(SBC_DIO_E1N004INF1!N:N,MATCH('По платам'!$B100,SBC_DIO_E1N004INF1!L:L,0)),0)</f>
        <v>0</v>
      </c>
      <c r="E100">
        <f>IFERROR(INDEX(SBC_35_2C3_1_E1E001CPU1E!N:N,MATCH('По платам'!$B100,SBC_35_2C3_1_E1E001CPU1E!L:L,0)),0)</f>
        <v>0</v>
      </c>
      <c r="F100">
        <f>IFERROR(INDEX(PCIe104_PSU_E1N001PWR1!N:N,MATCH('По платам'!$B100,PCIe104_PSU_E1N001PWR1!L:L,0)),0)</f>
        <v>0</v>
      </c>
      <c r="G100">
        <f>IFERROR(INDEX(PCIe104_INF2_E1N006INF1!N:N,MATCH('По платам'!$B100,PCIe104_INF2_E1N006INF1!L:L,0)),0)</f>
        <v>2</v>
      </c>
      <c r="H100">
        <f>IFERROR(INDEX(PCIe104_CON_E1N005INF1!N:N,MATCH('По платам'!$B100,PCIe104_CON_E1N005INF1!L:L,0)),0)</f>
        <v>0</v>
      </c>
      <c r="I100">
        <f>IFERROR(INDEX('EM-PCIE104-CPU_E1E001CPU1E'!N:N,MATCH('По платам'!$B100,'EM-PCIE104-CPU_E1E001CPU1E'!L:L,0)),0)</f>
        <v>0</v>
      </c>
      <c r="J100">
        <f>IFERROR(INDEX(PCIe104_INF_E1N001INF1!N:N,MATCH('По платам'!$B100,PCIe104_INF_E1N001INF1!L:L,0)),0)</f>
        <v>1</v>
      </c>
      <c r="K100">
        <f>IFERROR(INDEX(IB_2RS232_E1N002INF1!N:N,MATCH('По платам'!$B100,IB_2RS232_E1N002INF1!L:L,0)),0)</f>
        <v>1</v>
      </c>
      <c r="L100">
        <f>IFERROR(INDEX(IB_2CAN_E1N003INF1!N:N,MATCH('По платам'!$B100,IB_2CAN_E1N003INF1!L:L,0)),0)</f>
        <v>0</v>
      </c>
    </row>
    <row r="101" spans="2:12">
      <c r="B101" s="3" t="s">
        <v>2010</v>
      </c>
      <c r="C101">
        <f>IFERROR(INDEX('C2B004CPU2'!N:N,MATCH('По платам'!B101,'C2B004CPU2'!L:L,0)),0)</f>
        <v>0</v>
      </c>
      <c r="D101">
        <f>IFERROR(INDEX(SBC_DIO_E1N004INF1!N:N,MATCH('По платам'!$B101,SBC_DIO_E1N004INF1!L:L,0)),0)</f>
        <v>0</v>
      </c>
      <c r="E101">
        <f>IFERROR(INDEX(SBC_35_2C3_1_E1E001CPU1E!N:N,MATCH('По платам'!$B101,SBC_35_2C3_1_E1E001CPU1E!L:L,0)),0)</f>
        <v>2</v>
      </c>
      <c r="F101">
        <f>IFERROR(INDEX(PCIe104_PSU_E1N001PWR1!N:N,MATCH('По платам'!$B101,PCIe104_PSU_E1N001PWR1!L:L,0)),0)</f>
        <v>0</v>
      </c>
      <c r="G101">
        <f>IFERROR(INDEX(PCIe104_INF2_E1N006INF1!N:N,MATCH('По платам'!$B101,PCIe104_INF2_E1N006INF1!L:L,0)),0)</f>
        <v>0</v>
      </c>
      <c r="H101">
        <f>IFERROR(INDEX(PCIe104_CON_E1N005INF1!N:N,MATCH('По платам'!$B101,PCIe104_CON_E1N005INF1!L:L,0)),0)</f>
        <v>0</v>
      </c>
      <c r="I101">
        <f>IFERROR(INDEX('EM-PCIE104-CPU_E1E001CPU1E'!N:N,MATCH('По платам'!$B101,'EM-PCIE104-CPU_E1E001CPU1E'!L:L,0)),0)</f>
        <v>0</v>
      </c>
      <c r="J101">
        <f>IFERROR(INDEX(PCIe104_INF_E1N001INF1!N:N,MATCH('По платам'!$B101,PCIe104_INF_E1N001INF1!L:L,0)),0)</f>
        <v>0</v>
      </c>
      <c r="K101">
        <f>IFERROR(INDEX(IB_2RS232_E1N002INF1!N:N,MATCH('По платам'!$B101,IB_2RS232_E1N002INF1!L:L,0)),0)</f>
        <v>0</v>
      </c>
      <c r="L101">
        <f>IFERROR(INDEX(IB_2CAN_E1N003INF1!N:N,MATCH('По платам'!$B101,IB_2CAN_E1N003INF1!L:L,0)),0)</f>
        <v>0</v>
      </c>
    </row>
    <row r="102" spans="2:12">
      <c r="B102" s="3" t="s">
        <v>663</v>
      </c>
      <c r="C102">
        <f>IFERROR(INDEX('C2B004CPU2'!N:N,MATCH('По платам'!B102,'C2B004CPU2'!L:L,0)),0)</f>
        <v>0</v>
      </c>
      <c r="D102">
        <f>IFERROR(INDEX(SBC_DIO_E1N004INF1!N:N,MATCH('По платам'!$B102,SBC_DIO_E1N004INF1!L:L,0)),0)</f>
        <v>0</v>
      </c>
      <c r="E102">
        <f>IFERROR(INDEX(SBC_35_2C3_1_E1E001CPU1E!N:N,MATCH('По платам'!$B102,SBC_35_2C3_1_E1E001CPU1E!L:L,0)),0)</f>
        <v>2</v>
      </c>
      <c r="F102">
        <f>IFERROR(INDEX(PCIe104_PSU_E1N001PWR1!N:N,MATCH('По платам'!$B102,PCIe104_PSU_E1N001PWR1!L:L,0)),0)</f>
        <v>0</v>
      </c>
      <c r="G102">
        <f>IFERROR(INDEX(PCIe104_INF2_E1N006INF1!N:N,MATCH('По платам'!$B102,PCIe104_INF2_E1N006INF1!L:L,0)),0)</f>
        <v>0</v>
      </c>
      <c r="H102">
        <f>IFERROR(INDEX(PCIe104_CON_E1N005INF1!N:N,MATCH('По платам'!$B102,PCIe104_CON_E1N005INF1!L:L,0)),0)</f>
        <v>0</v>
      </c>
      <c r="I102">
        <f>IFERROR(INDEX('EM-PCIE104-CPU_E1E001CPU1E'!N:N,MATCH('По платам'!$B102,'EM-PCIE104-CPU_E1E001CPU1E'!L:L,0)),0)</f>
        <v>1</v>
      </c>
      <c r="J102">
        <f>IFERROR(INDEX(PCIe104_INF_E1N001INF1!N:N,MATCH('По платам'!$B102,PCIe104_INF_E1N001INF1!L:L,0)),0)</f>
        <v>0</v>
      </c>
      <c r="K102">
        <f>IFERROR(INDEX(IB_2RS232_E1N002INF1!N:N,MATCH('По платам'!$B102,IB_2RS232_E1N002INF1!L:L,0)),0)</f>
        <v>0</v>
      </c>
      <c r="L102">
        <f>IFERROR(INDEX(IB_2CAN_E1N003INF1!N:N,MATCH('По платам'!$B102,IB_2CAN_E1N003INF1!L:L,0)),0)</f>
        <v>0</v>
      </c>
    </row>
    <row r="103" spans="2:12">
      <c r="B103" s="3" t="s">
        <v>2198</v>
      </c>
      <c r="C103">
        <f>IFERROR(INDEX('C2B004CPU2'!N:N,MATCH('По платам'!B103,'C2B004CPU2'!L:L,0)),0)</f>
        <v>1</v>
      </c>
      <c r="D103">
        <f>IFERROR(INDEX(SBC_DIO_E1N004INF1!N:N,MATCH('По платам'!$B103,SBC_DIO_E1N004INF1!L:L,0)),0)</f>
        <v>0</v>
      </c>
      <c r="E103">
        <f>IFERROR(INDEX(SBC_35_2C3_1_E1E001CPU1E!N:N,MATCH('По платам'!$B103,SBC_35_2C3_1_E1E001CPU1E!L:L,0)),0)</f>
        <v>0</v>
      </c>
      <c r="F103">
        <f>IFERROR(INDEX(PCIe104_PSU_E1N001PWR1!N:N,MATCH('По платам'!$B103,PCIe104_PSU_E1N001PWR1!L:L,0)),0)</f>
        <v>0</v>
      </c>
      <c r="G103">
        <f>IFERROR(INDEX(PCIe104_INF2_E1N006INF1!N:N,MATCH('По платам'!$B103,PCIe104_INF2_E1N006INF1!L:L,0)),0)</f>
        <v>0</v>
      </c>
      <c r="H103">
        <f>IFERROR(INDEX(PCIe104_CON_E1N005INF1!N:N,MATCH('По платам'!$B103,PCIe104_CON_E1N005INF1!L:L,0)),0)</f>
        <v>0</v>
      </c>
      <c r="I103">
        <f>IFERROR(INDEX('EM-PCIE104-CPU_E1E001CPU1E'!N:N,MATCH('По платам'!$B103,'EM-PCIE104-CPU_E1E001CPU1E'!L:L,0)),0)</f>
        <v>0</v>
      </c>
      <c r="J103">
        <f>IFERROR(INDEX(PCIe104_INF_E1N001INF1!N:N,MATCH('По платам'!$B103,PCIe104_INF_E1N001INF1!L:L,0)),0)</f>
        <v>0</v>
      </c>
      <c r="K103">
        <f>IFERROR(INDEX(IB_2RS232_E1N002INF1!N:N,MATCH('По платам'!$B103,IB_2RS232_E1N002INF1!L:L,0)),0)</f>
        <v>0</v>
      </c>
      <c r="L103">
        <f>IFERROR(INDEX(IB_2CAN_E1N003INF1!N:N,MATCH('По платам'!$B103,IB_2CAN_E1N003INF1!L:L,0)),0)</f>
        <v>0</v>
      </c>
    </row>
    <row r="104" spans="2:12">
      <c r="B104" s="3" t="s">
        <v>2090</v>
      </c>
      <c r="C104">
        <f>IFERROR(INDEX('C2B004CPU2'!N:N,MATCH('По платам'!B104,'C2B004CPU2'!L:L,0)),0)</f>
        <v>1</v>
      </c>
      <c r="D104">
        <f>IFERROR(INDEX(SBC_DIO_E1N004INF1!N:N,MATCH('По платам'!$B104,SBC_DIO_E1N004INF1!L:L,0)),0)</f>
        <v>0</v>
      </c>
      <c r="E104">
        <f>IFERROR(INDEX(SBC_35_2C3_1_E1E001CPU1E!N:N,MATCH('По платам'!$B104,SBC_35_2C3_1_E1E001CPU1E!L:L,0)),0)</f>
        <v>0</v>
      </c>
      <c r="F104">
        <f>IFERROR(INDEX(PCIe104_PSU_E1N001PWR1!N:N,MATCH('По платам'!$B104,PCIe104_PSU_E1N001PWR1!L:L,0)),0)</f>
        <v>0</v>
      </c>
      <c r="G104">
        <f>IFERROR(INDEX(PCIe104_INF2_E1N006INF1!N:N,MATCH('По платам'!$B104,PCIe104_INF2_E1N006INF1!L:L,0)),0)</f>
        <v>0</v>
      </c>
      <c r="H104">
        <f>IFERROR(INDEX(PCIe104_CON_E1N005INF1!N:N,MATCH('По платам'!$B104,PCIe104_CON_E1N005INF1!L:L,0)),0)</f>
        <v>0</v>
      </c>
      <c r="I104">
        <f>IFERROR(INDEX('EM-PCIE104-CPU_E1E001CPU1E'!N:N,MATCH('По платам'!$B104,'EM-PCIE104-CPU_E1E001CPU1E'!L:L,0)),0)</f>
        <v>0</v>
      </c>
      <c r="J104">
        <f>IFERROR(INDEX(PCIe104_INF_E1N001INF1!N:N,MATCH('По платам'!$B104,PCIe104_INF_E1N001INF1!L:L,0)),0)</f>
        <v>0</v>
      </c>
      <c r="K104">
        <f>IFERROR(INDEX(IB_2RS232_E1N002INF1!N:N,MATCH('По платам'!$B104,IB_2RS232_E1N002INF1!L:L,0)),0)</f>
        <v>0</v>
      </c>
      <c r="L104">
        <f>IFERROR(INDEX(IB_2CAN_E1N003INF1!N:N,MATCH('По платам'!$B104,IB_2CAN_E1N003INF1!L:L,0)),0)</f>
        <v>0</v>
      </c>
    </row>
    <row r="105" spans="2:12">
      <c r="B105" s="3" t="s">
        <v>2086</v>
      </c>
      <c r="C105">
        <f>IFERROR(INDEX('C2B004CPU2'!N:N,MATCH('По платам'!B105,'C2B004CPU2'!L:L,0)),0)</f>
        <v>1</v>
      </c>
      <c r="D105">
        <f>IFERROR(INDEX(SBC_DIO_E1N004INF1!N:N,MATCH('По платам'!$B105,SBC_DIO_E1N004INF1!L:L,0)),0)</f>
        <v>0</v>
      </c>
      <c r="E105">
        <f>IFERROR(INDEX(SBC_35_2C3_1_E1E001CPU1E!N:N,MATCH('По платам'!$B105,SBC_35_2C3_1_E1E001CPU1E!L:L,0)),0)</f>
        <v>0</v>
      </c>
      <c r="F105">
        <f>IFERROR(INDEX(PCIe104_PSU_E1N001PWR1!N:N,MATCH('По платам'!$B105,PCIe104_PSU_E1N001PWR1!L:L,0)),0)</f>
        <v>0</v>
      </c>
      <c r="G105">
        <f>IFERROR(INDEX(PCIe104_INF2_E1N006INF1!N:N,MATCH('По платам'!$B105,PCIe104_INF2_E1N006INF1!L:L,0)),0)</f>
        <v>0</v>
      </c>
      <c r="H105">
        <f>IFERROR(INDEX(PCIe104_CON_E1N005INF1!N:N,MATCH('По платам'!$B105,PCIe104_CON_E1N005INF1!L:L,0)),0)</f>
        <v>0</v>
      </c>
      <c r="I105">
        <f>IFERROR(INDEX('EM-PCIE104-CPU_E1E001CPU1E'!N:N,MATCH('По платам'!$B105,'EM-PCIE104-CPU_E1E001CPU1E'!L:L,0)),0)</f>
        <v>0</v>
      </c>
      <c r="J105">
        <f>IFERROR(INDEX(PCIe104_INF_E1N001INF1!N:N,MATCH('По платам'!$B105,PCIe104_INF_E1N001INF1!L:L,0)),0)</f>
        <v>0</v>
      </c>
      <c r="K105">
        <f>IFERROR(INDEX(IB_2RS232_E1N002INF1!N:N,MATCH('По платам'!$B105,IB_2RS232_E1N002INF1!L:L,0)),0)</f>
        <v>0</v>
      </c>
      <c r="L105">
        <f>IFERROR(INDEX(IB_2CAN_E1N003INF1!N:N,MATCH('По платам'!$B105,IB_2CAN_E1N003INF1!L:L,0)),0)</f>
        <v>0</v>
      </c>
    </row>
    <row r="106" spans="2:12">
      <c r="B106" s="3" t="s">
        <v>1070</v>
      </c>
      <c r="C106">
        <f>IFERROR(INDEX('C2B004CPU2'!N:N,MATCH('По платам'!B106,'C2B004CPU2'!L:L,0)),0)</f>
        <v>0</v>
      </c>
      <c r="D106">
        <f>IFERROR(INDEX(SBC_DIO_E1N004INF1!N:N,MATCH('По платам'!$B106,SBC_DIO_E1N004INF1!L:L,0)),0)</f>
        <v>0</v>
      </c>
      <c r="E106">
        <f>IFERROR(INDEX(SBC_35_2C3_1_E1E001CPU1E!N:N,MATCH('По платам'!$B106,SBC_35_2C3_1_E1E001CPU1E!L:L,0)),0)</f>
        <v>0</v>
      </c>
      <c r="F106">
        <f>IFERROR(INDEX(PCIe104_PSU_E1N001PWR1!N:N,MATCH('По платам'!$B106,PCIe104_PSU_E1N001PWR1!L:L,0)),0)</f>
        <v>0</v>
      </c>
      <c r="G106">
        <f>IFERROR(INDEX(PCIe104_INF2_E1N006INF1!N:N,MATCH('По платам'!$B106,PCIe104_INF2_E1N006INF1!L:L,0)),0)</f>
        <v>0</v>
      </c>
      <c r="H106">
        <f>IFERROR(INDEX(PCIe104_CON_E1N005INF1!N:N,MATCH('По платам'!$B106,PCIe104_CON_E1N005INF1!L:L,0)),0)</f>
        <v>1</v>
      </c>
      <c r="I106">
        <f>IFERROR(INDEX('EM-PCIE104-CPU_E1E001CPU1E'!N:N,MATCH('По платам'!$B106,'EM-PCIE104-CPU_E1E001CPU1E'!L:L,0)),0)</f>
        <v>2</v>
      </c>
      <c r="J106">
        <f>IFERROR(INDEX(PCIe104_INF_E1N001INF1!N:N,MATCH('По платам'!$B106,PCIe104_INF_E1N001INF1!L:L,0)),0)</f>
        <v>0</v>
      </c>
      <c r="K106">
        <f>IFERROR(INDEX(IB_2RS232_E1N002INF1!N:N,MATCH('По платам'!$B106,IB_2RS232_E1N002INF1!L:L,0)),0)</f>
        <v>0</v>
      </c>
      <c r="L106">
        <f>IFERROR(INDEX(IB_2CAN_E1N003INF1!N:N,MATCH('По платам'!$B106,IB_2CAN_E1N003INF1!L:L,0)),0)</f>
        <v>0</v>
      </c>
    </row>
    <row r="107" spans="2:12">
      <c r="B107" s="3" t="s">
        <v>523</v>
      </c>
      <c r="C107">
        <f>IFERROR(INDEX('C2B004CPU2'!N:N,MATCH('По платам'!B107,'C2B004CPU2'!L:L,0)),0)</f>
        <v>0</v>
      </c>
      <c r="D107">
        <f>IFERROR(INDEX(SBC_DIO_E1N004INF1!N:N,MATCH('По платам'!$B107,SBC_DIO_E1N004INF1!L:L,0)),0)</f>
        <v>0</v>
      </c>
      <c r="E107">
        <f>IFERROR(INDEX(SBC_35_2C3_1_E1E001CPU1E!N:N,MATCH('По платам'!$B107,SBC_35_2C3_1_E1E001CPU1E!L:L,0)),0)</f>
        <v>0</v>
      </c>
      <c r="F107">
        <f>IFERROR(INDEX(PCIe104_PSU_E1N001PWR1!N:N,MATCH('По платам'!$B107,PCIe104_PSU_E1N001PWR1!L:L,0)),0)</f>
        <v>0</v>
      </c>
      <c r="G107">
        <f>IFERROR(INDEX(PCIe104_INF2_E1N006INF1!N:N,MATCH('По платам'!$B107,PCIe104_INF2_E1N006INF1!L:L,0)),0)</f>
        <v>0</v>
      </c>
      <c r="H107">
        <f>IFERROR(INDEX(PCIe104_CON_E1N005INF1!N:N,MATCH('По платам'!$B107,PCIe104_CON_E1N005INF1!L:L,0)),0)</f>
        <v>2</v>
      </c>
      <c r="I107">
        <f>IFERROR(INDEX('EM-PCIE104-CPU_E1E001CPU1E'!N:N,MATCH('По платам'!$B107,'EM-PCIE104-CPU_E1E001CPU1E'!L:L,0)),0)</f>
        <v>1</v>
      </c>
      <c r="J107">
        <f>IFERROR(INDEX(PCIe104_INF_E1N001INF1!N:N,MATCH('По платам'!$B107,PCIe104_INF_E1N001INF1!L:L,0)),0)</f>
        <v>1</v>
      </c>
      <c r="K107">
        <f>IFERROR(INDEX(IB_2RS232_E1N002INF1!N:N,MATCH('По платам'!$B107,IB_2RS232_E1N002INF1!L:L,0)),0)</f>
        <v>0</v>
      </c>
      <c r="L107">
        <f>IFERROR(INDEX(IB_2CAN_E1N003INF1!N:N,MATCH('По платам'!$B107,IB_2CAN_E1N003INF1!L:L,0)),0)</f>
        <v>0</v>
      </c>
    </row>
    <row r="108" spans="2:12">
      <c r="B108" s="3" t="s">
        <v>2685</v>
      </c>
      <c r="C108">
        <f>IFERROR(INDEX('C2B004CPU2'!N:N,MATCH('По платам'!B108,'C2B004CPU2'!L:L,0)),0)</f>
        <v>1</v>
      </c>
      <c r="D108">
        <f>IFERROR(INDEX(SBC_DIO_E1N004INF1!N:N,MATCH('По платам'!$B108,SBC_DIO_E1N004INF1!L:L,0)),0)</f>
        <v>0</v>
      </c>
      <c r="E108">
        <f>IFERROR(INDEX(SBC_35_2C3_1_E1E001CPU1E!N:N,MATCH('По платам'!$B108,SBC_35_2C3_1_E1E001CPU1E!L:L,0)),0)</f>
        <v>0</v>
      </c>
      <c r="F108">
        <f>IFERROR(INDEX(PCIe104_PSU_E1N001PWR1!N:N,MATCH('По платам'!$B108,PCIe104_PSU_E1N001PWR1!L:L,0)),0)</f>
        <v>0</v>
      </c>
      <c r="G108">
        <f>IFERROR(INDEX(PCIe104_INF2_E1N006INF1!N:N,MATCH('По платам'!$B108,PCIe104_INF2_E1N006INF1!L:L,0)),0)</f>
        <v>0</v>
      </c>
      <c r="H108">
        <f>IFERROR(INDEX(PCIe104_CON_E1N005INF1!N:N,MATCH('По платам'!$B108,PCIe104_CON_E1N005INF1!L:L,0)),0)</f>
        <v>0</v>
      </c>
      <c r="I108">
        <f>IFERROR(INDEX('EM-PCIE104-CPU_E1E001CPU1E'!N:N,MATCH('По платам'!$B108,'EM-PCIE104-CPU_E1E001CPU1E'!L:L,0)),0)</f>
        <v>0</v>
      </c>
      <c r="J108">
        <f>IFERROR(INDEX(PCIe104_INF_E1N001INF1!N:N,MATCH('По платам'!$B108,PCIe104_INF_E1N001INF1!L:L,0)),0)</f>
        <v>0</v>
      </c>
      <c r="K108">
        <f>IFERROR(INDEX(IB_2RS232_E1N002INF1!N:N,MATCH('По платам'!$B108,IB_2RS232_E1N002INF1!L:L,0)),0)</f>
        <v>0</v>
      </c>
      <c r="L108">
        <f>IFERROR(INDEX(IB_2CAN_E1N003INF1!N:N,MATCH('По платам'!$B108,IB_2CAN_E1N003INF1!L:L,0)),0)</f>
        <v>0</v>
      </c>
    </row>
    <row r="109" spans="2:12">
      <c r="B109" s="3" t="s">
        <v>2677</v>
      </c>
      <c r="C109">
        <f>IFERROR(INDEX('C2B004CPU2'!N:N,MATCH('По платам'!B109,'C2B004CPU2'!L:L,0)),0)</f>
        <v>1</v>
      </c>
      <c r="D109">
        <f>IFERROR(INDEX(SBC_DIO_E1N004INF1!N:N,MATCH('По платам'!$B109,SBC_DIO_E1N004INF1!L:L,0)),0)</f>
        <v>0</v>
      </c>
      <c r="E109">
        <f>IFERROR(INDEX(SBC_35_2C3_1_E1E001CPU1E!N:N,MATCH('По платам'!$B109,SBC_35_2C3_1_E1E001CPU1E!L:L,0)),0)</f>
        <v>0</v>
      </c>
      <c r="F109">
        <f>IFERROR(INDEX(PCIe104_PSU_E1N001PWR1!N:N,MATCH('По платам'!$B109,PCIe104_PSU_E1N001PWR1!L:L,0)),0)</f>
        <v>0</v>
      </c>
      <c r="G109">
        <f>IFERROR(INDEX(PCIe104_INF2_E1N006INF1!N:N,MATCH('По платам'!$B109,PCIe104_INF2_E1N006INF1!L:L,0)),0)</f>
        <v>0</v>
      </c>
      <c r="H109">
        <f>IFERROR(INDEX(PCIe104_CON_E1N005INF1!N:N,MATCH('По платам'!$B109,PCIe104_CON_E1N005INF1!L:L,0)),0)</f>
        <v>0</v>
      </c>
      <c r="I109">
        <f>IFERROR(INDEX('EM-PCIE104-CPU_E1E001CPU1E'!N:N,MATCH('По платам'!$B109,'EM-PCIE104-CPU_E1E001CPU1E'!L:L,0)),0)</f>
        <v>0</v>
      </c>
      <c r="J109">
        <f>IFERROR(INDEX(PCIe104_INF_E1N001INF1!N:N,MATCH('По платам'!$B109,PCIe104_INF_E1N001INF1!L:L,0)),0)</f>
        <v>0</v>
      </c>
      <c r="K109">
        <f>IFERROR(INDEX(IB_2RS232_E1N002INF1!N:N,MATCH('По платам'!$B109,IB_2RS232_E1N002INF1!L:L,0)),0)</f>
        <v>0</v>
      </c>
      <c r="L109">
        <f>IFERROR(INDEX(IB_2CAN_E1N003INF1!N:N,MATCH('По платам'!$B109,IB_2CAN_E1N003INF1!L:L,0)),0)</f>
        <v>0</v>
      </c>
    </row>
    <row r="110" spans="2:12">
      <c r="B110" s="3" t="s">
        <v>138</v>
      </c>
      <c r="C110">
        <f>IFERROR(INDEX('C2B004CPU2'!N:N,MATCH('По платам'!B110,'C2B004CPU2'!L:L,0)),0)</f>
        <v>0</v>
      </c>
      <c r="D110">
        <f>IFERROR(INDEX(SBC_DIO_E1N004INF1!N:N,MATCH('По платам'!$B110,SBC_DIO_E1N004INF1!L:L,0)),0)</f>
        <v>0</v>
      </c>
      <c r="E110">
        <f>IFERROR(INDEX(SBC_35_2C3_1_E1E001CPU1E!N:N,MATCH('По платам'!$B110,SBC_35_2C3_1_E1E001CPU1E!L:L,0)),0)</f>
        <v>1</v>
      </c>
      <c r="F110">
        <f>IFERROR(INDEX(PCIe104_PSU_E1N001PWR1!N:N,MATCH('По платам'!$B110,PCIe104_PSU_E1N001PWR1!L:L,0)),0)</f>
        <v>0</v>
      </c>
      <c r="G110">
        <f>IFERROR(INDEX(PCIe104_INF2_E1N006INF1!N:N,MATCH('По платам'!$B110,PCIe104_INF2_E1N006INF1!L:L,0)),0)</f>
        <v>0</v>
      </c>
      <c r="H110">
        <f>IFERROR(INDEX(PCIe104_CON_E1N005INF1!N:N,MATCH('По платам'!$B110,PCIe104_CON_E1N005INF1!L:L,0)),0)</f>
        <v>0</v>
      </c>
      <c r="I110">
        <f>IFERROR(INDEX('EM-PCIE104-CPU_E1E001CPU1E'!N:N,MATCH('По платам'!$B110,'EM-PCIE104-CPU_E1E001CPU1E'!L:L,0)),0)</f>
        <v>0</v>
      </c>
      <c r="J110">
        <f>IFERROR(INDEX(PCIe104_INF_E1N001INF1!N:N,MATCH('По платам'!$B110,PCIe104_INF_E1N001INF1!L:L,0)),0)</f>
        <v>0</v>
      </c>
      <c r="K110">
        <f>IFERROR(INDEX(IB_2RS232_E1N002INF1!N:N,MATCH('По платам'!$B110,IB_2RS232_E1N002INF1!L:L,0)),0)</f>
        <v>0</v>
      </c>
      <c r="L110">
        <f>IFERROR(INDEX(IB_2CAN_E1N003INF1!N:N,MATCH('По платам'!$B110,IB_2CAN_E1N003INF1!L:L,0)),0)</f>
        <v>1</v>
      </c>
    </row>
    <row r="111" spans="2:12">
      <c r="B111" s="3" t="s">
        <v>2795</v>
      </c>
      <c r="C111">
        <f>IFERROR(INDEX('C2B004CPU2'!N:N,MATCH('По платам'!B111,'C2B004CPU2'!L:L,0)),0)</f>
        <v>2</v>
      </c>
      <c r="D111">
        <f>IFERROR(INDEX(SBC_DIO_E1N004INF1!N:N,MATCH('По платам'!$B111,SBC_DIO_E1N004INF1!L:L,0)),0)</f>
        <v>0</v>
      </c>
      <c r="E111">
        <f>IFERROR(INDEX(SBC_35_2C3_1_E1E001CPU1E!N:N,MATCH('По платам'!$B111,SBC_35_2C3_1_E1E001CPU1E!L:L,0)),0)</f>
        <v>0</v>
      </c>
      <c r="F111">
        <f>IFERROR(INDEX(PCIe104_PSU_E1N001PWR1!N:N,MATCH('По платам'!$B111,PCIe104_PSU_E1N001PWR1!L:L,0)),0)</f>
        <v>0</v>
      </c>
      <c r="G111">
        <f>IFERROR(INDEX(PCIe104_INF2_E1N006INF1!N:N,MATCH('По платам'!$B111,PCIe104_INF2_E1N006INF1!L:L,0)),0)</f>
        <v>0</v>
      </c>
      <c r="H111">
        <f>IFERROR(INDEX(PCIe104_CON_E1N005INF1!N:N,MATCH('По платам'!$B111,PCIe104_CON_E1N005INF1!L:L,0)),0)</f>
        <v>0</v>
      </c>
      <c r="I111">
        <f>IFERROR(INDEX('EM-PCIE104-CPU_E1E001CPU1E'!N:N,MATCH('По платам'!$B111,'EM-PCIE104-CPU_E1E001CPU1E'!L:L,0)),0)</f>
        <v>0</v>
      </c>
      <c r="J111">
        <f>IFERROR(INDEX(PCIe104_INF_E1N001INF1!N:N,MATCH('По платам'!$B111,PCIe104_INF_E1N001INF1!L:L,0)),0)</f>
        <v>0</v>
      </c>
      <c r="K111">
        <f>IFERROR(INDEX(IB_2RS232_E1N002INF1!N:N,MATCH('По платам'!$B111,IB_2RS232_E1N002INF1!L:L,0)),0)</f>
        <v>0</v>
      </c>
      <c r="L111">
        <f>IFERROR(INDEX(IB_2CAN_E1N003INF1!N:N,MATCH('По платам'!$B111,IB_2CAN_E1N003INF1!L:L,0)),0)</f>
        <v>0</v>
      </c>
    </row>
    <row r="112" spans="2:12">
      <c r="B112" s="3" t="s">
        <v>2228</v>
      </c>
      <c r="C112">
        <f>IFERROR(INDEX('C2B004CPU2'!N:N,MATCH('По платам'!B112,'C2B004CPU2'!L:L,0)),0)</f>
        <v>1</v>
      </c>
      <c r="D112">
        <f>IFERROR(INDEX(SBC_DIO_E1N004INF1!N:N,MATCH('По платам'!$B112,SBC_DIO_E1N004INF1!L:L,0)),0)</f>
        <v>0</v>
      </c>
      <c r="E112">
        <f>IFERROR(INDEX(SBC_35_2C3_1_E1E001CPU1E!N:N,MATCH('По платам'!$B112,SBC_35_2C3_1_E1E001CPU1E!L:L,0)),0)</f>
        <v>0</v>
      </c>
      <c r="F112">
        <f>IFERROR(INDEX(PCIe104_PSU_E1N001PWR1!N:N,MATCH('По платам'!$B112,PCIe104_PSU_E1N001PWR1!L:L,0)),0)</f>
        <v>0</v>
      </c>
      <c r="G112">
        <f>IFERROR(INDEX(PCIe104_INF2_E1N006INF1!N:N,MATCH('По платам'!$B112,PCIe104_INF2_E1N006INF1!L:L,0)),0)</f>
        <v>0</v>
      </c>
      <c r="H112">
        <f>IFERROR(INDEX(PCIe104_CON_E1N005INF1!N:N,MATCH('По платам'!$B112,PCIe104_CON_E1N005INF1!L:L,0)),0)</f>
        <v>0</v>
      </c>
      <c r="I112">
        <f>IFERROR(INDEX('EM-PCIE104-CPU_E1E001CPU1E'!N:N,MATCH('По платам'!$B112,'EM-PCIE104-CPU_E1E001CPU1E'!L:L,0)),0)</f>
        <v>0</v>
      </c>
      <c r="J112">
        <f>IFERROR(INDEX(PCIe104_INF_E1N001INF1!N:N,MATCH('По платам'!$B112,PCIe104_INF_E1N001INF1!L:L,0)),0)</f>
        <v>0</v>
      </c>
      <c r="K112">
        <f>IFERROR(INDEX(IB_2RS232_E1N002INF1!N:N,MATCH('По платам'!$B112,IB_2RS232_E1N002INF1!L:L,0)),0)</f>
        <v>0</v>
      </c>
      <c r="L112">
        <f>IFERROR(INDEX(IB_2CAN_E1N003INF1!N:N,MATCH('По платам'!$B112,IB_2CAN_E1N003INF1!L:L,0)),0)</f>
        <v>0</v>
      </c>
    </row>
    <row r="113" spans="2:12">
      <c r="B113" s="3" t="s">
        <v>1054</v>
      </c>
      <c r="C113">
        <f>IFERROR(INDEX('C2B004CPU2'!N:N,MATCH('По платам'!B113,'C2B004CPU2'!L:L,0)),0)</f>
        <v>0</v>
      </c>
      <c r="D113">
        <f>IFERROR(INDEX(SBC_DIO_E1N004INF1!N:N,MATCH('По платам'!$B113,SBC_DIO_E1N004INF1!L:L,0)),0)</f>
        <v>0</v>
      </c>
      <c r="E113">
        <f>IFERROR(INDEX(SBC_35_2C3_1_E1E001CPU1E!N:N,MATCH('По платам'!$B113,SBC_35_2C3_1_E1E001CPU1E!L:L,0)),0)</f>
        <v>0</v>
      </c>
      <c r="F113">
        <f>IFERROR(INDEX(PCIe104_PSU_E1N001PWR1!N:N,MATCH('По платам'!$B113,PCIe104_PSU_E1N001PWR1!L:L,0)),0)</f>
        <v>0</v>
      </c>
      <c r="G113">
        <f>IFERROR(INDEX(PCIe104_INF2_E1N006INF1!N:N,MATCH('По платам'!$B113,PCIe104_INF2_E1N006INF1!L:L,0)),0)</f>
        <v>0</v>
      </c>
      <c r="H113">
        <f>IFERROR(INDEX(PCIe104_CON_E1N005INF1!N:N,MATCH('По платам'!$B113,PCIe104_CON_E1N005INF1!L:L,0)),0)</f>
        <v>0</v>
      </c>
      <c r="I113">
        <f>IFERROR(INDEX('EM-PCIE104-CPU_E1E001CPU1E'!N:N,MATCH('По платам'!$B113,'EM-PCIE104-CPU_E1E001CPU1E'!L:L,0)),0)</f>
        <v>1</v>
      </c>
      <c r="J113">
        <f>IFERROR(INDEX(PCIe104_INF_E1N001INF1!N:N,MATCH('По платам'!$B113,PCIe104_INF_E1N001INF1!L:L,0)),0)</f>
        <v>0</v>
      </c>
      <c r="K113">
        <f>IFERROR(INDEX(IB_2RS232_E1N002INF1!N:N,MATCH('По платам'!$B113,IB_2RS232_E1N002INF1!L:L,0)),0)</f>
        <v>0</v>
      </c>
      <c r="L113">
        <f>IFERROR(INDEX(IB_2CAN_E1N003INF1!N:N,MATCH('По платам'!$B113,IB_2CAN_E1N003INF1!L:L,0)),0)</f>
        <v>0</v>
      </c>
    </row>
    <row r="114" spans="2:12">
      <c r="B114" s="3" t="s">
        <v>1050</v>
      </c>
      <c r="C114">
        <f>IFERROR(INDEX('C2B004CPU2'!N:N,MATCH('По платам'!B114,'C2B004CPU2'!L:L,0)),0)</f>
        <v>0</v>
      </c>
      <c r="D114">
        <f>IFERROR(INDEX(SBC_DIO_E1N004INF1!N:N,MATCH('По платам'!$B114,SBC_DIO_E1N004INF1!L:L,0)),0)</f>
        <v>0</v>
      </c>
      <c r="E114">
        <f>IFERROR(INDEX(SBC_35_2C3_1_E1E001CPU1E!N:N,MATCH('По платам'!$B114,SBC_35_2C3_1_E1E001CPU1E!L:L,0)),0)</f>
        <v>0</v>
      </c>
      <c r="F114">
        <f>IFERROR(INDEX(PCIe104_PSU_E1N001PWR1!N:N,MATCH('По платам'!$B114,PCIe104_PSU_E1N001PWR1!L:L,0)),0)</f>
        <v>0</v>
      </c>
      <c r="G114">
        <f>IFERROR(INDEX(PCIe104_INF2_E1N006INF1!N:N,MATCH('По платам'!$B114,PCIe104_INF2_E1N006INF1!L:L,0)),0)</f>
        <v>0</v>
      </c>
      <c r="H114">
        <f>IFERROR(INDEX(PCIe104_CON_E1N005INF1!N:N,MATCH('По платам'!$B114,PCIe104_CON_E1N005INF1!L:L,0)),0)</f>
        <v>0</v>
      </c>
      <c r="I114">
        <f>IFERROR(INDEX('EM-PCIE104-CPU_E1E001CPU1E'!N:N,MATCH('По платам'!$B114,'EM-PCIE104-CPU_E1E001CPU1E'!L:L,0)),0)</f>
        <v>1</v>
      </c>
      <c r="J114">
        <f>IFERROR(INDEX(PCIe104_INF_E1N001INF1!N:N,MATCH('По платам'!$B114,PCIe104_INF_E1N001INF1!L:L,0)),0)</f>
        <v>0</v>
      </c>
      <c r="K114">
        <f>IFERROR(INDEX(IB_2RS232_E1N002INF1!N:N,MATCH('По платам'!$B114,IB_2RS232_E1N002INF1!L:L,0)),0)</f>
        <v>0</v>
      </c>
      <c r="L114">
        <f>IFERROR(INDEX(IB_2CAN_E1N003INF1!N:N,MATCH('По платам'!$B114,IB_2CAN_E1N003INF1!L:L,0)),0)</f>
        <v>0</v>
      </c>
    </row>
    <row r="115" spans="2:12">
      <c r="B115" s="3" t="s">
        <v>1062</v>
      </c>
      <c r="C115">
        <f>IFERROR(INDEX('C2B004CPU2'!N:N,MATCH('По платам'!B115,'C2B004CPU2'!L:L,0)),0)</f>
        <v>0</v>
      </c>
      <c r="D115">
        <f>IFERROR(INDEX(SBC_DIO_E1N004INF1!N:N,MATCH('По платам'!$B115,SBC_DIO_E1N004INF1!L:L,0)),0)</f>
        <v>0</v>
      </c>
      <c r="E115">
        <f>IFERROR(INDEX(SBC_35_2C3_1_E1E001CPU1E!N:N,MATCH('По платам'!$B115,SBC_35_2C3_1_E1E001CPU1E!L:L,0)),0)</f>
        <v>2</v>
      </c>
      <c r="F115">
        <f>IFERROR(INDEX(PCIe104_PSU_E1N001PWR1!N:N,MATCH('По платам'!$B115,PCIe104_PSU_E1N001PWR1!L:L,0)),0)</f>
        <v>0</v>
      </c>
      <c r="G115">
        <f>IFERROR(INDEX(PCIe104_INF2_E1N006INF1!N:N,MATCH('По платам'!$B115,PCIe104_INF2_E1N006INF1!L:L,0)),0)</f>
        <v>0</v>
      </c>
      <c r="H115">
        <f>IFERROR(INDEX(PCIe104_CON_E1N005INF1!N:N,MATCH('По платам'!$B115,PCIe104_CON_E1N005INF1!L:L,0)),0)</f>
        <v>0</v>
      </c>
      <c r="I115">
        <f>IFERROR(INDEX('EM-PCIE104-CPU_E1E001CPU1E'!N:N,MATCH('По платам'!$B115,'EM-PCIE104-CPU_E1E001CPU1E'!L:L,0)),0)</f>
        <v>1</v>
      </c>
      <c r="J115">
        <f>IFERROR(INDEX(PCIe104_INF_E1N001INF1!N:N,MATCH('По платам'!$B115,PCIe104_INF_E1N001INF1!L:L,0)),0)</f>
        <v>0</v>
      </c>
      <c r="K115">
        <f>IFERROR(INDEX(IB_2RS232_E1N002INF1!N:N,MATCH('По платам'!$B115,IB_2RS232_E1N002INF1!L:L,0)),0)</f>
        <v>0</v>
      </c>
      <c r="L115">
        <f>IFERROR(INDEX(IB_2CAN_E1N003INF1!N:N,MATCH('По платам'!$B115,IB_2CAN_E1N003INF1!L:L,0)),0)</f>
        <v>0</v>
      </c>
    </row>
    <row r="116" spans="2:12">
      <c r="B116" s="3" t="s">
        <v>1058</v>
      </c>
      <c r="C116">
        <f>IFERROR(INDEX('C2B004CPU2'!N:N,MATCH('По платам'!B116,'C2B004CPU2'!L:L,0)),0)</f>
        <v>0</v>
      </c>
      <c r="D116">
        <f>IFERROR(INDEX(SBC_DIO_E1N004INF1!N:N,MATCH('По платам'!$B116,SBC_DIO_E1N004INF1!L:L,0)),0)</f>
        <v>0</v>
      </c>
      <c r="E116">
        <f>IFERROR(INDEX(SBC_35_2C3_1_E1E001CPU1E!N:N,MATCH('По платам'!$B116,SBC_35_2C3_1_E1E001CPU1E!L:L,0)),0)</f>
        <v>0</v>
      </c>
      <c r="F116">
        <f>IFERROR(INDEX(PCIe104_PSU_E1N001PWR1!N:N,MATCH('По платам'!$B116,PCIe104_PSU_E1N001PWR1!L:L,0)),0)</f>
        <v>0</v>
      </c>
      <c r="G116">
        <f>IFERROR(INDEX(PCIe104_INF2_E1N006INF1!N:N,MATCH('По платам'!$B116,PCIe104_INF2_E1N006INF1!L:L,0)),0)</f>
        <v>0</v>
      </c>
      <c r="H116">
        <f>IFERROR(INDEX(PCIe104_CON_E1N005INF1!N:N,MATCH('По платам'!$B116,PCIe104_CON_E1N005INF1!L:L,0)),0)</f>
        <v>0</v>
      </c>
      <c r="I116">
        <f>IFERROR(INDEX('EM-PCIE104-CPU_E1E001CPU1E'!N:N,MATCH('По платам'!$B116,'EM-PCIE104-CPU_E1E001CPU1E'!L:L,0)),0)</f>
        <v>1</v>
      </c>
      <c r="J116">
        <f>IFERROR(INDEX(PCIe104_INF_E1N001INF1!N:N,MATCH('По платам'!$B116,PCIe104_INF_E1N001INF1!L:L,0)),0)</f>
        <v>0</v>
      </c>
      <c r="K116">
        <f>IFERROR(INDEX(IB_2RS232_E1N002INF1!N:N,MATCH('По платам'!$B116,IB_2RS232_E1N002INF1!L:L,0)),0)</f>
        <v>0</v>
      </c>
      <c r="L116">
        <f>IFERROR(INDEX(IB_2CAN_E1N003INF1!N:N,MATCH('По платам'!$B116,IB_2CAN_E1N003INF1!L:L,0)),0)</f>
        <v>0</v>
      </c>
    </row>
    <row r="117" spans="2:12">
      <c r="B117" s="3" t="s">
        <v>1951</v>
      </c>
      <c r="C117">
        <f>IFERROR(INDEX('C2B004CPU2'!N:N,MATCH('По платам'!B117,'C2B004CPU2'!L:L,0)),0)</f>
        <v>0</v>
      </c>
      <c r="D117">
        <f>IFERROR(INDEX(SBC_DIO_E1N004INF1!N:N,MATCH('По платам'!$B117,SBC_DIO_E1N004INF1!L:L,0)),0)</f>
        <v>0</v>
      </c>
      <c r="E117">
        <f>IFERROR(INDEX(SBC_35_2C3_1_E1E001CPU1E!N:N,MATCH('По платам'!$B117,SBC_35_2C3_1_E1E001CPU1E!L:L,0)),0)</f>
        <v>3</v>
      </c>
      <c r="F117">
        <f>IFERROR(INDEX(PCIe104_PSU_E1N001PWR1!N:N,MATCH('По платам'!$B117,PCIe104_PSU_E1N001PWR1!L:L,0)),0)</f>
        <v>0</v>
      </c>
      <c r="G117">
        <f>IFERROR(INDEX(PCIe104_INF2_E1N006INF1!N:N,MATCH('По платам'!$B117,PCIe104_INF2_E1N006INF1!L:L,0)),0)</f>
        <v>0</v>
      </c>
      <c r="H117">
        <f>IFERROR(INDEX(PCIe104_CON_E1N005INF1!N:N,MATCH('По платам'!$B117,PCIe104_CON_E1N005INF1!L:L,0)),0)</f>
        <v>0</v>
      </c>
      <c r="I117">
        <f>IFERROR(INDEX('EM-PCIE104-CPU_E1E001CPU1E'!N:N,MATCH('По платам'!$B117,'EM-PCIE104-CPU_E1E001CPU1E'!L:L,0)),0)</f>
        <v>0</v>
      </c>
      <c r="J117">
        <f>IFERROR(INDEX(PCIe104_INF_E1N001INF1!N:N,MATCH('По платам'!$B117,PCIe104_INF_E1N001INF1!L:L,0)),0)</f>
        <v>0</v>
      </c>
      <c r="K117">
        <f>IFERROR(INDEX(IB_2RS232_E1N002INF1!N:N,MATCH('По платам'!$B117,IB_2RS232_E1N002INF1!L:L,0)),0)</f>
        <v>0</v>
      </c>
      <c r="L117">
        <f>IFERROR(INDEX(IB_2CAN_E1N003INF1!N:N,MATCH('По платам'!$B117,IB_2CAN_E1N003INF1!L:L,0)),0)</f>
        <v>0</v>
      </c>
    </row>
    <row r="118" spans="2:12">
      <c r="B118" s="3" t="s">
        <v>1956</v>
      </c>
      <c r="C118">
        <f>IFERROR(INDEX('C2B004CPU2'!N:N,MATCH('По платам'!B118,'C2B004CPU2'!L:L,0)),0)</f>
        <v>0</v>
      </c>
      <c r="D118">
        <f>IFERROR(INDEX(SBC_DIO_E1N004INF1!N:N,MATCH('По платам'!$B118,SBC_DIO_E1N004INF1!L:L,0)),0)</f>
        <v>0</v>
      </c>
      <c r="E118">
        <f>IFERROR(INDEX(SBC_35_2C3_1_E1E001CPU1E!N:N,MATCH('По платам'!$B118,SBC_35_2C3_1_E1E001CPU1E!L:L,0)),0)</f>
        <v>1</v>
      </c>
      <c r="F118">
        <f>IFERROR(INDEX(PCIe104_PSU_E1N001PWR1!N:N,MATCH('По платам'!$B118,PCIe104_PSU_E1N001PWR1!L:L,0)),0)</f>
        <v>0</v>
      </c>
      <c r="G118">
        <f>IFERROR(INDEX(PCIe104_INF2_E1N006INF1!N:N,MATCH('По платам'!$B118,PCIe104_INF2_E1N006INF1!L:L,0)),0)</f>
        <v>0</v>
      </c>
      <c r="H118">
        <f>IFERROR(INDEX(PCIe104_CON_E1N005INF1!N:N,MATCH('По платам'!$B118,PCIe104_CON_E1N005INF1!L:L,0)),0)</f>
        <v>0</v>
      </c>
      <c r="I118">
        <f>IFERROR(INDEX('EM-PCIE104-CPU_E1E001CPU1E'!N:N,MATCH('По платам'!$B118,'EM-PCIE104-CPU_E1E001CPU1E'!L:L,0)),0)</f>
        <v>0</v>
      </c>
      <c r="J118">
        <f>IFERROR(INDEX(PCIe104_INF_E1N001INF1!N:N,MATCH('По платам'!$B118,PCIe104_INF_E1N001INF1!L:L,0)),0)</f>
        <v>0</v>
      </c>
      <c r="K118">
        <f>IFERROR(INDEX(IB_2RS232_E1N002INF1!N:N,MATCH('По платам'!$B118,IB_2RS232_E1N002INF1!L:L,0)),0)</f>
        <v>0</v>
      </c>
      <c r="L118">
        <f>IFERROR(INDEX(IB_2CAN_E1N003INF1!N:N,MATCH('По платам'!$B118,IB_2CAN_E1N003INF1!L:L,0)),0)</f>
        <v>0</v>
      </c>
    </row>
    <row r="119" spans="2:12">
      <c r="B119" s="3" t="s">
        <v>1963</v>
      </c>
      <c r="C119">
        <f>IFERROR(INDEX('C2B004CPU2'!N:N,MATCH('По платам'!B119,'C2B004CPU2'!L:L,0)),0)</f>
        <v>0</v>
      </c>
      <c r="D119">
        <f>IFERROR(INDEX(SBC_DIO_E1N004INF1!N:N,MATCH('По платам'!$B119,SBC_DIO_E1N004INF1!L:L,0)),0)</f>
        <v>0</v>
      </c>
      <c r="E119">
        <f>IFERROR(INDEX(SBC_35_2C3_1_E1E001CPU1E!N:N,MATCH('По платам'!$B119,SBC_35_2C3_1_E1E001CPU1E!L:L,0)),0)</f>
        <v>1</v>
      </c>
      <c r="F119">
        <f>IFERROR(INDEX(PCIe104_PSU_E1N001PWR1!N:N,MATCH('По платам'!$B119,PCIe104_PSU_E1N001PWR1!L:L,0)),0)</f>
        <v>0</v>
      </c>
      <c r="G119">
        <f>IFERROR(INDEX(PCIe104_INF2_E1N006INF1!N:N,MATCH('По платам'!$B119,PCIe104_INF2_E1N006INF1!L:L,0)),0)</f>
        <v>0</v>
      </c>
      <c r="H119">
        <f>IFERROR(INDEX(PCIe104_CON_E1N005INF1!N:N,MATCH('По платам'!$B119,PCIe104_CON_E1N005INF1!L:L,0)),0)</f>
        <v>0</v>
      </c>
      <c r="I119">
        <f>IFERROR(INDEX('EM-PCIE104-CPU_E1E001CPU1E'!N:N,MATCH('По платам'!$B119,'EM-PCIE104-CPU_E1E001CPU1E'!L:L,0)),0)</f>
        <v>0</v>
      </c>
      <c r="J119">
        <f>IFERROR(INDEX(PCIe104_INF_E1N001INF1!N:N,MATCH('По платам'!$B119,PCIe104_INF_E1N001INF1!L:L,0)),0)</f>
        <v>0</v>
      </c>
      <c r="K119">
        <f>IFERROR(INDEX(IB_2RS232_E1N002INF1!N:N,MATCH('По платам'!$B119,IB_2RS232_E1N002INF1!L:L,0)),0)</f>
        <v>0</v>
      </c>
      <c r="L119">
        <f>IFERROR(INDEX(IB_2CAN_E1N003INF1!N:N,MATCH('По платам'!$B119,IB_2CAN_E1N003INF1!L:L,0)),0)</f>
        <v>0</v>
      </c>
    </row>
    <row r="120" spans="2:12">
      <c r="B120" s="3" t="s">
        <v>2661</v>
      </c>
      <c r="C120">
        <f>IFERROR(INDEX('C2B004CPU2'!N:N,MATCH('По платам'!B120,'C2B004CPU2'!L:L,0)),0)</f>
        <v>2</v>
      </c>
      <c r="D120">
        <f>IFERROR(INDEX(SBC_DIO_E1N004INF1!N:N,MATCH('По платам'!$B120,SBC_DIO_E1N004INF1!L:L,0)),0)</f>
        <v>0</v>
      </c>
      <c r="E120">
        <f>IFERROR(INDEX(SBC_35_2C3_1_E1E001CPU1E!N:N,MATCH('По платам'!$B120,SBC_35_2C3_1_E1E001CPU1E!L:L,0)),0)</f>
        <v>0</v>
      </c>
      <c r="F120">
        <f>IFERROR(INDEX(PCIe104_PSU_E1N001PWR1!N:N,MATCH('По платам'!$B120,PCIe104_PSU_E1N001PWR1!L:L,0)),0)</f>
        <v>0</v>
      </c>
      <c r="G120">
        <f>IFERROR(INDEX(PCIe104_INF2_E1N006INF1!N:N,MATCH('По платам'!$B120,PCIe104_INF2_E1N006INF1!L:L,0)),0)</f>
        <v>0</v>
      </c>
      <c r="H120">
        <f>IFERROR(INDEX(PCIe104_CON_E1N005INF1!N:N,MATCH('По платам'!$B120,PCIe104_CON_E1N005INF1!L:L,0)),0)</f>
        <v>0</v>
      </c>
      <c r="I120">
        <f>IFERROR(INDEX('EM-PCIE104-CPU_E1E001CPU1E'!N:N,MATCH('По платам'!$B120,'EM-PCIE104-CPU_E1E001CPU1E'!L:L,0)),0)</f>
        <v>0</v>
      </c>
      <c r="J120">
        <f>IFERROR(INDEX(PCIe104_INF_E1N001INF1!N:N,MATCH('По платам'!$B120,PCIe104_INF_E1N001INF1!L:L,0)),0)</f>
        <v>0</v>
      </c>
      <c r="K120">
        <f>IFERROR(INDEX(IB_2RS232_E1N002INF1!N:N,MATCH('По платам'!$B120,IB_2RS232_E1N002INF1!L:L,0)),0)</f>
        <v>0</v>
      </c>
      <c r="L120">
        <f>IFERROR(INDEX(IB_2CAN_E1N003INF1!N:N,MATCH('По платам'!$B120,IB_2CAN_E1N003INF1!L:L,0)),0)</f>
        <v>0</v>
      </c>
    </row>
    <row r="121" spans="2:12">
      <c r="B121" s="3" t="s">
        <v>2681</v>
      </c>
      <c r="C121">
        <f>IFERROR(INDEX('C2B004CPU2'!N:N,MATCH('По платам'!B121,'C2B004CPU2'!L:L,0)),0)</f>
        <v>1</v>
      </c>
      <c r="D121">
        <f>IFERROR(INDEX(SBC_DIO_E1N004INF1!N:N,MATCH('По платам'!$B121,SBC_DIO_E1N004INF1!L:L,0)),0)</f>
        <v>0</v>
      </c>
      <c r="E121">
        <f>IFERROR(INDEX(SBC_35_2C3_1_E1E001CPU1E!N:N,MATCH('По платам'!$B121,SBC_35_2C3_1_E1E001CPU1E!L:L,0)),0)</f>
        <v>0</v>
      </c>
      <c r="F121">
        <f>IFERROR(INDEX(PCIe104_PSU_E1N001PWR1!N:N,MATCH('По платам'!$B121,PCIe104_PSU_E1N001PWR1!L:L,0)),0)</f>
        <v>0</v>
      </c>
      <c r="G121">
        <f>IFERROR(INDEX(PCIe104_INF2_E1N006INF1!N:N,MATCH('По платам'!$B121,PCIe104_INF2_E1N006INF1!L:L,0)),0)</f>
        <v>0</v>
      </c>
      <c r="H121">
        <f>IFERROR(INDEX(PCIe104_CON_E1N005INF1!N:N,MATCH('По платам'!$B121,PCIe104_CON_E1N005INF1!L:L,0)),0)</f>
        <v>0</v>
      </c>
      <c r="I121">
        <f>IFERROR(INDEX('EM-PCIE104-CPU_E1E001CPU1E'!N:N,MATCH('По платам'!$B121,'EM-PCIE104-CPU_E1E001CPU1E'!L:L,0)),0)</f>
        <v>0</v>
      </c>
      <c r="J121">
        <f>IFERROR(INDEX(PCIe104_INF_E1N001INF1!N:N,MATCH('По платам'!$B121,PCIe104_INF_E1N001INF1!L:L,0)),0)</f>
        <v>0</v>
      </c>
      <c r="K121">
        <f>IFERROR(INDEX(IB_2RS232_E1N002INF1!N:N,MATCH('По платам'!$B121,IB_2RS232_E1N002INF1!L:L,0)),0)</f>
        <v>0</v>
      </c>
      <c r="L121">
        <f>IFERROR(INDEX(IB_2CAN_E1N003INF1!N:N,MATCH('По платам'!$B121,IB_2CAN_E1N003INF1!L:L,0)),0)</f>
        <v>0</v>
      </c>
    </row>
    <row r="122" spans="2:12">
      <c r="B122" s="3" t="s">
        <v>2053</v>
      </c>
      <c r="C122">
        <f>IFERROR(INDEX('C2B004CPU2'!N:N,MATCH('По платам'!B122,'C2B004CPU2'!L:L,0)),0)</f>
        <v>1</v>
      </c>
      <c r="D122">
        <f>IFERROR(INDEX(SBC_DIO_E1N004INF1!N:N,MATCH('По платам'!$B122,SBC_DIO_E1N004INF1!L:L,0)),0)</f>
        <v>0</v>
      </c>
      <c r="E122">
        <f>IFERROR(INDEX(SBC_35_2C3_1_E1E001CPU1E!N:N,MATCH('По платам'!$B122,SBC_35_2C3_1_E1E001CPU1E!L:L,0)),0)</f>
        <v>1</v>
      </c>
      <c r="F122">
        <f>IFERROR(INDEX(PCIe104_PSU_E1N001PWR1!N:N,MATCH('По платам'!$B122,PCIe104_PSU_E1N001PWR1!L:L,0)),0)</f>
        <v>0</v>
      </c>
      <c r="G122">
        <f>IFERROR(INDEX(PCIe104_INF2_E1N006INF1!N:N,MATCH('По платам'!$B122,PCIe104_INF2_E1N006INF1!L:L,0)),0)</f>
        <v>0</v>
      </c>
      <c r="H122">
        <f>IFERROR(INDEX(PCIe104_CON_E1N005INF1!N:N,MATCH('По платам'!$B122,PCIe104_CON_E1N005INF1!L:L,0)),0)</f>
        <v>0</v>
      </c>
      <c r="I122">
        <f>IFERROR(INDEX('EM-PCIE104-CPU_E1E001CPU1E'!N:N,MATCH('По платам'!$B122,'EM-PCIE104-CPU_E1E001CPU1E'!L:L,0)),0)</f>
        <v>0</v>
      </c>
      <c r="J122">
        <f>IFERROR(INDEX(PCIe104_INF_E1N001INF1!N:N,MATCH('По платам'!$B122,PCIe104_INF_E1N001INF1!L:L,0)),0)</f>
        <v>0</v>
      </c>
      <c r="K122">
        <f>IFERROR(INDEX(IB_2RS232_E1N002INF1!N:N,MATCH('По платам'!$B122,IB_2RS232_E1N002INF1!L:L,0)),0)</f>
        <v>0</v>
      </c>
      <c r="L122">
        <f>IFERROR(INDEX(IB_2CAN_E1N003INF1!N:N,MATCH('По платам'!$B122,IB_2CAN_E1N003INF1!L:L,0)),0)</f>
        <v>0</v>
      </c>
    </row>
    <row r="123" spans="2:12">
      <c r="B123" s="3" t="s">
        <v>2713</v>
      </c>
      <c r="C123">
        <f>IFERROR(INDEX('C2B004CPU2'!N:N,MATCH('По платам'!B123,'C2B004CPU2'!L:L,0)),0)</f>
        <v>1</v>
      </c>
      <c r="D123">
        <f>IFERROR(INDEX(SBC_DIO_E1N004INF1!N:N,MATCH('По платам'!$B123,SBC_DIO_E1N004INF1!L:L,0)),0)</f>
        <v>0</v>
      </c>
      <c r="E123">
        <f>IFERROR(INDEX(SBC_35_2C3_1_E1E001CPU1E!N:N,MATCH('По платам'!$B123,SBC_35_2C3_1_E1E001CPU1E!L:L,0)),0)</f>
        <v>0</v>
      </c>
      <c r="F123">
        <f>IFERROR(INDEX(PCIe104_PSU_E1N001PWR1!N:N,MATCH('По платам'!$B123,PCIe104_PSU_E1N001PWR1!L:L,0)),0)</f>
        <v>0</v>
      </c>
      <c r="G123">
        <f>IFERROR(INDEX(PCIe104_INF2_E1N006INF1!N:N,MATCH('По платам'!$B123,PCIe104_INF2_E1N006INF1!L:L,0)),0)</f>
        <v>0</v>
      </c>
      <c r="H123">
        <f>IFERROR(INDEX(PCIe104_CON_E1N005INF1!N:N,MATCH('По платам'!$B123,PCIe104_CON_E1N005INF1!L:L,0)),0)</f>
        <v>0</v>
      </c>
      <c r="I123">
        <f>IFERROR(INDEX('EM-PCIE104-CPU_E1E001CPU1E'!N:N,MATCH('По платам'!$B123,'EM-PCIE104-CPU_E1E001CPU1E'!L:L,0)),0)</f>
        <v>0</v>
      </c>
      <c r="J123">
        <f>IFERROR(INDEX(PCIe104_INF_E1N001INF1!N:N,MATCH('По платам'!$B123,PCIe104_INF_E1N001INF1!L:L,0)),0)</f>
        <v>0</v>
      </c>
      <c r="K123">
        <f>IFERROR(INDEX(IB_2RS232_E1N002INF1!N:N,MATCH('По платам'!$B123,IB_2RS232_E1N002INF1!L:L,0)),0)</f>
        <v>0</v>
      </c>
      <c r="L123">
        <f>IFERROR(INDEX(IB_2CAN_E1N003INF1!N:N,MATCH('По платам'!$B123,IB_2CAN_E1N003INF1!L:L,0)),0)</f>
        <v>0</v>
      </c>
    </row>
    <row r="124" spans="2:12">
      <c r="B124" s="3" t="s">
        <v>2691</v>
      </c>
      <c r="C124">
        <f>IFERROR(INDEX('C2B004CPU2'!N:N,MATCH('По платам'!B124,'C2B004CPU2'!L:L,0)),0)</f>
        <v>1</v>
      </c>
      <c r="D124">
        <f>IFERROR(INDEX(SBC_DIO_E1N004INF1!N:N,MATCH('По платам'!$B124,SBC_DIO_E1N004INF1!L:L,0)),0)</f>
        <v>0</v>
      </c>
      <c r="E124">
        <f>IFERROR(INDEX(SBC_35_2C3_1_E1E001CPU1E!N:N,MATCH('По платам'!$B124,SBC_35_2C3_1_E1E001CPU1E!L:L,0)),0)</f>
        <v>0</v>
      </c>
      <c r="F124">
        <f>IFERROR(INDEX(PCIe104_PSU_E1N001PWR1!N:N,MATCH('По платам'!$B124,PCIe104_PSU_E1N001PWR1!L:L,0)),0)</f>
        <v>0</v>
      </c>
      <c r="G124">
        <f>IFERROR(INDEX(PCIe104_INF2_E1N006INF1!N:N,MATCH('По платам'!$B124,PCIe104_INF2_E1N006INF1!L:L,0)),0)</f>
        <v>0</v>
      </c>
      <c r="H124">
        <f>IFERROR(INDEX(PCIe104_CON_E1N005INF1!N:N,MATCH('По платам'!$B124,PCIe104_CON_E1N005INF1!L:L,0)),0)</f>
        <v>0</v>
      </c>
      <c r="I124">
        <f>IFERROR(INDEX('EM-PCIE104-CPU_E1E001CPU1E'!N:N,MATCH('По платам'!$B124,'EM-PCIE104-CPU_E1E001CPU1E'!L:L,0)),0)</f>
        <v>0</v>
      </c>
      <c r="J124">
        <f>IFERROR(INDEX(PCIe104_INF_E1N001INF1!N:N,MATCH('По платам'!$B124,PCIe104_INF_E1N001INF1!L:L,0)),0)</f>
        <v>0</v>
      </c>
      <c r="K124">
        <f>IFERROR(INDEX(IB_2RS232_E1N002INF1!N:N,MATCH('По платам'!$B124,IB_2RS232_E1N002INF1!L:L,0)),0)</f>
        <v>0</v>
      </c>
      <c r="L124">
        <f>IFERROR(INDEX(IB_2CAN_E1N003INF1!N:N,MATCH('По платам'!$B124,IB_2CAN_E1N003INF1!L:L,0)),0)</f>
        <v>0</v>
      </c>
    </row>
    <row r="125" spans="2:12">
      <c r="B125" s="3" t="s">
        <v>288</v>
      </c>
      <c r="C125">
        <f>IFERROR(INDEX('C2B004CPU2'!N:N,MATCH('По платам'!B125,'C2B004CPU2'!L:L,0)),0)</f>
        <v>0</v>
      </c>
      <c r="D125">
        <f>IFERROR(INDEX(SBC_DIO_E1N004INF1!N:N,MATCH('По платам'!$B125,SBC_DIO_E1N004INF1!L:L,0)),0)</f>
        <v>0</v>
      </c>
      <c r="E125">
        <f>IFERROR(INDEX(SBC_35_2C3_1_E1E001CPU1E!N:N,MATCH('По платам'!$B125,SBC_35_2C3_1_E1E001CPU1E!L:L,0)),0)</f>
        <v>0</v>
      </c>
      <c r="F125">
        <f>IFERROR(INDEX(PCIe104_PSU_E1N001PWR1!N:N,MATCH('По платам'!$B125,PCIe104_PSU_E1N001PWR1!L:L,0)),0)</f>
        <v>0</v>
      </c>
      <c r="G125">
        <f>IFERROR(INDEX(PCIe104_INF2_E1N006INF1!N:N,MATCH('По платам'!$B125,PCIe104_INF2_E1N006INF1!L:L,0)),0)</f>
        <v>0</v>
      </c>
      <c r="H125">
        <f>IFERROR(INDEX(PCIe104_CON_E1N005INF1!N:N,MATCH('По платам'!$B125,PCIe104_CON_E1N005INF1!L:L,0)),0)</f>
        <v>0</v>
      </c>
      <c r="I125">
        <f>IFERROR(INDEX('EM-PCIE104-CPU_E1E001CPU1E'!N:N,MATCH('По платам'!$B125,'EM-PCIE104-CPU_E1E001CPU1E'!L:L,0)),0)</f>
        <v>1</v>
      </c>
      <c r="J125">
        <f>IFERROR(INDEX(PCIe104_INF_E1N001INF1!N:N,MATCH('По платам'!$B125,PCIe104_INF_E1N001INF1!L:L,0)),0)</f>
        <v>1</v>
      </c>
      <c r="K125">
        <f>IFERROR(INDEX(IB_2RS232_E1N002INF1!N:N,MATCH('По платам'!$B125,IB_2RS232_E1N002INF1!L:L,0)),0)</f>
        <v>0</v>
      </c>
      <c r="L125">
        <f>IFERROR(INDEX(IB_2CAN_E1N003INF1!N:N,MATCH('По платам'!$B125,IB_2CAN_E1N003INF1!L:L,0)),0)</f>
        <v>0</v>
      </c>
    </row>
    <row r="126" spans="2:12">
      <c r="B126" s="3" t="s">
        <v>289</v>
      </c>
      <c r="C126">
        <f>IFERROR(INDEX('C2B004CPU2'!N:N,MATCH('По платам'!B126,'C2B004CPU2'!L:L,0)),0)</f>
        <v>0</v>
      </c>
      <c r="D126">
        <f>IFERROR(INDEX(SBC_DIO_E1N004INF1!N:N,MATCH('По платам'!$B126,SBC_DIO_E1N004INF1!L:L,0)),0)</f>
        <v>0</v>
      </c>
      <c r="E126">
        <f>IFERROR(INDEX(SBC_35_2C3_1_E1E001CPU1E!N:N,MATCH('По платам'!$B126,SBC_35_2C3_1_E1E001CPU1E!L:L,0)),0)</f>
        <v>0</v>
      </c>
      <c r="F126">
        <f>IFERROR(INDEX(PCIe104_PSU_E1N001PWR1!N:N,MATCH('По платам'!$B126,PCIe104_PSU_E1N001PWR1!L:L,0)),0)</f>
        <v>0</v>
      </c>
      <c r="G126">
        <f>IFERROR(INDEX(PCIe104_INF2_E1N006INF1!N:N,MATCH('По платам'!$B126,PCIe104_INF2_E1N006INF1!L:L,0)),0)</f>
        <v>0</v>
      </c>
      <c r="H126">
        <f>IFERROR(INDEX(PCIe104_CON_E1N005INF1!N:N,MATCH('По платам'!$B126,PCIe104_CON_E1N005INF1!L:L,0)),0)</f>
        <v>0</v>
      </c>
      <c r="I126">
        <f>IFERROR(INDEX('EM-PCIE104-CPU_E1E001CPU1E'!N:N,MATCH('По платам'!$B126,'EM-PCIE104-CPU_E1E001CPU1E'!L:L,0)),0)</f>
        <v>0</v>
      </c>
      <c r="J126">
        <f>IFERROR(INDEX(PCIe104_INF_E1N001INF1!N:N,MATCH('По платам'!$B126,PCIe104_INF_E1N001INF1!L:L,0)),0)</f>
        <v>1</v>
      </c>
      <c r="K126">
        <f>IFERROR(INDEX(IB_2RS232_E1N002INF1!N:N,MATCH('По платам'!$B126,IB_2RS232_E1N002INF1!L:L,0)),0)</f>
        <v>0</v>
      </c>
      <c r="L126">
        <f>IFERROR(INDEX(IB_2CAN_E1N003INF1!N:N,MATCH('По платам'!$B126,IB_2CAN_E1N003INF1!L:L,0)),0)</f>
        <v>0</v>
      </c>
    </row>
    <row r="127" spans="2:12">
      <c r="B127" s="3" t="s">
        <v>589</v>
      </c>
      <c r="C127">
        <f>IFERROR(INDEX('C2B004CPU2'!N:N,MATCH('По платам'!B127,'C2B004CPU2'!L:L,0)),0)</f>
        <v>0</v>
      </c>
      <c r="D127">
        <f>IFERROR(INDEX(SBC_DIO_E1N004INF1!N:N,MATCH('По платам'!$B127,SBC_DIO_E1N004INF1!L:L,0)),0)</f>
        <v>0</v>
      </c>
      <c r="E127">
        <f>IFERROR(INDEX(SBC_35_2C3_1_E1E001CPU1E!N:N,MATCH('По платам'!$B127,SBC_35_2C3_1_E1E001CPU1E!L:L,0)),0)</f>
        <v>12</v>
      </c>
      <c r="F127">
        <f>IFERROR(INDEX(PCIe104_PSU_E1N001PWR1!N:N,MATCH('По платам'!$B127,PCIe104_PSU_E1N001PWR1!L:L,0)),0)</f>
        <v>0</v>
      </c>
      <c r="G127">
        <f>IFERROR(INDEX(PCIe104_INF2_E1N006INF1!N:N,MATCH('По платам'!$B127,PCIe104_INF2_E1N006INF1!L:L,0)),0)</f>
        <v>0</v>
      </c>
      <c r="H127">
        <f>IFERROR(INDEX(PCIe104_CON_E1N005INF1!N:N,MATCH('По платам'!$B127,PCIe104_CON_E1N005INF1!L:L,0)),0)</f>
        <v>0</v>
      </c>
      <c r="I127">
        <f>IFERROR(INDEX('EM-PCIE104-CPU_E1E001CPU1E'!N:N,MATCH('По платам'!$B127,'EM-PCIE104-CPU_E1E001CPU1E'!L:L,0)),0)</f>
        <v>12</v>
      </c>
      <c r="J127">
        <f>IFERROR(INDEX(PCIe104_INF_E1N001INF1!N:N,MATCH('По платам'!$B127,PCIe104_INF_E1N001INF1!L:L,0)),0)</f>
        <v>0</v>
      </c>
      <c r="K127">
        <f>IFERROR(INDEX(IB_2RS232_E1N002INF1!N:N,MATCH('По платам'!$B127,IB_2RS232_E1N002INF1!L:L,0)),0)</f>
        <v>0</v>
      </c>
      <c r="L127">
        <f>IFERROR(INDEX(IB_2CAN_E1N003INF1!N:N,MATCH('По платам'!$B127,IB_2CAN_E1N003INF1!L:L,0)),0)</f>
        <v>0</v>
      </c>
    </row>
    <row r="128" spans="2:12">
      <c r="B128" s="3" t="s">
        <v>1323</v>
      </c>
      <c r="C128">
        <f>IFERROR(INDEX('C2B004CPU2'!N:N,MATCH('По платам'!B128,'C2B004CPU2'!L:L,0)),0)</f>
        <v>0</v>
      </c>
      <c r="D128">
        <f>IFERROR(INDEX(SBC_DIO_E1N004INF1!N:N,MATCH('По платам'!$B128,SBC_DIO_E1N004INF1!L:L,0)),0)</f>
        <v>0</v>
      </c>
      <c r="E128">
        <f>IFERROR(INDEX(SBC_35_2C3_1_E1E001CPU1E!N:N,MATCH('По платам'!$B128,SBC_35_2C3_1_E1E001CPU1E!L:L,0)),0)</f>
        <v>0</v>
      </c>
      <c r="F128">
        <f>IFERROR(INDEX(PCIe104_PSU_E1N001PWR1!N:N,MATCH('По платам'!$B128,PCIe104_PSU_E1N001PWR1!L:L,0)),0)</f>
        <v>7</v>
      </c>
      <c r="G128">
        <f>IFERROR(INDEX(PCIe104_INF2_E1N006INF1!N:N,MATCH('По платам'!$B128,PCIe104_INF2_E1N006INF1!L:L,0)),0)</f>
        <v>0</v>
      </c>
      <c r="H128">
        <f>IFERROR(INDEX(PCIe104_CON_E1N005INF1!N:N,MATCH('По платам'!$B128,PCIe104_CON_E1N005INF1!L:L,0)),0)</f>
        <v>0</v>
      </c>
      <c r="I128">
        <f>IFERROR(INDEX('EM-PCIE104-CPU_E1E001CPU1E'!N:N,MATCH('По платам'!$B128,'EM-PCIE104-CPU_E1E001CPU1E'!L:L,0)),0)</f>
        <v>0</v>
      </c>
      <c r="J128">
        <f>IFERROR(INDEX(PCIe104_INF_E1N001INF1!N:N,MATCH('По платам'!$B128,PCIe104_INF_E1N001INF1!L:L,0)),0)</f>
        <v>0</v>
      </c>
      <c r="K128">
        <f>IFERROR(INDEX(IB_2RS232_E1N002INF1!N:N,MATCH('По платам'!$B128,IB_2RS232_E1N002INF1!L:L,0)),0)</f>
        <v>0</v>
      </c>
      <c r="L128">
        <f>IFERROR(INDEX(IB_2CAN_E1N003INF1!N:N,MATCH('По платам'!$B128,IB_2CAN_E1N003INF1!L:L,0)),0)</f>
        <v>0</v>
      </c>
    </row>
    <row r="129" spans="2:12">
      <c r="B129" s="3" t="s">
        <v>583</v>
      </c>
      <c r="C129">
        <f>IFERROR(INDEX('C2B004CPU2'!N:N,MATCH('По платам'!B129,'C2B004CPU2'!L:L,0)),0)</f>
        <v>0</v>
      </c>
      <c r="D129">
        <f>IFERROR(INDEX(SBC_DIO_E1N004INF1!N:N,MATCH('По платам'!$B129,SBC_DIO_E1N004INF1!L:L,0)),0)</f>
        <v>0</v>
      </c>
      <c r="E129">
        <f>IFERROR(INDEX(SBC_35_2C3_1_E1E001CPU1E!N:N,MATCH('По платам'!$B129,SBC_35_2C3_1_E1E001CPU1E!L:L,0)),0)</f>
        <v>0</v>
      </c>
      <c r="F129">
        <f>IFERROR(INDEX(PCIe104_PSU_E1N001PWR1!N:N,MATCH('По платам'!$B129,PCIe104_PSU_E1N001PWR1!L:L,0)),0)</f>
        <v>5</v>
      </c>
      <c r="G129">
        <f>IFERROR(INDEX(PCIe104_INF2_E1N006INF1!N:N,MATCH('По платам'!$B129,PCIe104_INF2_E1N006INF1!L:L,0)),0)</f>
        <v>0</v>
      </c>
      <c r="H129">
        <f>IFERROR(INDEX(PCIe104_CON_E1N005INF1!N:N,MATCH('По платам'!$B129,PCIe104_CON_E1N005INF1!L:L,0)),0)</f>
        <v>0</v>
      </c>
      <c r="I129">
        <f>IFERROR(INDEX('EM-PCIE104-CPU_E1E001CPU1E'!N:N,MATCH('По платам'!$B129,'EM-PCIE104-CPU_E1E001CPU1E'!L:L,0)),0)</f>
        <v>2</v>
      </c>
      <c r="J129">
        <f>IFERROR(INDEX(PCIe104_INF_E1N001INF1!N:N,MATCH('По платам'!$B129,PCIe104_INF_E1N001INF1!L:L,0)),0)</f>
        <v>0</v>
      </c>
      <c r="K129">
        <f>IFERROR(INDEX(IB_2RS232_E1N002INF1!N:N,MATCH('По платам'!$B129,IB_2RS232_E1N002INF1!L:L,0)),0)</f>
        <v>0</v>
      </c>
      <c r="L129">
        <f>IFERROR(INDEX(IB_2CAN_E1N003INF1!N:N,MATCH('По платам'!$B129,IB_2CAN_E1N003INF1!L:L,0)),0)</f>
        <v>0</v>
      </c>
    </row>
    <row r="130" spans="2:12">
      <c r="B130" s="3" t="s">
        <v>625</v>
      </c>
      <c r="C130">
        <f>IFERROR(INDEX('C2B004CPU2'!N:N,MATCH('По платам'!B130,'C2B004CPU2'!L:L,0)),0)</f>
        <v>0</v>
      </c>
      <c r="D130">
        <f>IFERROR(INDEX(SBC_DIO_E1N004INF1!N:N,MATCH('По платам'!$B130,SBC_DIO_E1N004INF1!L:L,0)),0)</f>
        <v>0</v>
      </c>
      <c r="E130">
        <f>IFERROR(INDEX(SBC_35_2C3_1_E1E001CPU1E!N:N,MATCH('По платам'!$B130,SBC_35_2C3_1_E1E001CPU1E!L:L,0)),0)</f>
        <v>3</v>
      </c>
      <c r="F130">
        <f>IFERROR(INDEX(PCIe104_PSU_E1N001PWR1!N:N,MATCH('По платам'!$B130,PCIe104_PSU_E1N001PWR1!L:L,0)),0)</f>
        <v>0</v>
      </c>
      <c r="G130">
        <f>IFERROR(INDEX(PCIe104_INF2_E1N006INF1!N:N,MATCH('По платам'!$B130,PCIe104_INF2_E1N006INF1!L:L,0)),0)</f>
        <v>0</v>
      </c>
      <c r="H130">
        <f>IFERROR(INDEX(PCIe104_CON_E1N005INF1!N:N,MATCH('По платам'!$B130,PCIe104_CON_E1N005INF1!L:L,0)),0)</f>
        <v>0</v>
      </c>
      <c r="I130">
        <f>IFERROR(INDEX('EM-PCIE104-CPU_E1E001CPU1E'!N:N,MATCH('По платам'!$B130,'EM-PCIE104-CPU_E1E001CPU1E'!L:L,0)),0)</f>
        <v>4</v>
      </c>
      <c r="J130">
        <f>IFERROR(INDEX(PCIe104_INF_E1N001INF1!N:N,MATCH('По платам'!$B130,PCIe104_INF_E1N001INF1!L:L,0)),0)</f>
        <v>0</v>
      </c>
      <c r="K130">
        <f>IFERROR(INDEX(IB_2RS232_E1N002INF1!N:N,MATCH('По платам'!$B130,IB_2RS232_E1N002INF1!L:L,0)),0)</f>
        <v>0</v>
      </c>
      <c r="L130">
        <f>IFERROR(INDEX(IB_2CAN_E1N003INF1!N:N,MATCH('По платам'!$B130,IB_2CAN_E1N003INF1!L:L,0)),0)</f>
        <v>0</v>
      </c>
    </row>
    <row r="131" spans="2:12">
      <c r="B131" s="3" t="s">
        <v>2623</v>
      </c>
      <c r="C131">
        <f>IFERROR(INDEX('C2B004CPU2'!N:N,MATCH('По платам'!B131,'C2B004CPU2'!L:L,0)),0)</f>
        <v>1</v>
      </c>
      <c r="D131">
        <f>IFERROR(INDEX(SBC_DIO_E1N004INF1!N:N,MATCH('По платам'!$B131,SBC_DIO_E1N004INF1!L:L,0)),0)</f>
        <v>0</v>
      </c>
      <c r="E131">
        <f>IFERROR(INDEX(SBC_35_2C3_1_E1E001CPU1E!N:N,MATCH('По платам'!$B131,SBC_35_2C3_1_E1E001CPU1E!L:L,0)),0)</f>
        <v>0</v>
      </c>
      <c r="F131">
        <f>IFERROR(INDEX(PCIe104_PSU_E1N001PWR1!N:N,MATCH('По платам'!$B131,PCIe104_PSU_E1N001PWR1!L:L,0)),0)</f>
        <v>0</v>
      </c>
      <c r="G131">
        <f>IFERROR(INDEX(PCIe104_INF2_E1N006INF1!N:N,MATCH('По платам'!$B131,PCIe104_INF2_E1N006INF1!L:L,0)),0)</f>
        <v>0</v>
      </c>
      <c r="H131">
        <f>IFERROR(INDEX(PCIe104_CON_E1N005INF1!N:N,MATCH('По платам'!$B131,PCIe104_CON_E1N005INF1!L:L,0)),0)</f>
        <v>0</v>
      </c>
      <c r="I131">
        <f>IFERROR(INDEX('EM-PCIE104-CPU_E1E001CPU1E'!N:N,MATCH('По платам'!$B131,'EM-PCIE104-CPU_E1E001CPU1E'!L:L,0)),0)</f>
        <v>0</v>
      </c>
      <c r="J131">
        <f>IFERROR(INDEX(PCIe104_INF_E1N001INF1!N:N,MATCH('По платам'!$B131,PCIe104_INF_E1N001INF1!L:L,0)),0)</f>
        <v>0</v>
      </c>
      <c r="K131">
        <f>IFERROR(INDEX(IB_2RS232_E1N002INF1!N:N,MATCH('По платам'!$B131,IB_2RS232_E1N002INF1!L:L,0)),0)</f>
        <v>0</v>
      </c>
      <c r="L131">
        <f>IFERROR(INDEX(IB_2CAN_E1N003INF1!N:N,MATCH('По платам'!$B131,IB_2CAN_E1N003INF1!L:L,0)),0)</f>
        <v>0</v>
      </c>
    </row>
    <row r="132" spans="2:12">
      <c r="B132" s="3" t="s">
        <v>112</v>
      </c>
      <c r="C132">
        <f>IFERROR(INDEX('C2B004CPU2'!N:N,MATCH('По платам'!B132,'C2B004CPU2'!L:L,0)),0)</f>
        <v>0</v>
      </c>
      <c r="D132">
        <f>IFERROR(INDEX(SBC_DIO_E1N004INF1!N:N,MATCH('По платам'!$B132,SBC_DIO_E1N004INF1!L:L,0)),0)</f>
        <v>0</v>
      </c>
      <c r="E132">
        <f>IFERROR(INDEX(SBC_35_2C3_1_E1E001CPU1E!N:N,MATCH('По платам'!$B132,SBC_35_2C3_1_E1E001CPU1E!L:L,0)),0)</f>
        <v>11</v>
      </c>
      <c r="F132">
        <f>IFERROR(INDEX(PCIe104_PSU_E1N001PWR1!N:N,MATCH('По платам'!$B132,PCIe104_PSU_E1N001PWR1!L:L,0)),0)</f>
        <v>5</v>
      </c>
      <c r="G132">
        <f>IFERROR(INDEX(PCIe104_INF2_E1N006INF1!N:N,MATCH('По платам'!$B132,PCIe104_INF2_E1N006INF1!L:L,0)),0)</f>
        <v>0</v>
      </c>
      <c r="H132">
        <f>IFERROR(INDEX(PCIe104_CON_E1N005INF1!N:N,MATCH('По платам'!$B132,PCIe104_CON_E1N005INF1!L:L,0)),0)</f>
        <v>0</v>
      </c>
      <c r="I132">
        <f>IFERROR(INDEX('EM-PCIE104-CPU_E1E001CPU1E'!N:N,MATCH('По платам'!$B132,'EM-PCIE104-CPU_E1E001CPU1E'!L:L,0)),0)</f>
        <v>2</v>
      </c>
      <c r="J132">
        <f>IFERROR(INDEX(PCIe104_INF_E1N001INF1!N:N,MATCH('По платам'!$B132,PCIe104_INF_E1N001INF1!L:L,0)),0)</f>
        <v>1</v>
      </c>
      <c r="K132">
        <f>IFERROR(INDEX(IB_2RS232_E1N002INF1!N:N,MATCH('По платам'!$B132,IB_2RS232_E1N002INF1!L:L,0)),0)</f>
        <v>0</v>
      </c>
      <c r="L132">
        <f>IFERROR(INDEX(IB_2CAN_E1N003INF1!N:N,MATCH('По платам'!$B132,IB_2CAN_E1N003INF1!L:L,0)),0)</f>
        <v>2</v>
      </c>
    </row>
    <row r="133" spans="2:12">
      <c r="B133" s="3" t="s">
        <v>1442</v>
      </c>
      <c r="C133">
        <f>IFERROR(INDEX('C2B004CPU2'!N:N,MATCH('По платам'!B133,'C2B004CPU2'!L:L,0)),0)</f>
        <v>0</v>
      </c>
      <c r="D133">
        <f>IFERROR(INDEX(SBC_DIO_E1N004INF1!N:N,MATCH('По платам'!$B133,SBC_DIO_E1N004INF1!L:L,0)),0)</f>
        <v>0</v>
      </c>
      <c r="E133">
        <f>IFERROR(INDEX(SBC_35_2C3_1_E1E001CPU1E!N:N,MATCH('По платам'!$B133,SBC_35_2C3_1_E1E001CPU1E!L:L,0)),0)</f>
        <v>0</v>
      </c>
      <c r="F133">
        <f>IFERROR(INDEX(PCIe104_PSU_E1N001PWR1!N:N,MATCH('По платам'!$B133,PCIe104_PSU_E1N001PWR1!L:L,0)),0)</f>
        <v>2</v>
      </c>
      <c r="G133">
        <f>IFERROR(INDEX(PCIe104_INF2_E1N006INF1!N:N,MATCH('По платам'!$B133,PCIe104_INF2_E1N006INF1!L:L,0)),0)</f>
        <v>0</v>
      </c>
      <c r="H133">
        <f>IFERROR(INDEX(PCIe104_CON_E1N005INF1!N:N,MATCH('По платам'!$B133,PCIe104_CON_E1N005INF1!L:L,0)),0)</f>
        <v>0</v>
      </c>
      <c r="I133">
        <f>IFERROR(INDEX('EM-PCIE104-CPU_E1E001CPU1E'!N:N,MATCH('По платам'!$B133,'EM-PCIE104-CPU_E1E001CPU1E'!L:L,0)),0)</f>
        <v>0</v>
      </c>
      <c r="J133">
        <f>IFERROR(INDEX(PCIe104_INF_E1N001INF1!N:N,MATCH('По платам'!$B133,PCIe104_INF_E1N001INF1!L:L,0)),0)</f>
        <v>0</v>
      </c>
      <c r="K133">
        <f>IFERROR(INDEX(IB_2RS232_E1N002INF1!N:N,MATCH('По платам'!$B133,IB_2RS232_E1N002INF1!L:L,0)),0)</f>
        <v>0</v>
      </c>
      <c r="L133">
        <f>IFERROR(INDEX(IB_2CAN_E1N003INF1!N:N,MATCH('По платам'!$B133,IB_2CAN_E1N003INF1!L:L,0)),0)</f>
        <v>0</v>
      </c>
    </row>
    <row r="134" spans="2:12">
      <c r="B134" s="3" t="s">
        <v>109</v>
      </c>
      <c r="C134">
        <f>IFERROR(INDEX('C2B004CPU2'!N:N,MATCH('По платам'!B134,'C2B004CPU2'!L:L,0)),0)</f>
        <v>0</v>
      </c>
      <c r="D134">
        <f>IFERROR(INDEX(SBC_DIO_E1N004INF1!N:N,MATCH('По платам'!$B134,SBC_DIO_E1N004INF1!L:L,0)),0)</f>
        <v>0</v>
      </c>
      <c r="E134">
        <f>IFERROR(INDEX(SBC_35_2C3_1_E1E001CPU1E!N:N,MATCH('По платам'!$B134,SBC_35_2C3_1_E1E001CPU1E!L:L,0)),0)</f>
        <v>0</v>
      </c>
      <c r="F134">
        <f>IFERROR(INDEX(PCIe104_PSU_E1N001PWR1!N:N,MATCH('По платам'!$B134,PCIe104_PSU_E1N001PWR1!L:L,0)),0)</f>
        <v>0</v>
      </c>
      <c r="G134">
        <f>IFERROR(INDEX(PCIe104_INF2_E1N006INF1!N:N,MATCH('По платам'!$B134,PCIe104_INF2_E1N006INF1!L:L,0)),0)</f>
        <v>0</v>
      </c>
      <c r="H134">
        <f>IFERROR(INDEX(PCIe104_CON_E1N005INF1!N:N,MATCH('По платам'!$B134,PCIe104_CON_E1N005INF1!L:L,0)),0)</f>
        <v>0</v>
      </c>
      <c r="I134">
        <f>IFERROR(INDEX('EM-PCIE104-CPU_E1E001CPU1E'!N:N,MATCH('По платам'!$B134,'EM-PCIE104-CPU_E1E001CPU1E'!L:L,0)),0)</f>
        <v>0</v>
      </c>
      <c r="J134">
        <f>IFERROR(INDEX(PCIe104_INF_E1N001INF1!N:N,MATCH('По платам'!$B134,PCIe104_INF_E1N001INF1!L:L,0)),0)</f>
        <v>1</v>
      </c>
      <c r="K134">
        <f>IFERROR(INDEX(IB_2RS232_E1N002INF1!N:N,MATCH('По платам'!$B134,IB_2RS232_E1N002INF1!L:L,0)),0)</f>
        <v>0</v>
      </c>
      <c r="L134">
        <f>IFERROR(INDEX(IB_2CAN_E1N003INF1!N:N,MATCH('По платам'!$B134,IB_2CAN_E1N003INF1!L:L,0)),0)</f>
        <v>2</v>
      </c>
    </row>
    <row r="135" spans="2:12">
      <c r="B135" s="3" t="s">
        <v>2791</v>
      </c>
      <c r="C135">
        <f>IFERROR(INDEX('C2B004CPU2'!N:N,MATCH('По платам'!B135,'C2B004CPU2'!L:L,0)),0)</f>
        <v>1</v>
      </c>
      <c r="D135">
        <f>IFERROR(INDEX(SBC_DIO_E1N004INF1!N:N,MATCH('По платам'!$B135,SBC_DIO_E1N004INF1!L:L,0)),0)</f>
        <v>0</v>
      </c>
      <c r="E135">
        <f>IFERROR(INDEX(SBC_35_2C3_1_E1E001CPU1E!N:N,MATCH('По платам'!$B135,SBC_35_2C3_1_E1E001CPU1E!L:L,0)),0)</f>
        <v>0</v>
      </c>
      <c r="F135">
        <f>IFERROR(INDEX(PCIe104_PSU_E1N001PWR1!N:N,MATCH('По платам'!$B135,PCIe104_PSU_E1N001PWR1!L:L,0)),0)</f>
        <v>0</v>
      </c>
      <c r="G135">
        <f>IFERROR(INDEX(PCIe104_INF2_E1N006INF1!N:N,MATCH('По платам'!$B135,PCIe104_INF2_E1N006INF1!L:L,0)),0)</f>
        <v>0</v>
      </c>
      <c r="H135">
        <f>IFERROR(INDEX(PCIe104_CON_E1N005INF1!N:N,MATCH('По платам'!$B135,PCIe104_CON_E1N005INF1!L:L,0)),0)</f>
        <v>0</v>
      </c>
      <c r="I135">
        <f>IFERROR(INDEX('EM-PCIE104-CPU_E1E001CPU1E'!N:N,MATCH('По платам'!$B135,'EM-PCIE104-CPU_E1E001CPU1E'!L:L,0)),0)</f>
        <v>0</v>
      </c>
      <c r="J135">
        <f>IFERROR(INDEX(PCIe104_INF_E1N001INF1!N:N,MATCH('По платам'!$B135,PCIe104_INF_E1N001INF1!L:L,0)),0)</f>
        <v>0</v>
      </c>
      <c r="K135">
        <f>IFERROR(INDEX(IB_2RS232_E1N002INF1!N:N,MATCH('По платам'!$B135,IB_2RS232_E1N002INF1!L:L,0)),0)</f>
        <v>0</v>
      </c>
      <c r="L135">
        <f>IFERROR(INDEX(IB_2CAN_E1N003INF1!N:N,MATCH('По платам'!$B135,IB_2CAN_E1N003INF1!L:L,0)),0)</f>
        <v>0</v>
      </c>
    </row>
    <row r="136" spans="2:12">
      <c r="B136" s="3" t="s">
        <v>2787</v>
      </c>
      <c r="C136">
        <f>IFERROR(INDEX('C2B004CPU2'!N:N,MATCH('По платам'!B136,'C2B004CPU2'!L:L,0)),0)</f>
        <v>1</v>
      </c>
      <c r="D136">
        <f>IFERROR(INDEX(SBC_DIO_E1N004INF1!N:N,MATCH('По платам'!$B136,SBC_DIO_E1N004INF1!L:L,0)),0)</f>
        <v>0</v>
      </c>
      <c r="E136">
        <f>IFERROR(INDEX(SBC_35_2C3_1_E1E001CPU1E!N:N,MATCH('По платам'!$B136,SBC_35_2C3_1_E1E001CPU1E!L:L,0)),0)</f>
        <v>0</v>
      </c>
      <c r="F136">
        <f>IFERROR(INDEX(PCIe104_PSU_E1N001PWR1!N:N,MATCH('По платам'!$B136,PCIe104_PSU_E1N001PWR1!L:L,0)),0)</f>
        <v>0</v>
      </c>
      <c r="G136">
        <f>IFERROR(INDEX(PCIe104_INF2_E1N006INF1!N:N,MATCH('По платам'!$B136,PCIe104_INF2_E1N006INF1!L:L,0)),0)</f>
        <v>0</v>
      </c>
      <c r="H136">
        <f>IFERROR(INDEX(PCIe104_CON_E1N005INF1!N:N,MATCH('По платам'!$B136,PCIe104_CON_E1N005INF1!L:L,0)),0)</f>
        <v>0</v>
      </c>
      <c r="I136">
        <f>IFERROR(INDEX('EM-PCIE104-CPU_E1E001CPU1E'!N:N,MATCH('По платам'!$B136,'EM-PCIE104-CPU_E1E001CPU1E'!L:L,0)),0)</f>
        <v>0</v>
      </c>
      <c r="J136">
        <f>IFERROR(INDEX(PCIe104_INF_E1N001INF1!N:N,MATCH('По платам'!$B136,PCIe104_INF_E1N001INF1!L:L,0)),0)</f>
        <v>0</v>
      </c>
      <c r="K136">
        <f>IFERROR(INDEX(IB_2RS232_E1N002INF1!N:N,MATCH('По платам'!$B136,IB_2RS232_E1N002INF1!L:L,0)),0)</f>
        <v>0</v>
      </c>
      <c r="L136">
        <f>IFERROR(INDEX(IB_2CAN_E1N003INF1!N:N,MATCH('По платам'!$B136,IB_2CAN_E1N003INF1!L:L,0)),0)</f>
        <v>0</v>
      </c>
    </row>
    <row r="137" spans="2:12">
      <c r="B137" s="3" t="s">
        <v>2001</v>
      </c>
      <c r="C137">
        <f>IFERROR(INDEX('C2B004CPU2'!N:N,MATCH('По платам'!B137,'C2B004CPU2'!L:L,0)),0)</f>
        <v>0</v>
      </c>
      <c r="D137">
        <f>IFERROR(INDEX(SBC_DIO_E1N004INF1!N:N,MATCH('По платам'!$B137,SBC_DIO_E1N004INF1!L:L,0)),0)</f>
        <v>0</v>
      </c>
      <c r="E137">
        <f>IFERROR(INDEX(SBC_35_2C3_1_E1E001CPU1E!N:N,MATCH('По платам'!$B137,SBC_35_2C3_1_E1E001CPU1E!L:L,0)),0)</f>
        <v>1</v>
      </c>
      <c r="F137">
        <f>IFERROR(INDEX(PCIe104_PSU_E1N001PWR1!N:N,MATCH('По платам'!$B137,PCIe104_PSU_E1N001PWR1!L:L,0)),0)</f>
        <v>0</v>
      </c>
      <c r="G137">
        <f>IFERROR(INDEX(PCIe104_INF2_E1N006INF1!N:N,MATCH('По платам'!$B137,PCIe104_INF2_E1N006INF1!L:L,0)),0)</f>
        <v>0</v>
      </c>
      <c r="H137">
        <f>IFERROR(INDEX(PCIe104_CON_E1N005INF1!N:N,MATCH('По платам'!$B137,PCIe104_CON_E1N005INF1!L:L,0)),0)</f>
        <v>0</v>
      </c>
      <c r="I137">
        <f>IFERROR(INDEX('EM-PCIE104-CPU_E1E001CPU1E'!N:N,MATCH('По платам'!$B137,'EM-PCIE104-CPU_E1E001CPU1E'!L:L,0)),0)</f>
        <v>0</v>
      </c>
      <c r="J137">
        <f>IFERROR(INDEX(PCIe104_INF_E1N001INF1!N:N,MATCH('По платам'!$B137,PCIe104_INF_E1N001INF1!L:L,0)),0)</f>
        <v>0</v>
      </c>
      <c r="K137">
        <f>IFERROR(INDEX(IB_2RS232_E1N002INF1!N:N,MATCH('По платам'!$B137,IB_2RS232_E1N002INF1!L:L,0)),0)</f>
        <v>0</v>
      </c>
      <c r="L137">
        <f>IFERROR(INDEX(IB_2CAN_E1N003INF1!N:N,MATCH('По платам'!$B137,IB_2CAN_E1N003INF1!L:L,0)),0)</f>
        <v>0</v>
      </c>
    </row>
    <row r="138" spans="2:12">
      <c r="B138" s="3" t="s">
        <v>1978</v>
      </c>
      <c r="C138">
        <f>IFERROR(INDEX('C2B004CPU2'!N:N,MATCH('По платам'!B138,'C2B004CPU2'!L:L,0)),0)</f>
        <v>0</v>
      </c>
      <c r="D138">
        <f>IFERROR(INDEX(SBC_DIO_E1N004INF1!N:N,MATCH('По платам'!$B138,SBC_DIO_E1N004INF1!L:L,0)),0)</f>
        <v>0</v>
      </c>
      <c r="E138">
        <f>IFERROR(INDEX(SBC_35_2C3_1_E1E001CPU1E!N:N,MATCH('По платам'!$B138,SBC_35_2C3_1_E1E001CPU1E!L:L,0)),0)</f>
        <v>2</v>
      </c>
      <c r="F138">
        <f>IFERROR(INDEX(PCIe104_PSU_E1N001PWR1!N:N,MATCH('По платам'!$B138,PCIe104_PSU_E1N001PWR1!L:L,0)),0)</f>
        <v>0</v>
      </c>
      <c r="G138">
        <f>IFERROR(INDEX(PCIe104_INF2_E1N006INF1!N:N,MATCH('По платам'!$B138,PCIe104_INF2_E1N006INF1!L:L,0)),0)</f>
        <v>0</v>
      </c>
      <c r="H138">
        <f>IFERROR(INDEX(PCIe104_CON_E1N005INF1!N:N,MATCH('По платам'!$B138,PCIe104_CON_E1N005INF1!L:L,0)),0)</f>
        <v>0</v>
      </c>
      <c r="I138">
        <f>IFERROR(INDEX('EM-PCIE104-CPU_E1E001CPU1E'!N:N,MATCH('По платам'!$B138,'EM-PCIE104-CPU_E1E001CPU1E'!L:L,0)),0)</f>
        <v>0</v>
      </c>
      <c r="J138">
        <f>IFERROR(INDEX(PCIe104_INF_E1N001INF1!N:N,MATCH('По платам'!$B138,PCIe104_INF_E1N001INF1!L:L,0)),0)</f>
        <v>0</v>
      </c>
      <c r="K138">
        <f>IFERROR(INDEX(IB_2RS232_E1N002INF1!N:N,MATCH('По платам'!$B138,IB_2RS232_E1N002INF1!L:L,0)),0)</f>
        <v>0</v>
      </c>
      <c r="L138">
        <f>IFERROR(INDEX(IB_2CAN_E1N003INF1!N:N,MATCH('По платам'!$B138,IB_2CAN_E1N003INF1!L:L,0)),0)</f>
        <v>0</v>
      </c>
    </row>
    <row r="139" spans="2:12">
      <c r="B139" s="3" t="s">
        <v>1990</v>
      </c>
      <c r="C139">
        <f>IFERROR(INDEX('C2B004CPU2'!N:N,MATCH('По платам'!B139,'C2B004CPU2'!L:L,0)),0)</f>
        <v>0</v>
      </c>
      <c r="D139">
        <f>IFERROR(INDEX(SBC_DIO_E1N004INF1!N:N,MATCH('По платам'!$B139,SBC_DIO_E1N004INF1!L:L,0)),0)</f>
        <v>0</v>
      </c>
      <c r="E139">
        <f>IFERROR(INDEX(SBC_35_2C3_1_E1E001CPU1E!N:N,MATCH('По платам'!$B139,SBC_35_2C3_1_E1E001CPU1E!L:L,0)),0)</f>
        <v>1</v>
      </c>
      <c r="F139">
        <f>IFERROR(INDEX(PCIe104_PSU_E1N001PWR1!N:N,MATCH('По платам'!$B139,PCIe104_PSU_E1N001PWR1!L:L,0)),0)</f>
        <v>0</v>
      </c>
      <c r="G139">
        <f>IFERROR(INDEX(PCIe104_INF2_E1N006INF1!N:N,MATCH('По платам'!$B139,PCIe104_INF2_E1N006INF1!L:L,0)),0)</f>
        <v>0</v>
      </c>
      <c r="H139">
        <f>IFERROR(INDEX(PCIe104_CON_E1N005INF1!N:N,MATCH('По платам'!$B139,PCIe104_CON_E1N005INF1!L:L,0)),0)</f>
        <v>0</v>
      </c>
      <c r="I139">
        <f>IFERROR(INDEX('EM-PCIE104-CPU_E1E001CPU1E'!N:N,MATCH('По платам'!$B139,'EM-PCIE104-CPU_E1E001CPU1E'!L:L,0)),0)</f>
        <v>0</v>
      </c>
      <c r="J139">
        <f>IFERROR(INDEX(PCIe104_INF_E1N001INF1!N:N,MATCH('По платам'!$B139,PCIe104_INF_E1N001INF1!L:L,0)),0)</f>
        <v>0</v>
      </c>
      <c r="K139">
        <f>IFERROR(INDEX(IB_2RS232_E1N002INF1!N:N,MATCH('По платам'!$B139,IB_2RS232_E1N002INF1!L:L,0)),0)</f>
        <v>0</v>
      </c>
      <c r="L139">
        <f>IFERROR(INDEX(IB_2CAN_E1N003INF1!N:N,MATCH('По платам'!$B139,IB_2CAN_E1N003INF1!L:L,0)),0)</f>
        <v>0</v>
      </c>
    </row>
    <row r="140" spans="2:12">
      <c r="B140" s="3" t="s">
        <v>515</v>
      </c>
      <c r="C140">
        <f>IFERROR(INDEX('C2B004CPU2'!N:N,MATCH('По платам'!B140,'C2B004CPU2'!L:L,0)),0)</f>
        <v>0</v>
      </c>
      <c r="D140">
        <f>IFERROR(INDEX(SBC_DIO_E1N004INF1!N:N,MATCH('По платам'!$B140,SBC_DIO_E1N004INF1!L:L,0)),0)</f>
        <v>0</v>
      </c>
      <c r="E140">
        <f>IFERROR(INDEX(SBC_35_2C3_1_E1E001CPU1E!N:N,MATCH('По платам'!$B140,SBC_35_2C3_1_E1E001CPU1E!L:L,0)),0)</f>
        <v>0</v>
      </c>
      <c r="F140">
        <f>IFERROR(INDEX(PCIe104_PSU_E1N001PWR1!N:N,MATCH('По платам'!$B140,PCIe104_PSU_E1N001PWR1!L:L,0)),0)</f>
        <v>0</v>
      </c>
      <c r="G140">
        <f>IFERROR(INDEX(PCIe104_INF2_E1N006INF1!N:N,MATCH('По платам'!$B140,PCIe104_INF2_E1N006INF1!L:L,0)),0)</f>
        <v>0</v>
      </c>
      <c r="H140">
        <f>IFERROR(INDEX(PCIe104_CON_E1N005INF1!N:N,MATCH('По платам'!$B140,PCIe104_CON_E1N005INF1!L:L,0)),0)</f>
        <v>0</v>
      </c>
      <c r="I140">
        <f>IFERROR(INDEX('EM-PCIE104-CPU_E1E001CPU1E'!N:N,MATCH('По платам'!$B140,'EM-PCIE104-CPU_E1E001CPU1E'!L:L,0)),0)</f>
        <v>1</v>
      </c>
      <c r="J140">
        <f>IFERROR(INDEX(PCIe104_INF_E1N001INF1!N:N,MATCH('По платам'!$B140,PCIe104_INF_E1N001INF1!L:L,0)),0)</f>
        <v>1</v>
      </c>
      <c r="K140">
        <f>IFERROR(INDEX(IB_2RS232_E1N002INF1!N:N,MATCH('По платам'!$B140,IB_2RS232_E1N002INF1!L:L,0)),0)</f>
        <v>0</v>
      </c>
      <c r="L140">
        <f>IFERROR(INDEX(IB_2CAN_E1N003INF1!N:N,MATCH('По платам'!$B140,IB_2CAN_E1N003INF1!L:L,0)),0)</f>
        <v>0</v>
      </c>
    </row>
    <row r="141" spans="2:12">
      <c r="B141" s="3" t="s">
        <v>530</v>
      </c>
      <c r="C141">
        <f>IFERROR(INDEX('C2B004CPU2'!N:N,MATCH('По платам'!B141,'C2B004CPU2'!L:L,0)),0)</f>
        <v>0</v>
      </c>
      <c r="D141">
        <f>IFERROR(INDEX(SBC_DIO_E1N004INF1!N:N,MATCH('По платам'!$B141,SBC_DIO_E1N004INF1!L:L,0)),0)</f>
        <v>0</v>
      </c>
      <c r="E141">
        <f>IFERROR(INDEX(SBC_35_2C3_1_E1E001CPU1E!N:N,MATCH('По платам'!$B141,SBC_35_2C3_1_E1E001CPU1E!L:L,0)),0)</f>
        <v>0</v>
      </c>
      <c r="F141">
        <f>IFERROR(INDEX(PCIe104_PSU_E1N001PWR1!N:N,MATCH('По платам'!$B141,PCIe104_PSU_E1N001PWR1!L:L,0)),0)</f>
        <v>0</v>
      </c>
      <c r="G141">
        <f>IFERROR(INDEX(PCIe104_INF2_E1N006INF1!N:N,MATCH('По платам'!$B141,PCIe104_INF2_E1N006INF1!L:L,0)),0)</f>
        <v>0</v>
      </c>
      <c r="H141">
        <f>IFERROR(INDEX(PCIe104_CON_E1N005INF1!N:N,MATCH('По платам'!$B141,PCIe104_CON_E1N005INF1!L:L,0)),0)</f>
        <v>0</v>
      </c>
      <c r="I141">
        <f>IFERROR(INDEX('EM-PCIE104-CPU_E1E001CPU1E'!N:N,MATCH('По платам'!$B141,'EM-PCIE104-CPU_E1E001CPU1E'!L:L,0)),0)</f>
        <v>0</v>
      </c>
      <c r="J141">
        <f>IFERROR(INDEX(PCIe104_INF_E1N001INF1!N:N,MATCH('По платам'!$B141,PCIe104_INF_E1N001INF1!L:L,0)),0)</f>
        <v>2</v>
      </c>
      <c r="K141">
        <f>IFERROR(INDEX(IB_2RS232_E1N002INF1!N:N,MATCH('По платам'!$B141,IB_2RS232_E1N002INF1!L:L,0)),0)</f>
        <v>0</v>
      </c>
      <c r="L141">
        <f>IFERROR(INDEX(IB_2CAN_E1N003INF1!N:N,MATCH('По платам'!$B141,IB_2CAN_E1N003INF1!L:L,0)),0)</f>
        <v>0</v>
      </c>
    </row>
    <row r="142" spans="2:12">
      <c r="B142" s="3" t="s">
        <v>1223</v>
      </c>
      <c r="C142">
        <f>IFERROR(INDEX('C2B004CPU2'!N:N,MATCH('По платам'!B142,'C2B004CPU2'!L:L,0)),0)</f>
        <v>0</v>
      </c>
      <c r="D142">
        <f>IFERROR(INDEX(SBC_DIO_E1N004INF1!N:N,MATCH('По платам'!$B142,SBC_DIO_E1N004INF1!L:L,0)),0)</f>
        <v>0</v>
      </c>
      <c r="E142">
        <f>IFERROR(INDEX(SBC_35_2C3_1_E1E001CPU1E!N:N,MATCH('По платам'!$B142,SBC_35_2C3_1_E1E001CPU1E!L:L,0)),0)</f>
        <v>0</v>
      </c>
      <c r="F142">
        <f>IFERROR(INDEX(PCIe104_PSU_E1N001PWR1!N:N,MATCH('По платам'!$B142,PCIe104_PSU_E1N001PWR1!L:L,0)),0)</f>
        <v>0</v>
      </c>
      <c r="G142">
        <f>IFERROR(INDEX(PCIe104_INF2_E1N006INF1!N:N,MATCH('По платам'!$B142,PCIe104_INF2_E1N006INF1!L:L,0)),0)</f>
        <v>0</v>
      </c>
      <c r="H142">
        <f>IFERROR(INDEX(PCIe104_CON_E1N005INF1!N:N,MATCH('По платам'!$B142,PCIe104_CON_E1N005INF1!L:L,0)),0)</f>
        <v>2</v>
      </c>
      <c r="I142">
        <f>IFERROR(INDEX('EM-PCIE104-CPU_E1E001CPU1E'!N:N,MATCH('По платам'!$B142,'EM-PCIE104-CPU_E1E001CPU1E'!L:L,0)),0)</f>
        <v>0</v>
      </c>
      <c r="J142">
        <f>IFERROR(INDEX(PCIe104_INF_E1N001INF1!N:N,MATCH('По платам'!$B142,PCIe104_INF_E1N001INF1!L:L,0)),0)</f>
        <v>0</v>
      </c>
      <c r="K142">
        <f>IFERROR(INDEX(IB_2RS232_E1N002INF1!N:N,MATCH('По платам'!$B142,IB_2RS232_E1N002INF1!L:L,0)),0)</f>
        <v>0</v>
      </c>
      <c r="L142">
        <f>IFERROR(INDEX(IB_2CAN_E1N003INF1!N:N,MATCH('По платам'!$B142,IB_2CAN_E1N003INF1!L:L,0)),0)</f>
        <v>0</v>
      </c>
    </row>
    <row r="143" spans="2:12">
      <c r="B143" s="3" t="s">
        <v>1066</v>
      </c>
      <c r="C143">
        <f>IFERROR(INDEX('C2B004CPU2'!N:N,MATCH('По платам'!B143,'C2B004CPU2'!L:L,0)),0)</f>
        <v>0</v>
      </c>
      <c r="D143">
        <f>IFERROR(INDEX(SBC_DIO_E1N004INF1!N:N,MATCH('По платам'!$B143,SBC_DIO_E1N004INF1!L:L,0)),0)</f>
        <v>0</v>
      </c>
      <c r="E143">
        <f>IFERROR(INDEX(SBC_35_2C3_1_E1E001CPU1E!N:N,MATCH('По платам'!$B143,SBC_35_2C3_1_E1E001CPU1E!L:L,0)),0)</f>
        <v>1</v>
      </c>
      <c r="F143">
        <f>IFERROR(INDEX(PCIe104_PSU_E1N001PWR1!N:N,MATCH('По платам'!$B143,PCIe104_PSU_E1N001PWR1!L:L,0)),0)</f>
        <v>0</v>
      </c>
      <c r="G143">
        <f>IFERROR(INDEX(PCIe104_INF2_E1N006INF1!N:N,MATCH('По платам'!$B143,PCIe104_INF2_E1N006INF1!L:L,0)),0)</f>
        <v>0</v>
      </c>
      <c r="H143">
        <f>IFERROR(INDEX(PCIe104_CON_E1N005INF1!N:N,MATCH('По платам'!$B143,PCIe104_CON_E1N005INF1!L:L,0)),0)</f>
        <v>0</v>
      </c>
      <c r="I143">
        <f>IFERROR(INDEX('EM-PCIE104-CPU_E1E001CPU1E'!N:N,MATCH('По платам'!$B143,'EM-PCIE104-CPU_E1E001CPU1E'!L:L,0)),0)</f>
        <v>1</v>
      </c>
      <c r="J143">
        <f>IFERROR(INDEX(PCIe104_INF_E1N001INF1!N:N,MATCH('По платам'!$B143,PCIe104_INF_E1N001INF1!L:L,0)),0)</f>
        <v>0</v>
      </c>
      <c r="K143">
        <f>IFERROR(INDEX(IB_2RS232_E1N002INF1!N:N,MATCH('По платам'!$B143,IB_2RS232_E1N002INF1!L:L,0)),0)</f>
        <v>0</v>
      </c>
      <c r="L143">
        <f>IFERROR(INDEX(IB_2CAN_E1N003INF1!N:N,MATCH('По платам'!$B143,IB_2CAN_E1N003INF1!L:L,0)),0)</f>
        <v>0</v>
      </c>
    </row>
    <row r="144" spans="2:12">
      <c r="B144" s="3" t="s">
        <v>2038</v>
      </c>
      <c r="C144">
        <f>IFERROR(INDEX('C2B004CPU2'!N:N,MATCH('По платам'!B144,'C2B004CPU2'!L:L,0)),0)</f>
        <v>0</v>
      </c>
      <c r="D144">
        <f>IFERROR(INDEX(SBC_DIO_E1N004INF1!N:N,MATCH('По платам'!$B144,SBC_DIO_E1N004INF1!L:L,0)),0)</f>
        <v>0</v>
      </c>
      <c r="E144">
        <f>IFERROR(INDEX(SBC_35_2C3_1_E1E001CPU1E!N:N,MATCH('По платам'!$B144,SBC_35_2C3_1_E1E001CPU1E!L:L,0)),0)</f>
        <v>2</v>
      </c>
      <c r="F144">
        <f>IFERROR(INDEX(PCIe104_PSU_E1N001PWR1!N:N,MATCH('По платам'!$B144,PCIe104_PSU_E1N001PWR1!L:L,0)),0)</f>
        <v>0</v>
      </c>
      <c r="G144">
        <f>IFERROR(INDEX(PCIe104_INF2_E1N006INF1!N:N,MATCH('По платам'!$B144,PCIe104_INF2_E1N006INF1!L:L,0)),0)</f>
        <v>0</v>
      </c>
      <c r="H144">
        <f>IFERROR(INDEX(PCIe104_CON_E1N005INF1!N:N,MATCH('По платам'!$B144,PCIe104_CON_E1N005INF1!L:L,0)),0)</f>
        <v>0</v>
      </c>
      <c r="I144">
        <f>IFERROR(INDEX('EM-PCIE104-CPU_E1E001CPU1E'!N:N,MATCH('По платам'!$B144,'EM-PCIE104-CPU_E1E001CPU1E'!L:L,0)),0)</f>
        <v>0</v>
      </c>
      <c r="J144">
        <f>IFERROR(INDEX(PCIe104_INF_E1N001INF1!N:N,MATCH('По платам'!$B144,PCIe104_INF_E1N001INF1!L:L,0)),0)</f>
        <v>0</v>
      </c>
      <c r="K144">
        <f>IFERROR(INDEX(IB_2RS232_E1N002INF1!N:N,MATCH('По платам'!$B144,IB_2RS232_E1N002INF1!L:L,0)),0)</f>
        <v>0</v>
      </c>
      <c r="L144">
        <f>IFERROR(INDEX(IB_2CAN_E1N003INF1!N:N,MATCH('По платам'!$B144,IB_2CAN_E1N003INF1!L:L,0)),0)</f>
        <v>0</v>
      </c>
    </row>
    <row r="145" spans="2:12">
      <c r="B145" s="3" t="s">
        <v>1986</v>
      </c>
      <c r="C145">
        <f>IFERROR(INDEX('C2B004CPU2'!N:N,MATCH('По платам'!B145,'C2B004CPU2'!L:L,0)),0)</f>
        <v>0</v>
      </c>
      <c r="D145">
        <f>IFERROR(INDEX(SBC_DIO_E1N004INF1!N:N,MATCH('По платам'!$B145,SBC_DIO_E1N004INF1!L:L,0)),0)</f>
        <v>0</v>
      </c>
      <c r="E145">
        <f>IFERROR(INDEX(SBC_35_2C3_1_E1E001CPU1E!N:N,MATCH('По платам'!$B145,SBC_35_2C3_1_E1E001CPU1E!L:L,0)),0)</f>
        <v>2</v>
      </c>
      <c r="F145">
        <f>IFERROR(INDEX(PCIe104_PSU_E1N001PWR1!N:N,MATCH('По платам'!$B145,PCIe104_PSU_E1N001PWR1!L:L,0)),0)</f>
        <v>0</v>
      </c>
      <c r="G145">
        <f>IFERROR(INDEX(PCIe104_INF2_E1N006INF1!N:N,MATCH('По платам'!$B145,PCIe104_INF2_E1N006INF1!L:L,0)),0)</f>
        <v>0</v>
      </c>
      <c r="H145">
        <f>IFERROR(INDEX(PCIe104_CON_E1N005INF1!N:N,MATCH('По платам'!$B145,PCIe104_CON_E1N005INF1!L:L,0)),0)</f>
        <v>0</v>
      </c>
      <c r="I145">
        <f>IFERROR(INDEX('EM-PCIE104-CPU_E1E001CPU1E'!N:N,MATCH('По платам'!$B145,'EM-PCIE104-CPU_E1E001CPU1E'!L:L,0)),0)</f>
        <v>0</v>
      </c>
      <c r="J145">
        <f>IFERROR(INDEX(PCIe104_INF_E1N001INF1!N:N,MATCH('По платам'!$B145,PCIe104_INF_E1N001INF1!L:L,0)),0)</f>
        <v>0</v>
      </c>
      <c r="K145">
        <f>IFERROR(INDEX(IB_2RS232_E1N002INF1!N:N,MATCH('По платам'!$B145,IB_2RS232_E1N002INF1!L:L,0)),0)</f>
        <v>0</v>
      </c>
      <c r="L145">
        <f>IFERROR(INDEX(IB_2CAN_E1N003INF1!N:N,MATCH('По платам'!$B145,IB_2CAN_E1N003INF1!L:L,0)),0)</f>
        <v>0</v>
      </c>
    </row>
    <row r="146" spans="2:12">
      <c r="B146" s="3" t="s">
        <v>134</v>
      </c>
      <c r="C146">
        <f>IFERROR(INDEX('C2B004CPU2'!N:N,MATCH('По платам'!B146,'C2B004CPU2'!L:L,0)),0)</f>
        <v>0</v>
      </c>
      <c r="D146">
        <f>IFERROR(INDEX(SBC_DIO_E1N004INF1!N:N,MATCH('По платам'!$B146,SBC_DIO_E1N004INF1!L:L,0)),0)</f>
        <v>0</v>
      </c>
      <c r="E146">
        <f>IFERROR(INDEX(SBC_35_2C3_1_E1E001CPU1E!N:N,MATCH('По платам'!$B146,SBC_35_2C3_1_E1E001CPU1E!L:L,0)),0)</f>
        <v>2</v>
      </c>
      <c r="F146">
        <f>IFERROR(INDEX(PCIe104_PSU_E1N001PWR1!N:N,MATCH('По платам'!$B146,PCIe104_PSU_E1N001PWR1!L:L,0)),0)</f>
        <v>0</v>
      </c>
      <c r="G146">
        <f>IFERROR(INDEX(PCIe104_INF2_E1N006INF1!N:N,MATCH('По платам'!$B146,PCIe104_INF2_E1N006INF1!L:L,0)),0)</f>
        <v>0</v>
      </c>
      <c r="H146">
        <f>IFERROR(INDEX(PCIe104_CON_E1N005INF1!N:N,MATCH('По платам'!$B146,PCIe104_CON_E1N005INF1!L:L,0)),0)</f>
        <v>0</v>
      </c>
      <c r="I146">
        <f>IFERROR(INDEX('EM-PCIE104-CPU_E1E001CPU1E'!N:N,MATCH('По платам'!$B146,'EM-PCIE104-CPU_E1E001CPU1E'!L:L,0)),0)</f>
        <v>0</v>
      </c>
      <c r="J146">
        <f>IFERROR(INDEX(PCIe104_INF_E1N001INF1!N:N,MATCH('По платам'!$B146,PCIe104_INF_E1N001INF1!L:L,0)),0)</f>
        <v>0</v>
      </c>
      <c r="K146">
        <f>IFERROR(INDEX(IB_2RS232_E1N002INF1!N:N,MATCH('По платам'!$B146,IB_2RS232_E1N002INF1!L:L,0)),0)</f>
        <v>4</v>
      </c>
      <c r="L146">
        <f>IFERROR(INDEX(IB_2CAN_E1N003INF1!N:N,MATCH('По платам'!$B146,IB_2CAN_E1N003INF1!L:L,0)),0)</f>
        <v>3</v>
      </c>
    </row>
    <row r="147" spans="2:12">
      <c r="B147" s="3" t="s">
        <v>2034</v>
      </c>
      <c r="C147">
        <f>IFERROR(INDEX('C2B004CPU2'!N:N,MATCH('По платам'!B147,'C2B004CPU2'!L:L,0)),0)</f>
        <v>0</v>
      </c>
      <c r="D147">
        <f>IFERROR(INDEX(SBC_DIO_E1N004INF1!N:N,MATCH('По платам'!$B147,SBC_DIO_E1N004INF1!L:L,0)),0)</f>
        <v>0</v>
      </c>
      <c r="E147">
        <f>IFERROR(INDEX(SBC_35_2C3_1_E1E001CPU1E!N:N,MATCH('По платам'!$B147,SBC_35_2C3_1_E1E001CPU1E!L:L,0)),0)</f>
        <v>1</v>
      </c>
      <c r="F147">
        <f>IFERROR(INDEX(PCIe104_PSU_E1N001PWR1!N:N,MATCH('По платам'!$B147,PCIe104_PSU_E1N001PWR1!L:L,0)),0)</f>
        <v>0</v>
      </c>
      <c r="G147">
        <f>IFERROR(INDEX(PCIe104_INF2_E1N006INF1!N:N,MATCH('По платам'!$B147,PCIe104_INF2_E1N006INF1!L:L,0)),0)</f>
        <v>0</v>
      </c>
      <c r="H147">
        <f>IFERROR(INDEX(PCIe104_CON_E1N005INF1!N:N,MATCH('По платам'!$B147,PCIe104_CON_E1N005INF1!L:L,0)),0)</f>
        <v>0</v>
      </c>
      <c r="I147">
        <f>IFERROR(INDEX('EM-PCIE104-CPU_E1E001CPU1E'!N:N,MATCH('По платам'!$B147,'EM-PCIE104-CPU_E1E001CPU1E'!L:L,0)),0)</f>
        <v>0</v>
      </c>
      <c r="J147">
        <f>IFERROR(INDEX(PCIe104_INF_E1N001INF1!N:N,MATCH('По платам'!$B147,PCIe104_INF_E1N001INF1!L:L,0)),0)</f>
        <v>0</v>
      </c>
      <c r="K147">
        <f>IFERROR(INDEX(IB_2RS232_E1N002INF1!N:N,MATCH('По платам'!$B147,IB_2RS232_E1N002INF1!L:L,0)),0)</f>
        <v>0</v>
      </c>
      <c r="L147">
        <f>IFERROR(INDEX(IB_2CAN_E1N003INF1!N:N,MATCH('По платам'!$B147,IB_2CAN_E1N003INF1!L:L,0)),0)</f>
        <v>0</v>
      </c>
    </row>
    <row r="148" spans="2:12">
      <c r="B148" s="3" t="s">
        <v>1084</v>
      </c>
      <c r="C148">
        <f>IFERROR(INDEX('C2B004CPU2'!N:N,MATCH('По платам'!B148,'C2B004CPU2'!L:L,0)),0)</f>
        <v>0</v>
      </c>
      <c r="D148">
        <f>IFERROR(INDEX(SBC_DIO_E1N004INF1!N:N,MATCH('По платам'!$B148,SBC_DIO_E1N004INF1!L:L,0)),0)</f>
        <v>0</v>
      </c>
      <c r="E148">
        <f>IFERROR(INDEX(SBC_35_2C3_1_E1E001CPU1E!N:N,MATCH('По платам'!$B148,SBC_35_2C3_1_E1E001CPU1E!L:L,0)),0)</f>
        <v>0</v>
      </c>
      <c r="F148">
        <f>IFERROR(INDEX(PCIe104_PSU_E1N001PWR1!N:N,MATCH('По платам'!$B148,PCIe104_PSU_E1N001PWR1!L:L,0)),0)</f>
        <v>1</v>
      </c>
      <c r="G148">
        <f>IFERROR(INDEX(PCIe104_INF2_E1N006INF1!N:N,MATCH('По платам'!$B148,PCIe104_INF2_E1N006INF1!L:L,0)),0)</f>
        <v>0</v>
      </c>
      <c r="H148">
        <f>IFERROR(INDEX(PCIe104_CON_E1N005INF1!N:N,MATCH('По платам'!$B148,PCIe104_CON_E1N005INF1!L:L,0)),0)</f>
        <v>0</v>
      </c>
      <c r="I148">
        <f>IFERROR(INDEX('EM-PCIE104-CPU_E1E001CPU1E'!N:N,MATCH('По платам'!$B148,'EM-PCIE104-CPU_E1E001CPU1E'!L:L,0)),0)</f>
        <v>1</v>
      </c>
      <c r="J148">
        <f>IFERROR(INDEX(PCIe104_INF_E1N001INF1!N:N,MATCH('По платам'!$B148,PCIe104_INF_E1N001INF1!L:L,0)),0)</f>
        <v>0</v>
      </c>
      <c r="K148">
        <f>IFERROR(INDEX(IB_2RS232_E1N002INF1!N:N,MATCH('По платам'!$B148,IB_2RS232_E1N002INF1!L:L,0)),0)</f>
        <v>0</v>
      </c>
      <c r="L148">
        <f>IFERROR(INDEX(IB_2CAN_E1N003INF1!N:N,MATCH('По платам'!$B148,IB_2CAN_E1N003INF1!L:L,0)),0)</f>
        <v>0</v>
      </c>
    </row>
    <row r="149" spans="2:12">
      <c r="B149" s="3" t="s">
        <v>1229</v>
      </c>
      <c r="C149">
        <f>IFERROR(INDEX('C2B004CPU2'!N:N,MATCH('По платам'!B149,'C2B004CPU2'!L:L,0)),0)</f>
        <v>0</v>
      </c>
      <c r="D149">
        <f>IFERROR(INDEX(SBC_DIO_E1N004INF1!N:N,MATCH('По платам'!$B149,SBC_DIO_E1N004INF1!L:L,0)),0)</f>
        <v>0</v>
      </c>
      <c r="E149">
        <f>IFERROR(INDEX(SBC_35_2C3_1_E1E001CPU1E!N:N,MATCH('По платам'!$B149,SBC_35_2C3_1_E1E001CPU1E!L:L,0)),0)</f>
        <v>3</v>
      </c>
      <c r="F149">
        <f>IFERROR(INDEX(PCIe104_PSU_E1N001PWR1!N:N,MATCH('По платам'!$B149,PCIe104_PSU_E1N001PWR1!L:L,0)),0)</f>
        <v>0</v>
      </c>
      <c r="G149">
        <f>IFERROR(INDEX(PCIe104_INF2_E1N006INF1!N:N,MATCH('По платам'!$B149,PCIe104_INF2_E1N006INF1!L:L,0)),0)</f>
        <v>0</v>
      </c>
      <c r="H149">
        <f>IFERROR(INDEX(PCIe104_CON_E1N005INF1!N:N,MATCH('По платам'!$B149,PCIe104_CON_E1N005INF1!L:L,0)),0)</f>
        <v>5</v>
      </c>
      <c r="I149">
        <f>IFERROR(INDEX('EM-PCIE104-CPU_E1E001CPU1E'!N:N,MATCH('По платам'!$B149,'EM-PCIE104-CPU_E1E001CPU1E'!L:L,0)),0)</f>
        <v>0</v>
      </c>
      <c r="J149">
        <f>IFERROR(INDEX(PCIe104_INF_E1N001INF1!N:N,MATCH('По платам'!$B149,PCIe104_INF_E1N001INF1!L:L,0)),0)</f>
        <v>0</v>
      </c>
      <c r="K149">
        <f>IFERROR(INDEX(IB_2RS232_E1N002INF1!N:N,MATCH('По платам'!$B149,IB_2RS232_E1N002INF1!L:L,0)),0)</f>
        <v>0</v>
      </c>
      <c r="L149">
        <f>IFERROR(INDEX(IB_2CAN_E1N003INF1!N:N,MATCH('По платам'!$B149,IB_2CAN_E1N003INF1!L:L,0)),0)</f>
        <v>0</v>
      </c>
    </row>
    <row r="150" spans="2:12">
      <c r="B150" s="3" t="s">
        <v>1088</v>
      </c>
      <c r="C150">
        <f>IFERROR(INDEX('C2B004CPU2'!N:N,MATCH('По платам'!B150,'C2B004CPU2'!L:L,0)),0)</f>
        <v>0</v>
      </c>
      <c r="D150">
        <f>IFERROR(INDEX(SBC_DIO_E1N004INF1!N:N,MATCH('По платам'!$B150,SBC_DIO_E1N004INF1!L:L,0)),0)</f>
        <v>0</v>
      </c>
      <c r="E150">
        <f>IFERROR(INDEX(SBC_35_2C3_1_E1E001CPU1E!N:N,MATCH('По платам'!$B150,SBC_35_2C3_1_E1E001CPU1E!L:L,0)),0)</f>
        <v>0</v>
      </c>
      <c r="F150">
        <f>IFERROR(INDEX(PCIe104_PSU_E1N001PWR1!N:N,MATCH('По платам'!$B150,PCIe104_PSU_E1N001PWR1!L:L,0)),0)</f>
        <v>0</v>
      </c>
      <c r="G150">
        <f>IFERROR(INDEX(PCIe104_INF2_E1N006INF1!N:N,MATCH('По платам'!$B150,PCIe104_INF2_E1N006INF1!L:L,0)),0)</f>
        <v>0</v>
      </c>
      <c r="H150">
        <f>IFERROR(INDEX(PCIe104_CON_E1N005INF1!N:N,MATCH('По платам'!$B150,PCIe104_CON_E1N005INF1!L:L,0)),0)</f>
        <v>0</v>
      </c>
      <c r="I150">
        <f>IFERROR(INDEX('EM-PCIE104-CPU_E1E001CPU1E'!N:N,MATCH('По платам'!$B150,'EM-PCIE104-CPU_E1E001CPU1E'!L:L,0)),0)</f>
        <v>1</v>
      </c>
      <c r="J150">
        <f>IFERROR(INDEX(PCIe104_INF_E1N001INF1!N:N,MATCH('По платам'!$B150,PCIe104_INF_E1N001INF1!L:L,0)),0)</f>
        <v>0</v>
      </c>
      <c r="K150">
        <f>IFERROR(INDEX(IB_2RS232_E1N002INF1!N:N,MATCH('По платам'!$B150,IB_2RS232_E1N002INF1!L:L,0)),0)</f>
        <v>0</v>
      </c>
      <c r="L150">
        <f>IFERROR(INDEX(IB_2CAN_E1N003INF1!N:N,MATCH('По платам'!$B150,IB_2CAN_E1N003INF1!L:L,0)),0)</f>
        <v>0</v>
      </c>
    </row>
    <row r="151" spans="2:12">
      <c r="B151" s="3" t="s">
        <v>1974</v>
      </c>
      <c r="C151">
        <f>IFERROR(INDEX('C2B004CPU2'!N:N,MATCH('По платам'!B151,'C2B004CPU2'!L:L,0)),0)</f>
        <v>0</v>
      </c>
      <c r="D151">
        <f>IFERROR(INDEX(SBC_DIO_E1N004INF1!N:N,MATCH('По платам'!$B151,SBC_DIO_E1N004INF1!L:L,0)),0)</f>
        <v>0</v>
      </c>
      <c r="E151">
        <f>IFERROR(INDEX(SBC_35_2C3_1_E1E001CPU1E!N:N,MATCH('По платам'!$B151,SBC_35_2C3_1_E1E001CPU1E!L:L,0)),0)</f>
        <v>2</v>
      </c>
      <c r="F151">
        <f>IFERROR(INDEX(PCIe104_PSU_E1N001PWR1!N:N,MATCH('По платам'!$B151,PCIe104_PSU_E1N001PWR1!L:L,0)),0)</f>
        <v>0</v>
      </c>
      <c r="G151">
        <f>IFERROR(INDEX(PCIe104_INF2_E1N006INF1!N:N,MATCH('По платам'!$B151,PCIe104_INF2_E1N006INF1!L:L,0)),0)</f>
        <v>0</v>
      </c>
      <c r="H151">
        <f>IFERROR(INDEX(PCIe104_CON_E1N005INF1!N:N,MATCH('По платам'!$B151,PCIe104_CON_E1N005INF1!L:L,0)),0)</f>
        <v>0</v>
      </c>
      <c r="I151">
        <f>IFERROR(INDEX('EM-PCIE104-CPU_E1E001CPU1E'!N:N,MATCH('По платам'!$B151,'EM-PCIE104-CPU_E1E001CPU1E'!L:L,0)),0)</f>
        <v>0</v>
      </c>
      <c r="J151">
        <f>IFERROR(INDEX(PCIe104_INF_E1N001INF1!N:N,MATCH('По платам'!$B151,PCIe104_INF_E1N001INF1!L:L,0)),0)</f>
        <v>0</v>
      </c>
      <c r="K151">
        <f>IFERROR(INDEX(IB_2RS232_E1N002INF1!N:N,MATCH('По платам'!$B151,IB_2RS232_E1N002INF1!L:L,0)),0)</f>
        <v>0</v>
      </c>
      <c r="L151">
        <f>IFERROR(INDEX(IB_2CAN_E1N003INF1!N:N,MATCH('По платам'!$B151,IB_2CAN_E1N003INF1!L:L,0)),0)</f>
        <v>0</v>
      </c>
    </row>
    <row r="152" spans="2:12">
      <c r="B152" s="3" t="s">
        <v>538</v>
      </c>
      <c r="C152">
        <f>IFERROR(INDEX('C2B004CPU2'!N:N,MATCH('По платам'!B152,'C2B004CPU2'!L:L,0)),0)</f>
        <v>0</v>
      </c>
      <c r="D152">
        <f>IFERROR(INDEX(SBC_DIO_E1N004INF1!N:N,MATCH('По платам'!$B152,SBC_DIO_E1N004INF1!L:L,0)),0)</f>
        <v>0</v>
      </c>
      <c r="E152">
        <f>IFERROR(INDEX(SBC_35_2C3_1_E1E001CPU1E!N:N,MATCH('По платам'!$B152,SBC_35_2C3_1_E1E001CPU1E!L:L,0)),0)</f>
        <v>0</v>
      </c>
      <c r="F152">
        <f>IFERROR(INDEX(PCIe104_PSU_E1N001PWR1!N:N,MATCH('По платам'!$B152,PCIe104_PSU_E1N001PWR1!L:L,0)),0)</f>
        <v>0</v>
      </c>
      <c r="G152">
        <f>IFERROR(INDEX(PCIe104_INF2_E1N006INF1!N:N,MATCH('По платам'!$B152,PCIe104_INF2_E1N006INF1!L:L,0)),0)</f>
        <v>0</v>
      </c>
      <c r="H152">
        <f>IFERROR(INDEX(PCIe104_CON_E1N005INF1!N:N,MATCH('По платам'!$B152,PCIe104_CON_E1N005INF1!L:L,0)),0)</f>
        <v>1</v>
      </c>
      <c r="I152">
        <f>IFERROR(INDEX('EM-PCIE104-CPU_E1E001CPU1E'!N:N,MATCH('По платам'!$B152,'EM-PCIE104-CPU_E1E001CPU1E'!L:L,0)),0)</f>
        <v>1</v>
      </c>
      <c r="J152">
        <f>IFERROR(INDEX(PCIe104_INF_E1N001INF1!N:N,MATCH('По платам'!$B152,PCIe104_INF_E1N001INF1!L:L,0)),0)</f>
        <v>1</v>
      </c>
      <c r="K152">
        <f>IFERROR(INDEX(IB_2RS232_E1N002INF1!N:N,MATCH('По платам'!$B152,IB_2RS232_E1N002INF1!L:L,0)),0)</f>
        <v>0</v>
      </c>
      <c r="L152">
        <f>IFERROR(INDEX(IB_2CAN_E1N003INF1!N:N,MATCH('По платам'!$B152,IB_2CAN_E1N003INF1!L:L,0)),0)</f>
        <v>0</v>
      </c>
    </row>
    <row r="153" spans="2:12">
      <c r="B153" s="3" t="s">
        <v>1077</v>
      </c>
      <c r="C153">
        <f>IFERROR(INDEX('C2B004CPU2'!N:N,MATCH('По платам'!B153,'C2B004CPU2'!L:L,0)),0)</f>
        <v>0</v>
      </c>
      <c r="D153">
        <f>IFERROR(INDEX(SBC_DIO_E1N004INF1!N:N,MATCH('По платам'!$B153,SBC_DIO_E1N004INF1!L:L,0)),0)</f>
        <v>1</v>
      </c>
      <c r="E153">
        <f>IFERROR(INDEX(SBC_35_2C3_1_E1E001CPU1E!N:N,MATCH('По платам'!$B153,SBC_35_2C3_1_E1E001CPU1E!L:L,0)),0)</f>
        <v>1</v>
      </c>
      <c r="F153">
        <f>IFERROR(INDEX(PCIe104_PSU_E1N001PWR1!N:N,MATCH('По платам'!$B153,PCIe104_PSU_E1N001PWR1!L:L,0)),0)</f>
        <v>1</v>
      </c>
      <c r="G153">
        <f>IFERROR(INDEX(PCIe104_INF2_E1N006INF1!N:N,MATCH('По платам'!$B153,PCIe104_INF2_E1N006INF1!L:L,0)),0)</f>
        <v>0</v>
      </c>
      <c r="H153">
        <f>IFERROR(INDEX(PCIe104_CON_E1N005INF1!N:N,MATCH('По платам'!$B153,PCIe104_CON_E1N005INF1!L:L,0)),0)</f>
        <v>1</v>
      </c>
      <c r="I153">
        <f>IFERROR(INDEX('EM-PCIE104-CPU_E1E001CPU1E'!N:N,MATCH('По платам'!$B153,'EM-PCIE104-CPU_E1E001CPU1E'!L:L,0)),0)</f>
        <v>1</v>
      </c>
      <c r="J153">
        <f>IFERROR(INDEX(PCIe104_INF_E1N001INF1!N:N,MATCH('По платам'!$B153,PCIe104_INF_E1N001INF1!L:L,0)),0)</f>
        <v>0</v>
      </c>
      <c r="K153">
        <f>IFERROR(INDEX(IB_2RS232_E1N002INF1!N:N,MATCH('По платам'!$B153,IB_2RS232_E1N002INF1!L:L,0)),0)</f>
        <v>0</v>
      </c>
      <c r="L153">
        <f>IFERROR(INDEX(IB_2CAN_E1N003INF1!N:N,MATCH('По платам'!$B153,IB_2CAN_E1N003INF1!L:L,0)),0)</f>
        <v>0</v>
      </c>
    </row>
    <row r="154" spans="2:12">
      <c r="B154" s="3" t="s">
        <v>1080</v>
      </c>
      <c r="C154">
        <f>IFERROR(INDEX('C2B004CPU2'!N:N,MATCH('По платам'!B154,'C2B004CPU2'!L:L,0)),0)</f>
        <v>0</v>
      </c>
      <c r="D154">
        <f>IFERROR(INDEX(SBC_DIO_E1N004INF1!N:N,MATCH('По платам'!$B154,SBC_DIO_E1N004INF1!L:L,0)),0)</f>
        <v>0</v>
      </c>
      <c r="E154">
        <f>IFERROR(INDEX(SBC_35_2C3_1_E1E001CPU1E!N:N,MATCH('По платам'!$B154,SBC_35_2C3_1_E1E001CPU1E!L:L,0)),0)</f>
        <v>0</v>
      </c>
      <c r="F154">
        <f>IFERROR(INDEX(PCIe104_PSU_E1N001PWR1!N:N,MATCH('По платам'!$B154,PCIe104_PSU_E1N001PWR1!L:L,0)),0)</f>
        <v>0</v>
      </c>
      <c r="G154">
        <f>IFERROR(INDEX(PCIe104_INF2_E1N006INF1!N:N,MATCH('По платам'!$B154,PCIe104_INF2_E1N006INF1!L:L,0)),0)</f>
        <v>0</v>
      </c>
      <c r="H154">
        <f>IFERROR(INDEX(PCIe104_CON_E1N005INF1!N:N,MATCH('По платам'!$B154,PCIe104_CON_E1N005INF1!L:L,0)),0)</f>
        <v>1</v>
      </c>
      <c r="I154">
        <f>IFERROR(INDEX('EM-PCIE104-CPU_E1E001CPU1E'!N:N,MATCH('По платам'!$B154,'EM-PCIE104-CPU_E1E001CPU1E'!L:L,0)),0)</f>
        <v>1</v>
      </c>
      <c r="J154">
        <f>IFERROR(INDEX(PCIe104_INF_E1N001INF1!N:N,MATCH('По платам'!$B154,PCIe104_INF_E1N001INF1!L:L,0)),0)</f>
        <v>0</v>
      </c>
      <c r="K154">
        <f>IFERROR(INDEX(IB_2RS232_E1N002INF1!N:N,MATCH('По платам'!$B154,IB_2RS232_E1N002INF1!L:L,0)),0)</f>
        <v>0</v>
      </c>
      <c r="L154">
        <f>IFERROR(INDEX(IB_2CAN_E1N003INF1!N:N,MATCH('По платам'!$B154,IB_2CAN_E1N003INF1!L:L,0)),0)</f>
        <v>0</v>
      </c>
    </row>
    <row r="155" spans="2:12">
      <c r="B155" s="3" t="s">
        <v>519</v>
      </c>
      <c r="C155">
        <f>IFERROR(INDEX('C2B004CPU2'!N:N,MATCH('По платам'!B155,'C2B004CPU2'!L:L,0)),0)</f>
        <v>0</v>
      </c>
      <c r="D155">
        <f>IFERROR(INDEX(SBC_DIO_E1N004INF1!N:N,MATCH('По платам'!$B155,SBC_DIO_E1N004INF1!L:L,0)),0)</f>
        <v>0</v>
      </c>
      <c r="E155">
        <f>IFERROR(INDEX(SBC_35_2C3_1_E1E001CPU1E!N:N,MATCH('По платам'!$B155,SBC_35_2C3_1_E1E001CPU1E!L:L,0)),0)</f>
        <v>0</v>
      </c>
      <c r="F155">
        <f>IFERROR(INDEX(PCIe104_PSU_E1N001PWR1!N:N,MATCH('По платам'!$B155,PCIe104_PSU_E1N001PWR1!L:L,0)),0)</f>
        <v>0</v>
      </c>
      <c r="G155">
        <f>IFERROR(INDEX(PCIe104_INF2_E1N006INF1!N:N,MATCH('По платам'!$B155,PCIe104_INF2_E1N006INF1!L:L,0)),0)</f>
        <v>4</v>
      </c>
      <c r="H155">
        <f>IFERROR(INDEX(PCIe104_CON_E1N005INF1!N:N,MATCH('По платам'!$B155,PCIe104_CON_E1N005INF1!L:L,0)),0)</f>
        <v>4</v>
      </c>
      <c r="I155">
        <f>IFERROR(INDEX('EM-PCIE104-CPU_E1E001CPU1E'!N:N,MATCH('По платам'!$B155,'EM-PCIE104-CPU_E1E001CPU1E'!L:L,0)),0)</f>
        <v>0</v>
      </c>
      <c r="J155">
        <f>IFERROR(INDEX(PCIe104_INF_E1N001INF1!N:N,MATCH('По платам'!$B155,PCIe104_INF_E1N001INF1!L:L,0)),0)</f>
        <v>3</v>
      </c>
      <c r="K155">
        <f>IFERROR(INDEX(IB_2RS232_E1N002INF1!N:N,MATCH('По платам'!$B155,IB_2RS232_E1N002INF1!L:L,0)),0)</f>
        <v>0</v>
      </c>
      <c r="L155">
        <f>IFERROR(INDEX(IB_2CAN_E1N003INF1!N:N,MATCH('По платам'!$B155,IB_2CAN_E1N003INF1!L:L,0)),0)</f>
        <v>0</v>
      </c>
    </row>
    <row r="156" spans="2:12">
      <c r="B156" s="3" t="s">
        <v>1451</v>
      </c>
      <c r="C156">
        <f>IFERROR(INDEX('C2B004CPU2'!N:N,MATCH('По платам'!B156,'C2B004CPU2'!L:L,0)),0)</f>
        <v>0</v>
      </c>
      <c r="D156">
        <f>IFERROR(INDEX(SBC_DIO_E1N004INF1!N:N,MATCH('По платам'!$B156,SBC_DIO_E1N004INF1!L:L,0)),0)</f>
        <v>0</v>
      </c>
      <c r="E156">
        <f>IFERROR(INDEX(SBC_35_2C3_1_E1E001CPU1E!N:N,MATCH('По платам'!$B156,SBC_35_2C3_1_E1E001CPU1E!L:L,0)),0)</f>
        <v>0</v>
      </c>
      <c r="F156">
        <f>IFERROR(INDEX(PCIe104_PSU_E1N001PWR1!N:N,MATCH('По платам'!$B156,PCIe104_PSU_E1N001PWR1!L:L,0)),0)</f>
        <v>1</v>
      </c>
      <c r="G156">
        <f>IFERROR(INDEX(PCIe104_INF2_E1N006INF1!N:N,MATCH('По платам'!$B156,PCIe104_INF2_E1N006INF1!L:L,0)),0)</f>
        <v>0</v>
      </c>
      <c r="H156">
        <f>IFERROR(INDEX(PCIe104_CON_E1N005INF1!N:N,MATCH('По платам'!$B156,PCIe104_CON_E1N005INF1!L:L,0)),0)</f>
        <v>0</v>
      </c>
      <c r="I156">
        <f>IFERROR(INDEX('EM-PCIE104-CPU_E1E001CPU1E'!N:N,MATCH('По платам'!$B156,'EM-PCIE104-CPU_E1E001CPU1E'!L:L,0)),0)</f>
        <v>0</v>
      </c>
      <c r="J156">
        <f>IFERROR(INDEX(PCIe104_INF_E1N001INF1!N:N,MATCH('По платам'!$B156,PCIe104_INF_E1N001INF1!L:L,0)),0)</f>
        <v>0</v>
      </c>
      <c r="K156">
        <f>IFERROR(INDEX(IB_2RS232_E1N002INF1!N:N,MATCH('По платам'!$B156,IB_2RS232_E1N002INF1!L:L,0)),0)</f>
        <v>0</v>
      </c>
      <c r="L156">
        <f>IFERROR(INDEX(IB_2CAN_E1N003INF1!N:N,MATCH('По платам'!$B156,IB_2CAN_E1N003INF1!L:L,0)),0)</f>
        <v>0</v>
      </c>
    </row>
    <row r="157" spans="2:12">
      <c r="B157" s="3" t="s">
        <v>1234</v>
      </c>
      <c r="C157">
        <f>IFERROR(INDEX('C2B004CPU2'!N:N,MATCH('По платам'!B157,'C2B004CPU2'!L:L,0)),0)</f>
        <v>0</v>
      </c>
      <c r="D157">
        <f>IFERROR(INDEX(SBC_DIO_E1N004INF1!N:N,MATCH('По платам'!$B157,SBC_DIO_E1N004INF1!L:L,0)),0)</f>
        <v>0</v>
      </c>
      <c r="E157">
        <f>IFERROR(INDEX(SBC_35_2C3_1_E1E001CPU1E!N:N,MATCH('По платам'!$B157,SBC_35_2C3_1_E1E001CPU1E!L:L,0)),0)</f>
        <v>0</v>
      </c>
      <c r="F157">
        <f>IFERROR(INDEX(PCIe104_PSU_E1N001PWR1!N:N,MATCH('По платам'!$B157,PCIe104_PSU_E1N001PWR1!L:L,0)),0)</f>
        <v>0</v>
      </c>
      <c r="G157">
        <f>IFERROR(INDEX(PCIe104_INF2_E1N006INF1!N:N,MATCH('По платам'!$B157,PCIe104_INF2_E1N006INF1!L:L,0)),0)</f>
        <v>0</v>
      </c>
      <c r="H157">
        <f>IFERROR(INDEX(PCIe104_CON_E1N005INF1!N:N,MATCH('По платам'!$B157,PCIe104_CON_E1N005INF1!L:L,0)),0)</f>
        <v>1</v>
      </c>
      <c r="I157">
        <f>IFERROR(INDEX('EM-PCIE104-CPU_E1E001CPU1E'!N:N,MATCH('По платам'!$B157,'EM-PCIE104-CPU_E1E001CPU1E'!L:L,0)),0)</f>
        <v>0</v>
      </c>
      <c r="J157">
        <f>IFERROR(INDEX(PCIe104_INF_E1N001INF1!N:N,MATCH('По платам'!$B157,PCIe104_INF_E1N001INF1!L:L,0)),0)</f>
        <v>0</v>
      </c>
      <c r="K157">
        <f>IFERROR(INDEX(IB_2RS232_E1N002INF1!N:N,MATCH('По платам'!$B157,IB_2RS232_E1N002INF1!L:L,0)),0)</f>
        <v>0</v>
      </c>
      <c r="L157">
        <f>IFERROR(INDEX(IB_2CAN_E1N003INF1!N:N,MATCH('По платам'!$B157,IB_2CAN_E1N003INF1!L:L,0)),0)</f>
        <v>0</v>
      </c>
    </row>
    <row r="158" spans="2:12">
      <c r="B158" s="3" t="s">
        <v>1118</v>
      </c>
      <c r="C158">
        <f>IFERROR(INDEX('C2B004CPU2'!N:N,MATCH('По платам'!B158,'C2B004CPU2'!L:L,0)),0)</f>
        <v>0</v>
      </c>
      <c r="D158">
        <f>IFERROR(INDEX(SBC_DIO_E1N004INF1!N:N,MATCH('По платам'!$B158,SBC_DIO_E1N004INF1!L:L,0)),0)</f>
        <v>0</v>
      </c>
      <c r="E158">
        <f>IFERROR(INDEX(SBC_35_2C3_1_E1E001CPU1E!N:N,MATCH('По платам'!$B158,SBC_35_2C3_1_E1E001CPU1E!L:L,0)),0)</f>
        <v>0</v>
      </c>
      <c r="F158">
        <f>IFERROR(INDEX(PCIe104_PSU_E1N001PWR1!N:N,MATCH('По платам'!$B158,PCIe104_PSU_E1N001PWR1!L:L,0)),0)</f>
        <v>0</v>
      </c>
      <c r="G158">
        <f>IFERROR(INDEX(PCIe104_INF2_E1N006INF1!N:N,MATCH('По платам'!$B158,PCIe104_INF2_E1N006INF1!L:L,0)),0)</f>
        <v>0</v>
      </c>
      <c r="H158">
        <f>IFERROR(INDEX(PCIe104_CON_E1N005INF1!N:N,MATCH('По платам'!$B158,PCIe104_CON_E1N005INF1!L:L,0)),0)</f>
        <v>1</v>
      </c>
      <c r="I158">
        <f>IFERROR(INDEX('EM-PCIE104-CPU_E1E001CPU1E'!N:N,MATCH('По платам'!$B158,'EM-PCIE104-CPU_E1E001CPU1E'!L:L,0)),0)</f>
        <v>0</v>
      </c>
      <c r="J158">
        <f>IFERROR(INDEX(PCIe104_INF_E1N001INF1!N:N,MATCH('По платам'!$B158,PCIe104_INF_E1N001INF1!L:L,0)),0)</f>
        <v>0</v>
      </c>
      <c r="K158">
        <f>IFERROR(INDEX(IB_2RS232_E1N002INF1!N:N,MATCH('По платам'!$B158,IB_2RS232_E1N002INF1!L:L,0)),0)</f>
        <v>0</v>
      </c>
      <c r="L158">
        <f>IFERROR(INDEX(IB_2CAN_E1N003INF1!N:N,MATCH('По платам'!$B158,IB_2CAN_E1N003INF1!L:L,0)),0)</f>
        <v>0</v>
      </c>
    </row>
    <row r="159" spans="2:12">
      <c r="B159" s="3" t="s">
        <v>251</v>
      </c>
      <c r="C159">
        <f>IFERROR(INDEX('C2B004CPU2'!N:N,MATCH('По платам'!B159,'C2B004CPU2'!L:L,0)),0)</f>
        <v>0</v>
      </c>
      <c r="D159">
        <f>IFERROR(INDEX(SBC_DIO_E1N004INF1!N:N,MATCH('По платам'!$B159,SBC_DIO_E1N004INF1!L:L,0)),0)</f>
        <v>0</v>
      </c>
      <c r="E159">
        <f>IFERROR(INDEX(SBC_35_2C3_1_E1E001CPU1E!N:N,MATCH('По платам'!$B159,SBC_35_2C3_1_E1E001CPU1E!L:L,0)),0)</f>
        <v>82</v>
      </c>
      <c r="F159">
        <f>IFERROR(INDEX(PCIe104_PSU_E1N001PWR1!N:N,MATCH('По платам'!$B159,PCIe104_PSU_E1N001PWR1!L:L,0)),0)</f>
        <v>0</v>
      </c>
      <c r="G159">
        <f>IFERROR(INDEX(PCIe104_INF2_E1N006INF1!N:N,MATCH('По платам'!$B159,PCIe104_INF2_E1N006INF1!L:L,0)),0)</f>
        <v>0</v>
      </c>
      <c r="H159">
        <f>IFERROR(INDEX(PCIe104_CON_E1N005INF1!N:N,MATCH('По платам'!$B159,PCIe104_CON_E1N005INF1!L:L,0)),0)</f>
        <v>0</v>
      </c>
      <c r="I159">
        <f>IFERROR(INDEX('EM-PCIE104-CPU_E1E001CPU1E'!N:N,MATCH('По платам'!$B159,'EM-PCIE104-CPU_E1E001CPU1E'!L:L,0)),0)</f>
        <v>254</v>
      </c>
      <c r="J159">
        <f>IFERROR(INDEX(PCIe104_INF_E1N001INF1!N:N,MATCH('По платам'!$B159,PCIe104_INF_E1N001INF1!L:L,0)),0)</f>
        <v>29</v>
      </c>
      <c r="K159">
        <f>IFERROR(INDEX(IB_2RS232_E1N002INF1!N:N,MATCH('По платам'!$B159,IB_2RS232_E1N002INF1!L:L,0)),0)</f>
        <v>0</v>
      </c>
      <c r="L159">
        <f>IFERROR(INDEX(IB_2CAN_E1N003INF1!N:N,MATCH('По платам'!$B159,IB_2CAN_E1N003INF1!L:L,0)),0)</f>
        <v>0</v>
      </c>
    </row>
    <row r="160" spans="2:12">
      <c r="B160" s="3" t="s">
        <v>278</v>
      </c>
      <c r="C160">
        <f>IFERROR(INDEX('C2B004CPU2'!N:N,MATCH('По платам'!B160,'C2B004CPU2'!L:L,0)),0)</f>
        <v>0</v>
      </c>
      <c r="D160">
        <f>IFERROR(INDEX(SBC_DIO_E1N004INF1!N:N,MATCH('По платам'!$B160,SBC_DIO_E1N004INF1!L:L,0)),0)</f>
        <v>0</v>
      </c>
      <c r="E160">
        <f>IFERROR(INDEX(SBC_35_2C3_1_E1E001CPU1E!N:N,MATCH('По платам'!$B160,SBC_35_2C3_1_E1E001CPU1E!L:L,0)),0)</f>
        <v>26</v>
      </c>
      <c r="F160">
        <f>IFERROR(INDEX(PCIe104_PSU_E1N001PWR1!N:N,MATCH('По платам'!$B160,PCIe104_PSU_E1N001PWR1!L:L,0)),0)</f>
        <v>0</v>
      </c>
      <c r="G160">
        <f>IFERROR(INDEX(PCIe104_INF2_E1N006INF1!N:N,MATCH('По платам'!$B160,PCIe104_INF2_E1N006INF1!L:L,0)),0)</f>
        <v>0</v>
      </c>
      <c r="H160">
        <f>IFERROR(INDEX(PCIe104_CON_E1N005INF1!N:N,MATCH('По платам'!$B160,PCIe104_CON_E1N005INF1!L:L,0)),0)</f>
        <v>0</v>
      </c>
      <c r="I160">
        <f>IFERROR(INDEX('EM-PCIE104-CPU_E1E001CPU1E'!N:N,MATCH('По платам'!$B160,'EM-PCIE104-CPU_E1E001CPU1E'!L:L,0)),0)</f>
        <v>30</v>
      </c>
      <c r="J160">
        <f>IFERROR(INDEX(PCIe104_INF_E1N001INF1!N:N,MATCH('По платам'!$B160,PCIe104_INF_E1N001INF1!L:L,0)),0)</f>
        <v>3</v>
      </c>
      <c r="K160">
        <f>IFERROR(INDEX(IB_2RS232_E1N002INF1!N:N,MATCH('По платам'!$B160,IB_2RS232_E1N002INF1!L:L,0)),0)</f>
        <v>0</v>
      </c>
      <c r="L160">
        <f>IFERROR(INDEX(IB_2CAN_E1N003INF1!N:N,MATCH('По платам'!$B160,IB_2CAN_E1N003INF1!L:L,0)),0)</f>
        <v>0</v>
      </c>
    </row>
    <row r="161" spans="2:12">
      <c r="B161" s="3" t="s">
        <v>404</v>
      </c>
      <c r="C161">
        <f>IFERROR(INDEX('C2B004CPU2'!N:N,MATCH('По платам'!B161,'C2B004CPU2'!L:L,0)),0)</f>
        <v>0</v>
      </c>
      <c r="D161">
        <f>IFERROR(INDEX(SBC_DIO_E1N004INF1!N:N,MATCH('По платам'!$B161,SBC_DIO_E1N004INF1!L:L,0)),0)</f>
        <v>0</v>
      </c>
      <c r="E161">
        <f>IFERROR(INDEX(SBC_35_2C3_1_E1E001CPU1E!N:N,MATCH('По платам'!$B161,SBC_35_2C3_1_E1E001CPU1E!L:L,0)),0)</f>
        <v>0</v>
      </c>
      <c r="F161">
        <f>IFERROR(INDEX(PCIe104_PSU_E1N001PWR1!N:N,MATCH('По платам'!$B161,PCIe104_PSU_E1N001PWR1!L:L,0)),0)</f>
        <v>0</v>
      </c>
      <c r="G161">
        <f>IFERROR(INDEX(PCIe104_INF2_E1N006INF1!N:N,MATCH('По платам'!$B161,PCIe104_INF2_E1N006INF1!L:L,0)),0)</f>
        <v>0</v>
      </c>
      <c r="H161">
        <f>IFERROR(INDEX(PCIe104_CON_E1N005INF1!N:N,MATCH('По платам'!$B161,PCIe104_CON_E1N005INF1!L:L,0)),0)</f>
        <v>0</v>
      </c>
      <c r="I161">
        <f>IFERROR(INDEX('EM-PCIE104-CPU_E1E001CPU1E'!N:N,MATCH('По платам'!$B161,'EM-PCIE104-CPU_E1E001CPU1E'!L:L,0)),0)</f>
        <v>0</v>
      </c>
      <c r="J161">
        <f>IFERROR(INDEX(PCIe104_INF_E1N001INF1!N:N,MATCH('По платам'!$B161,PCIe104_INF_E1N001INF1!L:L,0)),0)</f>
        <v>2</v>
      </c>
      <c r="K161">
        <f>IFERROR(INDEX(IB_2RS232_E1N002INF1!N:N,MATCH('По платам'!$B161,IB_2RS232_E1N002INF1!L:L,0)),0)</f>
        <v>0</v>
      </c>
      <c r="L161">
        <f>IFERROR(INDEX(IB_2CAN_E1N003INF1!N:N,MATCH('По платам'!$B161,IB_2CAN_E1N003INF1!L:L,0)),0)</f>
        <v>0</v>
      </c>
    </row>
    <row r="162" spans="2:12">
      <c r="B162" s="3" t="s">
        <v>1571</v>
      </c>
      <c r="C162">
        <f>IFERROR(INDEX('C2B004CPU2'!N:N,MATCH('По платам'!B162,'C2B004CPU2'!L:L,0)),0)</f>
        <v>0</v>
      </c>
      <c r="D162">
        <f>IFERROR(INDEX(SBC_DIO_E1N004INF1!N:N,MATCH('По платам'!$B162,SBC_DIO_E1N004INF1!L:L,0)),0)</f>
        <v>0</v>
      </c>
      <c r="E162">
        <f>IFERROR(INDEX(SBC_35_2C3_1_E1E001CPU1E!N:N,MATCH('По платам'!$B162,SBC_35_2C3_1_E1E001CPU1E!L:L,0)),0)</f>
        <v>1</v>
      </c>
      <c r="F162">
        <f>IFERROR(INDEX(PCIe104_PSU_E1N001PWR1!N:N,MATCH('По платам'!$B162,PCIe104_PSU_E1N001PWR1!L:L,0)),0)</f>
        <v>0</v>
      </c>
      <c r="G162">
        <f>IFERROR(INDEX(PCIe104_INF2_E1N006INF1!N:N,MATCH('По платам'!$B162,PCIe104_INF2_E1N006INF1!L:L,0)),0)</f>
        <v>0</v>
      </c>
      <c r="H162">
        <f>IFERROR(INDEX(PCIe104_CON_E1N005INF1!N:N,MATCH('По платам'!$B162,PCIe104_CON_E1N005INF1!L:L,0)),0)</f>
        <v>0</v>
      </c>
      <c r="I162">
        <f>IFERROR(INDEX('EM-PCIE104-CPU_E1E001CPU1E'!N:N,MATCH('По платам'!$B162,'EM-PCIE104-CPU_E1E001CPU1E'!L:L,0)),0)</f>
        <v>0</v>
      </c>
      <c r="J162">
        <f>IFERROR(INDEX(PCIe104_INF_E1N001INF1!N:N,MATCH('По платам'!$B162,PCIe104_INF_E1N001INF1!L:L,0)),0)</f>
        <v>0</v>
      </c>
      <c r="K162">
        <f>IFERROR(INDEX(IB_2RS232_E1N002INF1!N:N,MATCH('По платам'!$B162,IB_2RS232_E1N002INF1!L:L,0)),0)</f>
        <v>0</v>
      </c>
      <c r="L162">
        <f>IFERROR(INDEX(IB_2CAN_E1N003INF1!N:N,MATCH('По платам'!$B162,IB_2CAN_E1N003INF1!L:L,0)),0)</f>
        <v>0</v>
      </c>
    </row>
    <row r="163" spans="2:12">
      <c r="B163" s="3" t="s">
        <v>1579</v>
      </c>
      <c r="C163">
        <f>IFERROR(INDEX('C2B004CPU2'!N:N,MATCH('По платам'!B163,'C2B004CPU2'!L:L,0)),0)</f>
        <v>0</v>
      </c>
      <c r="D163">
        <f>IFERROR(INDEX(SBC_DIO_E1N004INF1!N:N,MATCH('По платам'!$B163,SBC_DIO_E1N004INF1!L:L,0)),0)</f>
        <v>0</v>
      </c>
      <c r="E163">
        <f>IFERROR(INDEX(SBC_35_2C3_1_E1E001CPU1E!N:N,MATCH('По платам'!$B163,SBC_35_2C3_1_E1E001CPU1E!L:L,0)),0)</f>
        <v>1</v>
      </c>
      <c r="F163">
        <f>IFERROR(INDEX(PCIe104_PSU_E1N001PWR1!N:N,MATCH('По платам'!$B163,PCIe104_PSU_E1N001PWR1!L:L,0)),0)</f>
        <v>0</v>
      </c>
      <c r="G163">
        <f>IFERROR(INDEX(PCIe104_INF2_E1N006INF1!N:N,MATCH('По платам'!$B163,PCIe104_INF2_E1N006INF1!L:L,0)),0)</f>
        <v>0</v>
      </c>
      <c r="H163">
        <f>IFERROR(INDEX(PCIe104_CON_E1N005INF1!N:N,MATCH('По платам'!$B163,PCIe104_CON_E1N005INF1!L:L,0)),0)</f>
        <v>0</v>
      </c>
      <c r="I163">
        <f>IFERROR(INDEX('EM-PCIE104-CPU_E1E001CPU1E'!N:N,MATCH('По платам'!$B163,'EM-PCIE104-CPU_E1E001CPU1E'!L:L,0)),0)</f>
        <v>0</v>
      </c>
      <c r="J163">
        <f>IFERROR(INDEX(PCIe104_INF_E1N001INF1!N:N,MATCH('По платам'!$B163,PCIe104_INF_E1N001INF1!L:L,0)),0)</f>
        <v>0</v>
      </c>
      <c r="K163">
        <f>IFERROR(INDEX(IB_2RS232_E1N002INF1!N:N,MATCH('По платам'!$B163,IB_2RS232_E1N002INF1!L:L,0)),0)</f>
        <v>0</v>
      </c>
      <c r="L163">
        <f>IFERROR(INDEX(IB_2CAN_E1N003INF1!N:N,MATCH('По платам'!$B163,IB_2CAN_E1N003INF1!L:L,0)),0)</f>
        <v>0</v>
      </c>
    </row>
    <row r="164" spans="2:12">
      <c r="B164" s="3" t="s">
        <v>1575</v>
      </c>
      <c r="C164">
        <f>IFERROR(INDEX('C2B004CPU2'!N:N,MATCH('По платам'!B164,'C2B004CPU2'!L:L,0)),0)</f>
        <v>0</v>
      </c>
      <c r="D164">
        <f>IFERROR(INDEX(SBC_DIO_E1N004INF1!N:N,MATCH('По платам'!$B164,SBC_DIO_E1N004INF1!L:L,0)),0)</f>
        <v>0</v>
      </c>
      <c r="E164">
        <f>IFERROR(INDEX(SBC_35_2C3_1_E1E001CPU1E!N:N,MATCH('По платам'!$B164,SBC_35_2C3_1_E1E001CPU1E!L:L,0)),0)</f>
        <v>1</v>
      </c>
      <c r="F164">
        <f>IFERROR(INDEX(PCIe104_PSU_E1N001PWR1!N:N,MATCH('По платам'!$B164,PCIe104_PSU_E1N001PWR1!L:L,0)),0)</f>
        <v>0</v>
      </c>
      <c r="G164">
        <f>IFERROR(INDEX(PCIe104_INF2_E1N006INF1!N:N,MATCH('По платам'!$B164,PCIe104_INF2_E1N006INF1!L:L,0)),0)</f>
        <v>0</v>
      </c>
      <c r="H164">
        <f>IFERROR(INDEX(PCIe104_CON_E1N005INF1!N:N,MATCH('По платам'!$B164,PCIe104_CON_E1N005INF1!L:L,0)),0)</f>
        <v>0</v>
      </c>
      <c r="I164">
        <f>IFERROR(INDEX('EM-PCIE104-CPU_E1E001CPU1E'!N:N,MATCH('По платам'!$B164,'EM-PCIE104-CPU_E1E001CPU1E'!L:L,0)),0)</f>
        <v>0</v>
      </c>
      <c r="J164">
        <f>IFERROR(INDEX(PCIe104_INF_E1N001INF1!N:N,MATCH('По платам'!$B164,PCIe104_INF_E1N001INF1!L:L,0)),0)</f>
        <v>0</v>
      </c>
      <c r="K164">
        <f>IFERROR(INDEX(IB_2RS232_E1N002INF1!N:N,MATCH('По платам'!$B164,IB_2RS232_E1N002INF1!L:L,0)),0)</f>
        <v>0</v>
      </c>
      <c r="L164">
        <f>IFERROR(INDEX(IB_2CAN_E1N003INF1!N:N,MATCH('По платам'!$B164,IB_2CAN_E1N003INF1!L:L,0)),0)</f>
        <v>0</v>
      </c>
    </row>
    <row r="165" spans="2:12">
      <c r="B165" s="3" t="s">
        <v>1583</v>
      </c>
      <c r="C165">
        <f>IFERROR(INDEX('C2B004CPU2'!N:N,MATCH('По платам'!B165,'C2B004CPU2'!L:L,0)),0)</f>
        <v>0</v>
      </c>
      <c r="D165">
        <f>IFERROR(INDEX(SBC_DIO_E1N004INF1!N:N,MATCH('По платам'!$B165,SBC_DIO_E1N004INF1!L:L,0)),0)</f>
        <v>0</v>
      </c>
      <c r="E165">
        <f>IFERROR(INDEX(SBC_35_2C3_1_E1E001CPU1E!N:N,MATCH('По платам'!$B165,SBC_35_2C3_1_E1E001CPU1E!L:L,0)),0)</f>
        <v>2</v>
      </c>
      <c r="F165">
        <f>IFERROR(INDEX(PCIe104_PSU_E1N001PWR1!N:N,MATCH('По платам'!$B165,PCIe104_PSU_E1N001PWR1!L:L,0)),0)</f>
        <v>0</v>
      </c>
      <c r="G165">
        <f>IFERROR(INDEX(PCIe104_INF2_E1N006INF1!N:N,MATCH('По платам'!$B165,PCIe104_INF2_E1N006INF1!L:L,0)),0)</f>
        <v>0</v>
      </c>
      <c r="H165">
        <f>IFERROR(INDEX(PCIe104_CON_E1N005INF1!N:N,MATCH('По платам'!$B165,PCIe104_CON_E1N005INF1!L:L,0)),0)</f>
        <v>0</v>
      </c>
      <c r="I165">
        <f>IFERROR(INDEX('EM-PCIE104-CPU_E1E001CPU1E'!N:N,MATCH('По платам'!$B165,'EM-PCIE104-CPU_E1E001CPU1E'!L:L,0)),0)</f>
        <v>0</v>
      </c>
      <c r="J165">
        <f>IFERROR(INDEX(PCIe104_INF_E1N001INF1!N:N,MATCH('По платам'!$B165,PCIe104_INF_E1N001INF1!L:L,0)),0)</f>
        <v>0</v>
      </c>
      <c r="K165">
        <f>IFERROR(INDEX(IB_2RS232_E1N002INF1!N:N,MATCH('По платам'!$B165,IB_2RS232_E1N002INF1!L:L,0)),0)</f>
        <v>0</v>
      </c>
      <c r="L165">
        <f>IFERROR(INDEX(IB_2CAN_E1N003INF1!N:N,MATCH('По платам'!$B165,IB_2CAN_E1N003INF1!L:L,0)),0)</f>
        <v>0</v>
      </c>
    </row>
    <row r="166" spans="2:12">
      <c r="B166" s="3" t="s">
        <v>2130</v>
      </c>
      <c r="C166">
        <f>IFERROR(INDEX('C2B004CPU2'!N:N,MATCH('По платам'!B166,'C2B004CPU2'!L:L,0)),0)</f>
        <v>5</v>
      </c>
      <c r="D166">
        <f>IFERROR(INDEX(SBC_DIO_E1N004INF1!N:N,MATCH('По платам'!$B166,SBC_DIO_E1N004INF1!L:L,0)),0)</f>
        <v>0</v>
      </c>
      <c r="E166">
        <f>IFERROR(INDEX(SBC_35_2C3_1_E1E001CPU1E!N:N,MATCH('По платам'!$B166,SBC_35_2C3_1_E1E001CPU1E!L:L,0)),0)</f>
        <v>0</v>
      </c>
      <c r="F166">
        <f>IFERROR(INDEX(PCIe104_PSU_E1N001PWR1!N:N,MATCH('По платам'!$B166,PCIe104_PSU_E1N001PWR1!L:L,0)),0)</f>
        <v>0</v>
      </c>
      <c r="G166">
        <f>IFERROR(INDEX(PCIe104_INF2_E1N006INF1!N:N,MATCH('По платам'!$B166,PCIe104_INF2_E1N006INF1!L:L,0)),0)</f>
        <v>0</v>
      </c>
      <c r="H166">
        <f>IFERROR(INDEX(PCIe104_CON_E1N005INF1!N:N,MATCH('По платам'!$B166,PCIe104_CON_E1N005INF1!L:L,0)),0)</f>
        <v>0</v>
      </c>
      <c r="I166">
        <f>IFERROR(INDEX('EM-PCIE104-CPU_E1E001CPU1E'!N:N,MATCH('По платам'!$B166,'EM-PCIE104-CPU_E1E001CPU1E'!L:L,0)),0)</f>
        <v>0</v>
      </c>
      <c r="J166">
        <f>IFERROR(INDEX(PCIe104_INF_E1N001INF1!N:N,MATCH('По платам'!$B166,PCIe104_INF_E1N001INF1!L:L,0)),0)</f>
        <v>0</v>
      </c>
      <c r="K166">
        <f>IFERROR(INDEX(IB_2RS232_E1N002INF1!N:N,MATCH('По платам'!$B166,IB_2RS232_E1N002INF1!L:L,0)),0)</f>
        <v>0</v>
      </c>
      <c r="L166">
        <f>IFERROR(INDEX(IB_2CAN_E1N003INF1!N:N,MATCH('По платам'!$B166,IB_2CAN_E1N003INF1!L:L,0)),0)</f>
        <v>0</v>
      </c>
    </row>
    <row r="167" spans="2:12">
      <c r="B167" s="3" t="s">
        <v>2105</v>
      </c>
      <c r="C167">
        <f>IFERROR(INDEX('C2B004CPU2'!N:N,MATCH('По платам'!B167,'C2B004CPU2'!L:L,0)),0)</f>
        <v>5</v>
      </c>
      <c r="D167">
        <f>IFERROR(INDEX(SBC_DIO_E1N004INF1!N:N,MATCH('По платам'!$B167,SBC_DIO_E1N004INF1!L:L,0)),0)</f>
        <v>0</v>
      </c>
      <c r="E167">
        <f>IFERROR(INDEX(SBC_35_2C3_1_E1E001CPU1E!N:N,MATCH('По платам'!$B167,SBC_35_2C3_1_E1E001CPU1E!L:L,0)),0)</f>
        <v>0</v>
      </c>
      <c r="F167">
        <f>IFERROR(INDEX(PCIe104_PSU_E1N001PWR1!N:N,MATCH('По платам'!$B167,PCIe104_PSU_E1N001PWR1!L:L,0)),0)</f>
        <v>0</v>
      </c>
      <c r="G167">
        <f>IFERROR(INDEX(PCIe104_INF2_E1N006INF1!N:N,MATCH('По платам'!$B167,PCIe104_INF2_E1N006INF1!L:L,0)),0)</f>
        <v>0</v>
      </c>
      <c r="H167">
        <f>IFERROR(INDEX(PCIe104_CON_E1N005INF1!N:N,MATCH('По платам'!$B167,PCIe104_CON_E1N005INF1!L:L,0)),0)</f>
        <v>0</v>
      </c>
      <c r="I167">
        <f>IFERROR(INDEX('EM-PCIE104-CPU_E1E001CPU1E'!N:N,MATCH('По платам'!$B167,'EM-PCIE104-CPU_E1E001CPU1E'!L:L,0)),0)</f>
        <v>0</v>
      </c>
      <c r="J167">
        <f>IFERROR(INDEX(PCIe104_INF_E1N001INF1!N:N,MATCH('По платам'!$B167,PCIe104_INF_E1N001INF1!L:L,0)),0)</f>
        <v>0</v>
      </c>
      <c r="K167">
        <f>IFERROR(INDEX(IB_2RS232_E1N002INF1!N:N,MATCH('По платам'!$B167,IB_2RS232_E1N002INF1!L:L,0)),0)</f>
        <v>0</v>
      </c>
      <c r="L167">
        <f>IFERROR(INDEX(IB_2CAN_E1N003INF1!N:N,MATCH('По платам'!$B167,IB_2CAN_E1N003INF1!L:L,0)),0)</f>
        <v>0</v>
      </c>
    </row>
    <row r="168" spans="2:12">
      <c r="B168" s="3" t="s">
        <v>2138</v>
      </c>
      <c r="C168">
        <f>IFERROR(INDEX('C2B004CPU2'!N:N,MATCH('По платам'!B168,'C2B004CPU2'!L:L,0)),0)</f>
        <v>9</v>
      </c>
      <c r="D168">
        <f>IFERROR(INDEX(SBC_DIO_E1N004INF1!N:N,MATCH('По платам'!$B168,SBC_DIO_E1N004INF1!L:L,0)),0)</f>
        <v>0</v>
      </c>
      <c r="E168">
        <f>IFERROR(INDEX(SBC_35_2C3_1_E1E001CPU1E!N:N,MATCH('По платам'!$B168,SBC_35_2C3_1_E1E001CPU1E!L:L,0)),0)</f>
        <v>0</v>
      </c>
      <c r="F168">
        <f>IFERROR(INDEX(PCIe104_PSU_E1N001PWR1!N:N,MATCH('По платам'!$B168,PCIe104_PSU_E1N001PWR1!L:L,0)),0)</f>
        <v>0</v>
      </c>
      <c r="G168">
        <f>IFERROR(INDEX(PCIe104_INF2_E1N006INF1!N:N,MATCH('По платам'!$B168,PCIe104_INF2_E1N006INF1!L:L,0)),0)</f>
        <v>0</v>
      </c>
      <c r="H168">
        <f>IFERROR(INDEX(PCIe104_CON_E1N005INF1!N:N,MATCH('По платам'!$B168,PCIe104_CON_E1N005INF1!L:L,0)),0)</f>
        <v>0</v>
      </c>
      <c r="I168">
        <f>IFERROR(INDEX('EM-PCIE104-CPU_E1E001CPU1E'!N:N,MATCH('По платам'!$B168,'EM-PCIE104-CPU_E1E001CPU1E'!L:L,0)),0)</f>
        <v>0</v>
      </c>
      <c r="J168">
        <f>IFERROR(INDEX(PCIe104_INF_E1N001INF1!N:N,MATCH('По платам'!$B168,PCIe104_INF_E1N001INF1!L:L,0)),0)</f>
        <v>0</v>
      </c>
      <c r="K168">
        <f>IFERROR(INDEX(IB_2RS232_E1N002INF1!N:N,MATCH('По платам'!$B168,IB_2RS232_E1N002INF1!L:L,0)),0)</f>
        <v>0</v>
      </c>
      <c r="L168">
        <f>IFERROR(INDEX(IB_2CAN_E1N003INF1!N:N,MATCH('По платам'!$B168,IB_2CAN_E1N003INF1!L:L,0)),0)</f>
        <v>0</v>
      </c>
    </row>
    <row r="169" spans="2:12">
      <c r="B169" s="3" t="s">
        <v>496</v>
      </c>
      <c r="C169">
        <f>IFERROR(INDEX('C2B004CPU2'!N:N,MATCH('По платам'!B169,'C2B004CPU2'!L:L,0)),0)</f>
        <v>0</v>
      </c>
      <c r="D169">
        <f>IFERROR(INDEX(SBC_DIO_E1N004INF1!N:N,MATCH('По платам'!$B169,SBC_DIO_E1N004INF1!L:L,0)),0)</f>
        <v>0</v>
      </c>
      <c r="E169">
        <f>IFERROR(INDEX(SBC_35_2C3_1_E1E001CPU1E!N:N,MATCH('По платам'!$B169,SBC_35_2C3_1_E1E001CPU1E!L:L,0)),0)</f>
        <v>0</v>
      </c>
      <c r="F169">
        <f>IFERROR(INDEX(PCIe104_PSU_E1N001PWR1!N:N,MATCH('По платам'!$B169,PCIe104_PSU_E1N001PWR1!L:L,0)),0)</f>
        <v>0</v>
      </c>
      <c r="G169">
        <f>IFERROR(INDEX(PCIe104_INF2_E1N006INF1!N:N,MATCH('По платам'!$B169,PCIe104_INF2_E1N006INF1!L:L,0)),0)</f>
        <v>0</v>
      </c>
      <c r="H169">
        <f>IFERROR(INDEX(PCIe104_CON_E1N005INF1!N:N,MATCH('По платам'!$B169,PCIe104_CON_E1N005INF1!L:L,0)),0)</f>
        <v>0</v>
      </c>
      <c r="I169">
        <f>IFERROR(INDEX('EM-PCIE104-CPU_E1E001CPU1E'!N:N,MATCH('По платам'!$B169,'EM-PCIE104-CPU_E1E001CPU1E'!L:L,0)),0)</f>
        <v>0</v>
      </c>
      <c r="J169">
        <f>IFERROR(INDEX(PCIe104_INF_E1N001INF1!N:N,MATCH('По платам'!$B169,PCIe104_INF_E1N001INF1!L:L,0)),0)</f>
        <v>2</v>
      </c>
      <c r="K169">
        <f>IFERROR(INDEX(IB_2RS232_E1N002INF1!N:N,MATCH('По платам'!$B169,IB_2RS232_E1N002INF1!L:L,0)),0)</f>
        <v>0</v>
      </c>
      <c r="L169">
        <f>IFERROR(INDEX(IB_2CAN_E1N003INF1!N:N,MATCH('По платам'!$B169,IB_2CAN_E1N003INF1!L:L,0)),0)</f>
        <v>0</v>
      </c>
    </row>
    <row r="170" spans="2:12">
      <c r="B170" s="3" t="s">
        <v>2770</v>
      </c>
      <c r="C170">
        <f>IFERROR(INDEX('C2B004CPU2'!N:N,MATCH('По платам'!B170,'C2B004CPU2'!L:L,0)),0)</f>
        <v>2</v>
      </c>
      <c r="D170">
        <f>IFERROR(INDEX(SBC_DIO_E1N004INF1!N:N,MATCH('По платам'!$B170,SBC_DIO_E1N004INF1!L:L,0)),0)</f>
        <v>0</v>
      </c>
      <c r="E170">
        <f>IFERROR(INDEX(SBC_35_2C3_1_E1E001CPU1E!N:N,MATCH('По платам'!$B170,SBC_35_2C3_1_E1E001CPU1E!L:L,0)),0)</f>
        <v>0</v>
      </c>
      <c r="F170">
        <f>IFERROR(INDEX(PCIe104_PSU_E1N001PWR1!N:N,MATCH('По платам'!$B170,PCIe104_PSU_E1N001PWR1!L:L,0)),0)</f>
        <v>0</v>
      </c>
      <c r="G170">
        <f>IFERROR(INDEX(PCIe104_INF2_E1N006INF1!N:N,MATCH('По платам'!$B170,PCIe104_INF2_E1N006INF1!L:L,0)),0)</f>
        <v>0</v>
      </c>
      <c r="H170">
        <f>IFERROR(INDEX(PCIe104_CON_E1N005INF1!N:N,MATCH('По платам'!$B170,PCIe104_CON_E1N005INF1!L:L,0)),0)</f>
        <v>0</v>
      </c>
      <c r="I170">
        <f>IFERROR(INDEX('EM-PCIE104-CPU_E1E001CPU1E'!N:N,MATCH('По платам'!$B170,'EM-PCIE104-CPU_E1E001CPU1E'!L:L,0)),0)</f>
        <v>0</v>
      </c>
      <c r="J170">
        <f>IFERROR(INDEX(PCIe104_INF_E1N001INF1!N:N,MATCH('По платам'!$B170,PCIe104_INF_E1N001INF1!L:L,0)),0)</f>
        <v>0</v>
      </c>
      <c r="K170">
        <f>IFERROR(INDEX(IB_2RS232_E1N002INF1!N:N,MATCH('По платам'!$B170,IB_2RS232_E1N002INF1!L:L,0)),0)</f>
        <v>0</v>
      </c>
      <c r="L170">
        <f>IFERROR(INDEX(IB_2CAN_E1N003INF1!N:N,MATCH('По платам'!$B170,IB_2CAN_E1N003INF1!L:L,0)),0)</f>
        <v>0</v>
      </c>
    </row>
    <row r="171" spans="2:12">
      <c r="B171" s="3" t="s">
        <v>217</v>
      </c>
      <c r="C171">
        <f>IFERROR(INDEX('C2B004CPU2'!N:N,MATCH('По платам'!B171,'C2B004CPU2'!L:L,0)),0)</f>
        <v>4</v>
      </c>
      <c r="D171">
        <f>IFERROR(INDEX(SBC_DIO_E1N004INF1!N:N,MATCH('По платам'!$B171,SBC_DIO_E1N004INF1!L:L,0)),0)</f>
        <v>0</v>
      </c>
      <c r="E171">
        <f>IFERROR(INDEX(SBC_35_2C3_1_E1E001CPU1E!N:N,MATCH('По платам'!$B171,SBC_35_2C3_1_E1E001CPU1E!L:L,0)),0)</f>
        <v>0</v>
      </c>
      <c r="F171">
        <f>IFERROR(INDEX(PCIe104_PSU_E1N001PWR1!N:N,MATCH('По платам'!$B171,PCIe104_PSU_E1N001PWR1!L:L,0)),0)</f>
        <v>0</v>
      </c>
      <c r="G171">
        <f>IFERROR(INDEX(PCIe104_INF2_E1N006INF1!N:N,MATCH('По платам'!$B171,PCIe104_INF2_E1N006INF1!L:L,0)),0)</f>
        <v>0</v>
      </c>
      <c r="H171">
        <f>IFERROR(INDEX(PCIe104_CON_E1N005INF1!N:N,MATCH('По платам'!$B171,PCIe104_CON_E1N005INF1!L:L,0)),0)</f>
        <v>0</v>
      </c>
      <c r="I171">
        <f>IFERROR(INDEX('EM-PCIE104-CPU_E1E001CPU1E'!N:N,MATCH('По платам'!$B171,'EM-PCIE104-CPU_E1E001CPU1E'!L:L,0)),0)</f>
        <v>0</v>
      </c>
      <c r="J171">
        <f>IFERROR(INDEX(PCIe104_INF_E1N001INF1!N:N,MATCH('По платам'!$B171,PCIe104_INF_E1N001INF1!L:L,0)),0)</f>
        <v>0</v>
      </c>
      <c r="K171">
        <f>IFERROR(INDEX(IB_2RS232_E1N002INF1!N:N,MATCH('По платам'!$B171,IB_2RS232_E1N002INF1!L:L,0)),0)</f>
        <v>2</v>
      </c>
      <c r="L171">
        <f>IFERROR(INDEX(IB_2CAN_E1N003INF1!N:N,MATCH('По платам'!$B171,IB_2CAN_E1N003INF1!L:L,0)),0)</f>
        <v>0</v>
      </c>
    </row>
    <row r="172" spans="2:12">
      <c r="B172" s="3" t="s">
        <v>1941</v>
      </c>
      <c r="C172">
        <f>IFERROR(INDEX('C2B004CPU2'!N:N,MATCH('По платам'!B172,'C2B004CPU2'!L:L,0)),0)</f>
        <v>0</v>
      </c>
      <c r="D172">
        <f>IFERROR(INDEX(SBC_DIO_E1N004INF1!N:N,MATCH('По платам'!$B172,SBC_DIO_E1N004INF1!L:L,0)),0)</f>
        <v>0</v>
      </c>
      <c r="E172">
        <f>IFERROR(INDEX(SBC_35_2C3_1_E1E001CPU1E!N:N,MATCH('По платам'!$B172,SBC_35_2C3_1_E1E001CPU1E!L:L,0)),0)</f>
        <v>1</v>
      </c>
      <c r="F172">
        <f>IFERROR(INDEX(PCIe104_PSU_E1N001PWR1!N:N,MATCH('По платам'!$B172,PCIe104_PSU_E1N001PWR1!L:L,0)),0)</f>
        <v>0</v>
      </c>
      <c r="G172">
        <f>IFERROR(INDEX(PCIe104_INF2_E1N006INF1!N:N,MATCH('По платам'!$B172,PCIe104_INF2_E1N006INF1!L:L,0)),0)</f>
        <v>0</v>
      </c>
      <c r="H172">
        <f>IFERROR(INDEX(PCIe104_CON_E1N005INF1!N:N,MATCH('По платам'!$B172,PCIe104_CON_E1N005INF1!L:L,0)),0)</f>
        <v>0</v>
      </c>
      <c r="I172">
        <f>IFERROR(INDEX('EM-PCIE104-CPU_E1E001CPU1E'!N:N,MATCH('По платам'!$B172,'EM-PCIE104-CPU_E1E001CPU1E'!L:L,0)),0)</f>
        <v>0</v>
      </c>
      <c r="J172">
        <f>IFERROR(INDEX(PCIe104_INF_E1N001INF1!N:N,MATCH('По платам'!$B172,PCIe104_INF_E1N001INF1!L:L,0)),0)</f>
        <v>0</v>
      </c>
      <c r="K172">
        <f>IFERROR(INDEX(IB_2RS232_E1N002INF1!N:N,MATCH('По платам'!$B172,IB_2RS232_E1N002INF1!L:L,0)),0)</f>
        <v>0</v>
      </c>
      <c r="L172">
        <f>IFERROR(INDEX(IB_2CAN_E1N003INF1!N:N,MATCH('По платам'!$B172,IB_2CAN_E1N003INF1!L:L,0)),0)</f>
        <v>0</v>
      </c>
    </row>
    <row r="173" spans="2:12">
      <c r="B173" s="3" t="s">
        <v>1663</v>
      </c>
      <c r="C173">
        <f>IFERROR(INDEX('C2B004CPU2'!N:N,MATCH('По платам'!B173,'C2B004CPU2'!L:L,0)),0)</f>
        <v>0</v>
      </c>
      <c r="D173">
        <f>IFERROR(INDEX(SBC_DIO_E1N004INF1!N:N,MATCH('По платам'!$B173,SBC_DIO_E1N004INF1!L:L,0)),0)</f>
        <v>0</v>
      </c>
      <c r="E173">
        <f>IFERROR(INDEX(SBC_35_2C3_1_E1E001CPU1E!N:N,MATCH('По платам'!$B173,SBC_35_2C3_1_E1E001CPU1E!L:L,0)),0)</f>
        <v>2</v>
      </c>
      <c r="F173">
        <f>IFERROR(INDEX(PCIe104_PSU_E1N001PWR1!N:N,MATCH('По платам'!$B173,PCIe104_PSU_E1N001PWR1!L:L,0)),0)</f>
        <v>0</v>
      </c>
      <c r="G173">
        <f>IFERROR(INDEX(PCIe104_INF2_E1N006INF1!N:N,MATCH('По платам'!$B173,PCIe104_INF2_E1N006INF1!L:L,0)),0)</f>
        <v>0</v>
      </c>
      <c r="H173">
        <f>IFERROR(INDEX(PCIe104_CON_E1N005INF1!N:N,MATCH('По платам'!$B173,PCIe104_CON_E1N005INF1!L:L,0)),0)</f>
        <v>0</v>
      </c>
      <c r="I173">
        <f>IFERROR(INDEX('EM-PCIE104-CPU_E1E001CPU1E'!N:N,MATCH('По платам'!$B173,'EM-PCIE104-CPU_E1E001CPU1E'!L:L,0)),0)</f>
        <v>0</v>
      </c>
      <c r="J173">
        <f>IFERROR(INDEX(PCIe104_INF_E1N001INF1!N:N,MATCH('По платам'!$B173,PCIe104_INF_E1N001INF1!L:L,0)),0)</f>
        <v>0</v>
      </c>
      <c r="K173">
        <f>IFERROR(INDEX(IB_2RS232_E1N002INF1!N:N,MATCH('По платам'!$B173,IB_2RS232_E1N002INF1!L:L,0)),0)</f>
        <v>0</v>
      </c>
      <c r="L173">
        <f>IFERROR(INDEX(IB_2CAN_E1N003INF1!N:N,MATCH('По платам'!$B173,IB_2CAN_E1N003INF1!L:L,0)),0)</f>
        <v>0</v>
      </c>
    </row>
    <row r="174" spans="2:12">
      <c r="B174" s="3" t="s">
        <v>1676</v>
      </c>
      <c r="C174">
        <f>IFERROR(INDEX('C2B004CPU2'!N:N,MATCH('По платам'!B174,'C2B004CPU2'!L:L,0)),0)</f>
        <v>14</v>
      </c>
      <c r="D174">
        <f>IFERROR(INDEX(SBC_DIO_E1N004INF1!N:N,MATCH('По платам'!$B174,SBC_DIO_E1N004INF1!L:L,0)),0)</f>
        <v>0</v>
      </c>
      <c r="E174">
        <f>IFERROR(INDEX(SBC_35_2C3_1_E1E001CPU1E!N:N,MATCH('По платам'!$B174,SBC_35_2C3_1_E1E001CPU1E!L:L,0)),0)</f>
        <v>9</v>
      </c>
      <c r="F174">
        <f>IFERROR(INDEX(PCIe104_PSU_E1N001PWR1!N:N,MATCH('По платам'!$B174,PCIe104_PSU_E1N001PWR1!L:L,0)),0)</f>
        <v>0</v>
      </c>
      <c r="G174">
        <f>IFERROR(INDEX(PCIe104_INF2_E1N006INF1!N:N,MATCH('По платам'!$B174,PCIe104_INF2_E1N006INF1!L:L,0)),0)</f>
        <v>0</v>
      </c>
      <c r="H174">
        <f>IFERROR(INDEX(PCIe104_CON_E1N005INF1!N:N,MATCH('По платам'!$B174,PCIe104_CON_E1N005INF1!L:L,0)),0)</f>
        <v>0</v>
      </c>
      <c r="I174">
        <f>IFERROR(INDEX('EM-PCIE104-CPU_E1E001CPU1E'!N:N,MATCH('По платам'!$B174,'EM-PCIE104-CPU_E1E001CPU1E'!L:L,0)),0)</f>
        <v>0</v>
      </c>
      <c r="J174">
        <f>IFERROR(INDEX(PCIe104_INF_E1N001INF1!N:N,MATCH('По платам'!$B174,PCIe104_INF_E1N001INF1!L:L,0)),0)</f>
        <v>0</v>
      </c>
      <c r="K174">
        <f>IFERROR(INDEX(IB_2RS232_E1N002INF1!N:N,MATCH('По платам'!$B174,IB_2RS232_E1N002INF1!L:L,0)),0)</f>
        <v>0</v>
      </c>
      <c r="L174">
        <f>IFERROR(INDEX(IB_2CAN_E1N003INF1!N:N,MATCH('По платам'!$B174,IB_2CAN_E1N003INF1!L:L,0)),0)</f>
        <v>0</v>
      </c>
    </row>
    <row r="175" spans="2:12">
      <c r="B175" s="3" t="s">
        <v>393</v>
      </c>
      <c r="C175">
        <f>IFERROR(INDEX('C2B004CPU2'!N:N,MATCH('По платам'!B175,'C2B004CPU2'!L:L,0)),0)</f>
        <v>0</v>
      </c>
      <c r="D175">
        <f>IFERROR(INDEX(SBC_DIO_E1N004INF1!N:N,MATCH('По платам'!$B175,SBC_DIO_E1N004INF1!L:L,0)),0)</f>
        <v>0</v>
      </c>
      <c r="E175">
        <f>IFERROR(INDEX(SBC_35_2C3_1_E1E001CPU1E!N:N,MATCH('По платам'!$B175,SBC_35_2C3_1_E1E001CPU1E!L:L,0)),0)</f>
        <v>0</v>
      </c>
      <c r="F175">
        <f>IFERROR(INDEX(PCIe104_PSU_E1N001PWR1!N:N,MATCH('По платам'!$B175,PCIe104_PSU_E1N001PWR1!L:L,0)),0)</f>
        <v>0</v>
      </c>
      <c r="G175">
        <f>IFERROR(INDEX(PCIe104_INF2_E1N006INF1!N:N,MATCH('По платам'!$B175,PCIe104_INF2_E1N006INF1!L:L,0)),0)</f>
        <v>0</v>
      </c>
      <c r="H175">
        <f>IFERROR(INDEX(PCIe104_CON_E1N005INF1!N:N,MATCH('По платам'!$B175,PCIe104_CON_E1N005INF1!L:L,0)),0)</f>
        <v>0</v>
      </c>
      <c r="I175">
        <f>IFERROR(INDEX('EM-PCIE104-CPU_E1E001CPU1E'!N:N,MATCH('По платам'!$B175,'EM-PCIE104-CPU_E1E001CPU1E'!L:L,0)),0)</f>
        <v>12</v>
      </c>
      <c r="J175">
        <f>IFERROR(INDEX(PCIe104_INF_E1N001INF1!N:N,MATCH('По платам'!$B175,PCIe104_INF_E1N001INF1!L:L,0)),0)</f>
        <v>4</v>
      </c>
      <c r="K175">
        <f>IFERROR(INDEX(IB_2RS232_E1N002INF1!N:N,MATCH('По платам'!$B175,IB_2RS232_E1N002INF1!L:L,0)),0)</f>
        <v>0</v>
      </c>
      <c r="L175">
        <f>IFERROR(INDEX(IB_2CAN_E1N003INF1!N:N,MATCH('По платам'!$B175,IB_2CAN_E1N003INF1!L:L,0)),0)</f>
        <v>0</v>
      </c>
    </row>
    <row r="176" spans="2:12">
      <c r="B176" s="3" t="s">
        <v>397</v>
      </c>
      <c r="C176">
        <f>IFERROR(INDEX('C2B004CPU2'!N:N,MATCH('По платам'!B176,'C2B004CPU2'!L:L,0)),0)</f>
        <v>0</v>
      </c>
      <c r="D176">
        <f>IFERROR(INDEX(SBC_DIO_E1N004INF1!N:N,MATCH('По платам'!$B176,SBC_DIO_E1N004INF1!L:L,0)),0)</f>
        <v>0</v>
      </c>
      <c r="E176">
        <f>IFERROR(INDEX(SBC_35_2C3_1_E1E001CPU1E!N:N,MATCH('По платам'!$B176,SBC_35_2C3_1_E1E001CPU1E!L:L,0)),0)</f>
        <v>0</v>
      </c>
      <c r="F176">
        <f>IFERROR(INDEX(PCIe104_PSU_E1N001PWR1!N:N,MATCH('По платам'!$B176,PCIe104_PSU_E1N001PWR1!L:L,0)),0)</f>
        <v>0</v>
      </c>
      <c r="G176">
        <f>IFERROR(INDEX(PCIe104_INF2_E1N006INF1!N:N,MATCH('По платам'!$B176,PCIe104_INF2_E1N006INF1!L:L,0)),0)</f>
        <v>0</v>
      </c>
      <c r="H176">
        <f>IFERROR(INDEX(PCIe104_CON_E1N005INF1!N:N,MATCH('По платам'!$B176,PCIe104_CON_E1N005INF1!L:L,0)),0)</f>
        <v>0</v>
      </c>
      <c r="I176">
        <f>IFERROR(INDEX('EM-PCIE104-CPU_E1E001CPU1E'!N:N,MATCH('По платам'!$B176,'EM-PCIE104-CPU_E1E001CPU1E'!L:L,0)),0)</f>
        <v>3</v>
      </c>
      <c r="J176">
        <f>IFERROR(INDEX(PCIe104_INF_E1N001INF1!N:N,MATCH('По платам'!$B176,PCIe104_INF_E1N001INF1!L:L,0)),0)</f>
        <v>2</v>
      </c>
      <c r="K176">
        <f>IFERROR(INDEX(IB_2RS232_E1N002INF1!N:N,MATCH('По платам'!$B176,IB_2RS232_E1N002INF1!L:L,0)),0)</f>
        <v>0</v>
      </c>
      <c r="L176">
        <f>IFERROR(INDEX(IB_2CAN_E1N003INF1!N:N,MATCH('По платам'!$B176,IB_2CAN_E1N003INF1!L:L,0)),0)</f>
        <v>0</v>
      </c>
    </row>
    <row r="177" spans="2:12">
      <c r="B177" s="3" t="s">
        <v>1921</v>
      </c>
      <c r="C177">
        <f>IFERROR(INDEX('C2B004CPU2'!N:N,MATCH('По платам'!B177,'C2B004CPU2'!L:L,0)),0)</f>
        <v>0</v>
      </c>
      <c r="D177">
        <f>IFERROR(INDEX(SBC_DIO_E1N004INF1!N:N,MATCH('По платам'!$B177,SBC_DIO_E1N004INF1!L:L,0)),0)</f>
        <v>0</v>
      </c>
      <c r="E177">
        <f>IFERROR(INDEX(SBC_35_2C3_1_E1E001CPU1E!N:N,MATCH('По платам'!$B177,SBC_35_2C3_1_E1E001CPU1E!L:L,0)),0)</f>
        <v>1</v>
      </c>
      <c r="F177">
        <f>IFERROR(INDEX(PCIe104_PSU_E1N001PWR1!N:N,MATCH('По платам'!$B177,PCIe104_PSU_E1N001PWR1!L:L,0)),0)</f>
        <v>0</v>
      </c>
      <c r="G177">
        <f>IFERROR(INDEX(PCIe104_INF2_E1N006INF1!N:N,MATCH('По платам'!$B177,PCIe104_INF2_E1N006INF1!L:L,0)),0)</f>
        <v>0</v>
      </c>
      <c r="H177">
        <f>IFERROR(INDEX(PCIe104_CON_E1N005INF1!N:N,MATCH('По платам'!$B177,PCIe104_CON_E1N005INF1!L:L,0)),0)</f>
        <v>0</v>
      </c>
      <c r="I177">
        <f>IFERROR(INDEX('EM-PCIE104-CPU_E1E001CPU1E'!N:N,MATCH('По платам'!$B177,'EM-PCIE104-CPU_E1E001CPU1E'!L:L,0)),0)</f>
        <v>0</v>
      </c>
      <c r="J177">
        <f>IFERROR(INDEX(PCIe104_INF_E1N001INF1!N:N,MATCH('По платам'!$B177,PCIe104_INF_E1N001INF1!L:L,0)),0)</f>
        <v>0</v>
      </c>
      <c r="K177">
        <f>IFERROR(INDEX(IB_2RS232_E1N002INF1!N:N,MATCH('По платам'!$B177,IB_2RS232_E1N002INF1!L:L,0)),0)</f>
        <v>0</v>
      </c>
      <c r="L177">
        <f>IFERROR(INDEX(IB_2CAN_E1N003INF1!N:N,MATCH('По платам'!$B177,IB_2CAN_E1N003INF1!L:L,0)),0)</f>
        <v>0</v>
      </c>
    </row>
    <row r="178" spans="2:12">
      <c r="B178" s="3" t="s">
        <v>1167</v>
      </c>
      <c r="C178">
        <f>IFERROR(INDEX('C2B004CPU2'!N:N,MATCH('По платам'!B178,'C2B004CPU2'!L:L,0)),0)</f>
        <v>0</v>
      </c>
      <c r="D178">
        <f>IFERROR(INDEX(SBC_DIO_E1N004INF1!N:N,MATCH('По платам'!$B178,SBC_DIO_E1N004INF1!L:L,0)),0)</f>
        <v>0</v>
      </c>
      <c r="E178">
        <f>IFERROR(INDEX(SBC_35_2C3_1_E1E001CPU1E!N:N,MATCH('По платам'!$B178,SBC_35_2C3_1_E1E001CPU1E!L:L,0)),0)</f>
        <v>0</v>
      </c>
      <c r="F178">
        <f>IFERROR(INDEX(PCIe104_PSU_E1N001PWR1!N:N,MATCH('По платам'!$B178,PCIe104_PSU_E1N001PWR1!L:L,0)),0)</f>
        <v>3</v>
      </c>
      <c r="G178">
        <f>IFERROR(INDEX(PCIe104_INF2_E1N006INF1!N:N,MATCH('По платам'!$B178,PCIe104_INF2_E1N006INF1!L:L,0)),0)</f>
        <v>0</v>
      </c>
      <c r="H178">
        <f>IFERROR(INDEX(PCIe104_CON_E1N005INF1!N:N,MATCH('По платам'!$B178,PCIe104_CON_E1N005INF1!L:L,0)),0)</f>
        <v>1</v>
      </c>
      <c r="I178">
        <f>IFERROR(INDEX('EM-PCIE104-CPU_E1E001CPU1E'!N:N,MATCH('По платам'!$B178,'EM-PCIE104-CPU_E1E001CPU1E'!L:L,0)),0)</f>
        <v>0</v>
      </c>
      <c r="J178">
        <f>IFERROR(INDEX(PCIe104_INF_E1N001INF1!N:N,MATCH('По платам'!$B178,PCIe104_INF_E1N001INF1!L:L,0)),0)</f>
        <v>0</v>
      </c>
      <c r="K178">
        <f>IFERROR(INDEX(IB_2RS232_E1N002INF1!N:N,MATCH('По платам'!$B178,IB_2RS232_E1N002INF1!L:L,0)),0)</f>
        <v>0</v>
      </c>
      <c r="L178">
        <f>IFERROR(INDEX(IB_2CAN_E1N003INF1!N:N,MATCH('По платам'!$B178,IB_2CAN_E1N003INF1!L:L,0)),0)</f>
        <v>0</v>
      </c>
    </row>
    <row r="179" spans="2:12">
      <c r="B179" s="3" t="s">
        <v>1431</v>
      </c>
      <c r="C179">
        <f>IFERROR(INDEX('C2B004CPU2'!N:N,MATCH('По платам'!B179,'C2B004CPU2'!L:L,0)),0)</f>
        <v>0</v>
      </c>
      <c r="D179">
        <f>IFERROR(INDEX(SBC_DIO_E1N004INF1!N:N,MATCH('По платам'!$B179,SBC_DIO_E1N004INF1!L:L,0)),0)</f>
        <v>0</v>
      </c>
      <c r="E179">
        <f>IFERROR(INDEX(SBC_35_2C3_1_E1E001CPU1E!N:N,MATCH('По платам'!$B179,SBC_35_2C3_1_E1E001CPU1E!L:L,0)),0)</f>
        <v>0</v>
      </c>
      <c r="F179">
        <f>IFERROR(INDEX(PCIe104_PSU_E1N001PWR1!N:N,MATCH('По платам'!$B179,PCIe104_PSU_E1N001PWR1!L:L,0)),0)</f>
        <v>1</v>
      </c>
      <c r="G179">
        <f>IFERROR(INDEX(PCIe104_INF2_E1N006INF1!N:N,MATCH('По платам'!$B179,PCIe104_INF2_E1N006INF1!L:L,0)),0)</f>
        <v>0</v>
      </c>
      <c r="H179">
        <f>IFERROR(INDEX(PCIe104_CON_E1N005INF1!N:N,MATCH('По платам'!$B179,PCIe104_CON_E1N005INF1!L:L,0)),0)</f>
        <v>0</v>
      </c>
      <c r="I179">
        <f>IFERROR(INDEX('EM-PCIE104-CPU_E1E001CPU1E'!N:N,MATCH('По платам'!$B179,'EM-PCIE104-CPU_E1E001CPU1E'!L:L,0)),0)</f>
        <v>0</v>
      </c>
      <c r="J179">
        <f>IFERROR(INDEX(PCIe104_INF_E1N001INF1!N:N,MATCH('По платам'!$B179,PCIe104_INF_E1N001INF1!L:L,0)),0)</f>
        <v>0</v>
      </c>
      <c r="K179">
        <f>IFERROR(INDEX(IB_2RS232_E1N002INF1!N:N,MATCH('По платам'!$B179,IB_2RS232_E1N002INF1!L:L,0)),0)</f>
        <v>0</v>
      </c>
      <c r="L179">
        <f>IFERROR(INDEX(IB_2CAN_E1N003INF1!N:N,MATCH('По платам'!$B179,IB_2CAN_E1N003INF1!L:L,0)),0)</f>
        <v>0</v>
      </c>
    </row>
    <row r="180" spans="2:12">
      <c r="B180" s="3" t="s">
        <v>1435</v>
      </c>
      <c r="C180">
        <f>IFERROR(INDEX('C2B004CPU2'!N:N,MATCH('По платам'!B180,'C2B004CPU2'!L:L,0)),0)</f>
        <v>0</v>
      </c>
      <c r="D180">
        <f>IFERROR(INDEX(SBC_DIO_E1N004INF1!N:N,MATCH('По платам'!$B180,SBC_DIO_E1N004INF1!L:L,0)),0)</f>
        <v>0</v>
      </c>
      <c r="E180">
        <f>IFERROR(INDEX(SBC_35_2C3_1_E1E001CPU1E!N:N,MATCH('По платам'!$B180,SBC_35_2C3_1_E1E001CPU1E!L:L,0)),0)</f>
        <v>0</v>
      </c>
      <c r="F180">
        <f>IFERROR(INDEX(PCIe104_PSU_E1N001PWR1!N:N,MATCH('По платам'!$B180,PCIe104_PSU_E1N001PWR1!L:L,0)),0)</f>
        <v>1</v>
      </c>
      <c r="G180">
        <f>IFERROR(INDEX(PCIe104_INF2_E1N006INF1!N:N,MATCH('По платам'!$B180,PCIe104_INF2_E1N006INF1!L:L,0)),0)</f>
        <v>0</v>
      </c>
      <c r="H180">
        <f>IFERROR(INDEX(PCIe104_CON_E1N005INF1!N:N,MATCH('По платам'!$B180,PCIe104_CON_E1N005INF1!L:L,0)),0)</f>
        <v>0</v>
      </c>
      <c r="I180">
        <f>IFERROR(INDEX('EM-PCIE104-CPU_E1E001CPU1E'!N:N,MATCH('По платам'!$B180,'EM-PCIE104-CPU_E1E001CPU1E'!L:L,0)),0)</f>
        <v>0</v>
      </c>
      <c r="J180">
        <f>IFERROR(INDEX(PCIe104_INF_E1N001INF1!N:N,MATCH('По платам'!$B180,PCIe104_INF_E1N001INF1!L:L,0)),0)</f>
        <v>0</v>
      </c>
      <c r="K180">
        <f>IFERROR(INDEX(IB_2RS232_E1N002INF1!N:N,MATCH('По платам'!$B180,IB_2RS232_E1N002INF1!L:L,0)),0)</f>
        <v>0</v>
      </c>
      <c r="L180">
        <f>IFERROR(INDEX(IB_2CAN_E1N003INF1!N:N,MATCH('По платам'!$B180,IB_2CAN_E1N003INF1!L:L,0)),0)</f>
        <v>0</v>
      </c>
    </row>
    <row r="181" spans="2:12">
      <c r="B181" s="3" t="s">
        <v>1173</v>
      </c>
      <c r="C181">
        <f>IFERROR(INDEX('C2B004CPU2'!N:N,MATCH('По платам'!B181,'C2B004CPU2'!L:L,0)),0)</f>
        <v>0</v>
      </c>
      <c r="D181">
        <f>IFERROR(INDEX(SBC_DIO_E1N004INF1!N:N,MATCH('По платам'!$B181,SBC_DIO_E1N004INF1!L:L,0)),0)</f>
        <v>8</v>
      </c>
      <c r="E181">
        <f>IFERROR(INDEX(SBC_35_2C3_1_E1E001CPU1E!N:N,MATCH('По платам'!$B181,SBC_35_2C3_1_E1E001CPU1E!L:L,0)),0)</f>
        <v>0</v>
      </c>
      <c r="F181">
        <f>IFERROR(INDEX(PCIe104_PSU_E1N001PWR1!N:N,MATCH('По платам'!$B181,PCIe104_PSU_E1N001PWR1!L:L,0)),0)</f>
        <v>0</v>
      </c>
      <c r="G181">
        <f>IFERROR(INDEX(PCIe104_INF2_E1N006INF1!N:N,MATCH('По платам'!$B181,PCIe104_INF2_E1N006INF1!L:L,0)),0)</f>
        <v>0</v>
      </c>
      <c r="H181">
        <f>IFERROR(INDEX(PCIe104_CON_E1N005INF1!N:N,MATCH('По платам'!$B181,PCIe104_CON_E1N005INF1!L:L,0)),0)</f>
        <v>4</v>
      </c>
      <c r="I181">
        <f>IFERROR(INDEX('EM-PCIE104-CPU_E1E001CPU1E'!N:N,MATCH('По платам'!$B181,'EM-PCIE104-CPU_E1E001CPU1E'!L:L,0)),0)</f>
        <v>0</v>
      </c>
      <c r="J181">
        <f>IFERROR(INDEX(PCIe104_INF_E1N001INF1!N:N,MATCH('По платам'!$B181,PCIe104_INF_E1N001INF1!L:L,0)),0)</f>
        <v>0</v>
      </c>
      <c r="K181">
        <f>IFERROR(INDEX(IB_2RS232_E1N002INF1!N:N,MATCH('По платам'!$B181,IB_2RS232_E1N002INF1!L:L,0)),0)</f>
        <v>0</v>
      </c>
      <c r="L181">
        <f>IFERROR(INDEX(IB_2CAN_E1N003INF1!N:N,MATCH('По платам'!$B181,IB_2CAN_E1N003INF1!L:L,0)),0)</f>
        <v>0</v>
      </c>
    </row>
    <row r="182" spans="2:12">
      <c r="B182" s="3" t="s">
        <v>1123</v>
      </c>
      <c r="C182">
        <f>IFERROR(INDEX('C2B004CPU2'!N:N,MATCH('По платам'!B182,'C2B004CPU2'!L:L,0)),0)</f>
        <v>0</v>
      </c>
      <c r="D182">
        <f>IFERROR(INDEX(SBC_DIO_E1N004INF1!N:N,MATCH('По платам'!$B182,SBC_DIO_E1N004INF1!L:L,0)),0)</f>
        <v>0</v>
      </c>
      <c r="E182">
        <f>IFERROR(INDEX(SBC_35_2C3_1_E1E001CPU1E!N:N,MATCH('По платам'!$B182,SBC_35_2C3_1_E1E001CPU1E!L:L,0)),0)</f>
        <v>0</v>
      </c>
      <c r="F182">
        <f>IFERROR(INDEX(PCIe104_PSU_E1N001PWR1!N:N,MATCH('По платам'!$B182,PCIe104_PSU_E1N001PWR1!L:L,0)),0)</f>
        <v>0</v>
      </c>
      <c r="G182">
        <f>IFERROR(INDEX(PCIe104_INF2_E1N006INF1!N:N,MATCH('По платам'!$B182,PCIe104_INF2_E1N006INF1!L:L,0)),0)</f>
        <v>1</v>
      </c>
      <c r="H182">
        <f>IFERROR(INDEX(PCIe104_CON_E1N005INF1!N:N,MATCH('По платам'!$B182,PCIe104_CON_E1N005INF1!L:L,0)),0)</f>
        <v>1</v>
      </c>
      <c r="I182">
        <f>IFERROR(INDEX('EM-PCIE104-CPU_E1E001CPU1E'!N:N,MATCH('По платам'!$B182,'EM-PCIE104-CPU_E1E001CPU1E'!L:L,0)),0)</f>
        <v>0</v>
      </c>
      <c r="J182">
        <f>IFERROR(INDEX(PCIe104_INF_E1N001INF1!N:N,MATCH('По платам'!$B182,PCIe104_INF_E1N001INF1!L:L,0)),0)</f>
        <v>0</v>
      </c>
      <c r="K182">
        <f>IFERROR(INDEX(IB_2RS232_E1N002INF1!N:N,MATCH('По платам'!$B182,IB_2RS232_E1N002INF1!L:L,0)),0)</f>
        <v>0</v>
      </c>
      <c r="L182">
        <f>IFERROR(INDEX(IB_2CAN_E1N003INF1!N:N,MATCH('По платам'!$B182,IB_2CAN_E1N003INF1!L:L,0)),0)</f>
        <v>0</v>
      </c>
    </row>
    <row r="183" spans="2:12">
      <c r="B183" s="3" t="s">
        <v>2744</v>
      </c>
      <c r="C183">
        <f>IFERROR(INDEX('C2B004CPU2'!N:N,MATCH('По платам'!B183,'C2B004CPU2'!L:L,0)),0)</f>
        <v>1</v>
      </c>
      <c r="D183">
        <f>IFERROR(INDEX(SBC_DIO_E1N004INF1!N:N,MATCH('По платам'!$B183,SBC_DIO_E1N004INF1!L:L,0)),0)</f>
        <v>0</v>
      </c>
      <c r="E183">
        <f>IFERROR(INDEX(SBC_35_2C3_1_E1E001CPU1E!N:N,MATCH('По платам'!$B183,SBC_35_2C3_1_E1E001CPU1E!L:L,0)),0)</f>
        <v>0</v>
      </c>
      <c r="F183">
        <f>IFERROR(INDEX(PCIe104_PSU_E1N001PWR1!N:N,MATCH('По платам'!$B183,PCIe104_PSU_E1N001PWR1!L:L,0)),0)</f>
        <v>0</v>
      </c>
      <c r="G183">
        <f>IFERROR(INDEX(PCIe104_INF2_E1N006INF1!N:N,MATCH('По платам'!$B183,PCIe104_INF2_E1N006INF1!L:L,0)),0)</f>
        <v>0</v>
      </c>
      <c r="H183">
        <f>IFERROR(INDEX(PCIe104_CON_E1N005INF1!N:N,MATCH('По платам'!$B183,PCIe104_CON_E1N005INF1!L:L,0)),0)</f>
        <v>0</v>
      </c>
      <c r="I183">
        <f>IFERROR(INDEX('EM-PCIE104-CPU_E1E001CPU1E'!N:N,MATCH('По платам'!$B183,'EM-PCIE104-CPU_E1E001CPU1E'!L:L,0)),0)</f>
        <v>0</v>
      </c>
      <c r="J183">
        <f>IFERROR(INDEX(PCIe104_INF_E1N001INF1!N:N,MATCH('По платам'!$B183,PCIe104_INF_E1N001INF1!L:L,0)),0)</f>
        <v>0</v>
      </c>
      <c r="K183">
        <f>IFERROR(INDEX(IB_2RS232_E1N002INF1!N:N,MATCH('По платам'!$B183,IB_2RS232_E1N002INF1!L:L,0)),0)</f>
        <v>0</v>
      </c>
      <c r="L183">
        <f>IFERROR(INDEX(IB_2CAN_E1N003INF1!N:N,MATCH('По платам'!$B183,IB_2CAN_E1N003INF1!L:L,0)),0)</f>
        <v>0</v>
      </c>
    </row>
    <row r="184" spans="2:12">
      <c r="B184" s="3" t="s">
        <v>2018</v>
      </c>
      <c r="C184">
        <f>IFERROR(INDEX('C2B004CPU2'!N:N,MATCH('По платам'!B184,'C2B004CPU2'!L:L,0)),0)</f>
        <v>0</v>
      </c>
      <c r="D184">
        <f>IFERROR(INDEX(SBC_DIO_E1N004INF1!N:N,MATCH('По платам'!$B184,SBC_DIO_E1N004INF1!L:L,0)),0)</f>
        <v>0</v>
      </c>
      <c r="E184">
        <f>IFERROR(INDEX(SBC_35_2C3_1_E1E001CPU1E!N:N,MATCH('По платам'!$B184,SBC_35_2C3_1_E1E001CPU1E!L:L,0)),0)</f>
        <v>1</v>
      </c>
      <c r="F184">
        <f>IFERROR(INDEX(PCIe104_PSU_E1N001PWR1!N:N,MATCH('По платам'!$B184,PCIe104_PSU_E1N001PWR1!L:L,0)),0)</f>
        <v>0</v>
      </c>
      <c r="G184">
        <f>IFERROR(INDEX(PCIe104_INF2_E1N006INF1!N:N,MATCH('По платам'!$B184,PCIe104_INF2_E1N006INF1!L:L,0)),0)</f>
        <v>0</v>
      </c>
      <c r="H184">
        <f>IFERROR(INDEX(PCIe104_CON_E1N005INF1!N:N,MATCH('По платам'!$B184,PCIe104_CON_E1N005INF1!L:L,0)),0)</f>
        <v>0</v>
      </c>
      <c r="I184">
        <f>IFERROR(INDEX('EM-PCIE104-CPU_E1E001CPU1E'!N:N,MATCH('По платам'!$B184,'EM-PCIE104-CPU_E1E001CPU1E'!L:L,0)),0)</f>
        <v>0</v>
      </c>
      <c r="J184">
        <f>IFERROR(INDEX(PCIe104_INF_E1N001INF1!N:N,MATCH('По платам'!$B184,PCIe104_INF_E1N001INF1!L:L,0)),0)</f>
        <v>0</v>
      </c>
      <c r="K184">
        <f>IFERROR(INDEX(IB_2RS232_E1N002INF1!N:N,MATCH('По платам'!$B184,IB_2RS232_E1N002INF1!L:L,0)),0)</f>
        <v>0</v>
      </c>
      <c r="L184">
        <f>IFERROR(INDEX(IB_2CAN_E1N003INF1!N:N,MATCH('По платам'!$B184,IB_2CAN_E1N003INF1!L:L,0)),0)</f>
        <v>0</v>
      </c>
    </row>
    <row r="185" spans="2:12">
      <c r="B185" s="3" t="s">
        <v>2740</v>
      </c>
      <c r="C185">
        <f>IFERROR(INDEX('C2B004CPU2'!N:N,MATCH('По платам'!B185,'C2B004CPU2'!L:L,0)),0)</f>
        <v>1</v>
      </c>
      <c r="D185">
        <f>IFERROR(INDEX(SBC_DIO_E1N004INF1!N:N,MATCH('По платам'!$B185,SBC_DIO_E1N004INF1!L:L,0)),0)</f>
        <v>0</v>
      </c>
      <c r="E185">
        <f>IFERROR(INDEX(SBC_35_2C3_1_E1E001CPU1E!N:N,MATCH('По платам'!$B185,SBC_35_2C3_1_E1E001CPU1E!L:L,0)),0)</f>
        <v>0</v>
      </c>
      <c r="F185">
        <f>IFERROR(INDEX(PCIe104_PSU_E1N001PWR1!N:N,MATCH('По платам'!$B185,PCIe104_PSU_E1N001PWR1!L:L,0)),0)</f>
        <v>0</v>
      </c>
      <c r="G185">
        <f>IFERROR(INDEX(PCIe104_INF2_E1N006INF1!N:N,MATCH('По платам'!$B185,PCIe104_INF2_E1N006INF1!L:L,0)),0)</f>
        <v>0</v>
      </c>
      <c r="H185">
        <f>IFERROR(INDEX(PCIe104_CON_E1N005INF1!N:N,MATCH('По платам'!$B185,PCIe104_CON_E1N005INF1!L:L,0)),0)</f>
        <v>0</v>
      </c>
      <c r="I185">
        <f>IFERROR(INDEX('EM-PCIE104-CPU_E1E001CPU1E'!N:N,MATCH('По платам'!$B185,'EM-PCIE104-CPU_E1E001CPU1E'!L:L,0)),0)</f>
        <v>0</v>
      </c>
      <c r="J185">
        <f>IFERROR(INDEX(PCIe104_INF_E1N001INF1!N:N,MATCH('По платам'!$B185,PCIe104_INF_E1N001INF1!L:L,0)),0)</f>
        <v>0</v>
      </c>
      <c r="K185">
        <f>IFERROR(INDEX(IB_2RS232_E1N002INF1!N:N,MATCH('По платам'!$B185,IB_2RS232_E1N002INF1!L:L,0)),0)</f>
        <v>0</v>
      </c>
      <c r="L185">
        <f>IFERROR(INDEX(IB_2CAN_E1N003INF1!N:N,MATCH('По платам'!$B185,IB_2CAN_E1N003INF1!L:L,0)),0)</f>
        <v>0</v>
      </c>
    </row>
    <row r="186" spans="2:12">
      <c r="B186" s="3" t="s">
        <v>2014</v>
      </c>
      <c r="C186">
        <f>IFERROR(INDEX('C2B004CPU2'!N:N,MATCH('По платам'!B186,'C2B004CPU2'!L:L,0)),0)</f>
        <v>0</v>
      </c>
      <c r="D186">
        <f>IFERROR(INDEX(SBC_DIO_E1N004INF1!N:N,MATCH('По платам'!$B186,SBC_DIO_E1N004INF1!L:L,0)),0)</f>
        <v>0</v>
      </c>
      <c r="E186">
        <f>IFERROR(INDEX(SBC_35_2C3_1_E1E001CPU1E!N:N,MATCH('По платам'!$B186,SBC_35_2C3_1_E1E001CPU1E!L:L,0)),0)</f>
        <v>1</v>
      </c>
      <c r="F186">
        <f>IFERROR(INDEX(PCIe104_PSU_E1N001PWR1!N:N,MATCH('По платам'!$B186,PCIe104_PSU_E1N001PWR1!L:L,0)),0)</f>
        <v>0</v>
      </c>
      <c r="G186">
        <f>IFERROR(INDEX(PCIe104_INF2_E1N006INF1!N:N,MATCH('По платам'!$B186,PCIe104_INF2_E1N006INF1!L:L,0)),0)</f>
        <v>0</v>
      </c>
      <c r="H186">
        <f>IFERROR(INDEX(PCIe104_CON_E1N005INF1!N:N,MATCH('По платам'!$B186,PCIe104_CON_E1N005INF1!L:L,0)),0)</f>
        <v>0</v>
      </c>
      <c r="I186">
        <f>IFERROR(INDEX('EM-PCIE104-CPU_E1E001CPU1E'!N:N,MATCH('По платам'!$B186,'EM-PCIE104-CPU_E1E001CPU1E'!L:L,0)),0)</f>
        <v>0</v>
      </c>
      <c r="J186">
        <f>IFERROR(INDEX(PCIe104_INF_E1N001INF1!N:N,MATCH('По платам'!$B186,PCIe104_INF_E1N001INF1!L:L,0)),0)</f>
        <v>0</v>
      </c>
      <c r="K186">
        <f>IFERROR(INDEX(IB_2RS232_E1N002INF1!N:N,MATCH('По платам'!$B186,IB_2RS232_E1N002INF1!L:L,0)),0)</f>
        <v>0</v>
      </c>
      <c r="L186">
        <f>IFERROR(INDEX(IB_2CAN_E1N003INF1!N:N,MATCH('По платам'!$B186,IB_2CAN_E1N003INF1!L:L,0)),0)</f>
        <v>0</v>
      </c>
    </row>
    <row r="187" spans="2:12">
      <c r="B187" s="3" t="s">
        <v>2761</v>
      </c>
      <c r="C187">
        <f>IFERROR(INDEX('C2B004CPU2'!N:N,MATCH('По платам'!B187,'C2B004CPU2'!L:L,0)),0)</f>
        <v>1</v>
      </c>
      <c r="D187">
        <f>IFERROR(INDEX(SBC_DIO_E1N004INF1!N:N,MATCH('По платам'!$B187,SBC_DIO_E1N004INF1!L:L,0)),0)</f>
        <v>0</v>
      </c>
      <c r="E187">
        <f>IFERROR(INDEX(SBC_35_2C3_1_E1E001CPU1E!N:N,MATCH('По платам'!$B187,SBC_35_2C3_1_E1E001CPU1E!L:L,0)),0)</f>
        <v>0</v>
      </c>
      <c r="F187">
        <f>IFERROR(INDEX(PCIe104_PSU_E1N001PWR1!N:N,MATCH('По платам'!$B187,PCIe104_PSU_E1N001PWR1!L:L,0)),0)</f>
        <v>0</v>
      </c>
      <c r="G187">
        <f>IFERROR(INDEX(PCIe104_INF2_E1N006INF1!N:N,MATCH('По платам'!$B187,PCIe104_INF2_E1N006INF1!L:L,0)),0)</f>
        <v>0</v>
      </c>
      <c r="H187">
        <f>IFERROR(INDEX(PCIe104_CON_E1N005INF1!N:N,MATCH('По платам'!$B187,PCIe104_CON_E1N005INF1!L:L,0)),0)</f>
        <v>0</v>
      </c>
      <c r="I187">
        <f>IFERROR(INDEX('EM-PCIE104-CPU_E1E001CPU1E'!N:N,MATCH('По платам'!$B187,'EM-PCIE104-CPU_E1E001CPU1E'!L:L,0)),0)</f>
        <v>0</v>
      </c>
      <c r="J187">
        <f>IFERROR(INDEX(PCIe104_INF_E1N001INF1!N:N,MATCH('По платам'!$B187,PCIe104_INF_E1N001INF1!L:L,0)),0)</f>
        <v>0</v>
      </c>
      <c r="K187">
        <f>IFERROR(INDEX(IB_2RS232_E1N002INF1!N:N,MATCH('По платам'!$B187,IB_2RS232_E1N002INF1!L:L,0)),0)</f>
        <v>0</v>
      </c>
      <c r="L187">
        <f>IFERROR(INDEX(IB_2CAN_E1N003INF1!N:N,MATCH('По платам'!$B187,IB_2CAN_E1N003INF1!L:L,0)),0)</f>
        <v>0</v>
      </c>
    </row>
    <row r="188" spans="2:12">
      <c r="B188" s="3" t="s">
        <v>1997</v>
      </c>
      <c r="C188">
        <f>IFERROR(INDEX('C2B004CPU2'!N:N,MATCH('По платам'!B188,'C2B004CPU2'!L:L,0)),0)</f>
        <v>0</v>
      </c>
      <c r="D188">
        <f>IFERROR(INDEX(SBC_DIO_E1N004INF1!N:N,MATCH('По платам'!$B188,SBC_DIO_E1N004INF1!L:L,0)),0)</f>
        <v>0</v>
      </c>
      <c r="E188">
        <f>IFERROR(INDEX(SBC_35_2C3_1_E1E001CPU1E!N:N,MATCH('По платам'!$B188,SBC_35_2C3_1_E1E001CPU1E!L:L,0)),0)</f>
        <v>1</v>
      </c>
      <c r="F188">
        <f>IFERROR(INDEX(PCIe104_PSU_E1N001PWR1!N:N,MATCH('По платам'!$B188,PCIe104_PSU_E1N001PWR1!L:L,0)),0)</f>
        <v>0</v>
      </c>
      <c r="G188">
        <f>IFERROR(INDEX(PCIe104_INF2_E1N006INF1!N:N,MATCH('По платам'!$B188,PCIe104_INF2_E1N006INF1!L:L,0)),0)</f>
        <v>0</v>
      </c>
      <c r="H188">
        <f>IFERROR(INDEX(PCIe104_CON_E1N005INF1!N:N,MATCH('По платам'!$B188,PCIe104_CON_E1N005INF1!L:L,0)),0)</f>
        <v>0</v>
      </c>
      <c r="I188">
        <f>IFERROR(INDEX('EM-PCIE104-CPU_E1E001CPU1E'!N:N,MATCH('По платам'!$B188,'EM-PCIE104-CPU_E1E001CPU1E'!L:L,0)),0)</f>
        <v>0</v>
      </c>
      <c r="J188">
        <f>IFERROR(INDEX(PCIe104_INF_E1N001INF1!N:N,MATCH('По платам'!$B188,PCIe104_INF_E1N001INF1!L:L,0)),0)</f>
        <v>0</v>
      </c>
      <c r="K188">
        <f>IFERROR(INDEX(IB_2RS232_E1N002INF1!N:N,MATCH('По платам'!$B188,IB_2RS232_E1N002INF1!L:L,0)),0)</f>
        <v>0</v>
      </c>
      <c r="L188">
        <f>IFERROR(INDEX(IB_2CAN_E1N003INF1!N:N,MATCH('По платам'!$B188,IB_2CAN_E1N003INF1!L:L,0)),0)</f>
        <v>0</v>
      </c>
    </row>
    <row r="189" spans="2:12">
      <c r="B189" s="3" t="s">
        <v>2765</v>
      </c>
      <c r="C189">
        <f>IFERROR(INDEX('C2B004CPU2'!N:N,MATCH('По платам'!B189,'C2B004CPU2'!L:L,0)),0)</f>
        <v>1</v>
      </c>
      <c r="D189">
        <f>IFERROR(INDEX(SBC_DIO_E1N004INF1!N:N,MATCH('По платам'!$B189,SBC_DIO_E1N004INF1!L:L,0)),0)</f>
        <v>0</v>
      </c>
      <c r="E189">
        <f>IFERROR(INDEX(SBC_35_2C3_1_E1E001CPU1E!N:N,MATCH('По платам'!$B189,SBC_35_2C3_1_E1E001CPU1E!L:L,0)),0)</f>
        <v>0</v>
      </c>
      <c r="F189">
        <f>IFERROR(INDEX(PCIe104_PSU_E1N001PWR1!N:N,MATCH('По платам'!$B189,PCIe104_PSU_E1N001PWR1!L:L,0)),0)</f>
        <v>0</v>
      </c>
      <c r="G189">
        <f>IFERROR(INDEX(PCIe104_INF2_E1N006INF1!N:N,MATCH('По платам'!$B189,PCIe104_INF2_E1N006INF1!L:L,0)),0)</f>
        <v>0</v>
      </c>
      <c r="H189">
        <f>IFERROR(INDEX(PCIe104_CON_E1N005INF1!N:N,MATCH('По платам'!$B189,PCIe104_CON_E1N005INF1!L:L,0)),0)</f>
        <v>0</v>
      </c>
      <c r="I189">
        <f>IFERROR(INDEX('EM-PCIE104-CPU_E1E001CPU1E'!N:N,MATCH('По платам'!$B189,'EM-PCIE104-CPU_E1E001CPU1E'!L:L,0)),0)</f>
        <v>0</v>
      </c>
      <c r="J189">
        <f>IFERROR(INDEX(PCIe104_INF_E1N001INF1!N:N,MATCH('По платам'!$B189,PCIe104_INF_E1N001INF1!L:L,0)),0)</f>
        <v>0</v>
      </c>
      <c r="K189">
        <f>IFERROR(INDEX(IB_2RS232_E1N002INF1!N:N,MATCH('По платам'!$B189,IB_2RS232_E1N002INF1!L:L,0)),0)</f>
        <v>0</v>
      </c>
      <c r="L189">
        <f>IFERROR(INDEX(IB_2CAN_E1N003INF1!N:N,MATCH('По платам'!$B189,IB_2CAN_E1N003INF1!L:L,0)),0)</f>
        <v>0</v>
      </c>
    </row>
    <row r="190" spans="2:12">
      <c r="B190" s="3" t="s">
        <v>2757</v>
      </c>
      <c r="C190">
        <f>IFERROR(INDEX('C2B004CPU2'!N:N,MATCH('По платам'!B190,'C2B004CPU2'!L:L,0)),0)</f>
        <v>1</v>
      </c>
      <c r="D190">
        <f>IFERROR(INDEX(SBC_DIO_E1N004INF1!N:N,MATCH('По платам'!$B190,SBC_DIO_E1N004INF1!L:L,0)),0)</f>
        <v>0</v>
      </c>
      <c r="E190">
        <f>IFERROR(INDEX(SBC_35_2C3_1_E1E001CPU1E!N:N,MATCH('По платам'!$B190,SBC_35_2C3_1_E1E001CPU1E!L:L,0)),0)</f>
        <v>0</v>
      </c>
      <c r="F190">
        <f>IFERROR(INDEX(PCIe104_PSU_E1N001PWR1!N:N,MATCH('По платам'!$B190,PCIe104_PSU_E1N001PWR1!L:L,0)),0)</f>
        <v>0</v>
      </c>
      <c r="G190">
        <f>IFERROR(INDEX(PCIe104_INF2_E1N006INF1!N:N,MATCH('По платам'!$B190,PCIe104_INF2_E1N006INF1!L:L,0)),0)</f>
        <v>0</v>
      </c>
      <c r="H190">
        <f>IFERROR(INDEX(PCIe104_CON_E1N005INF1!N:N,MATCH('По платам'!$B190,PCIe104_CON_E1N005INF1!L:L,0)),0)</f>
        <v>0</v>
      </c>
      <c r="I190">
        <f>IFERROR(INDEX('EM-PCIE104-CPU_E1E001CPU1E'!N:N,MATCH('По платам'!$B190,'EM-PCIE104-CPU_E1E001CPU1E'!L:L,0)),0)</f>
        <v>0</v>
      </c>
      <c r="J190">
        <f>IFERROR(INDEX(PCIe104_INF_E1N001INF1!N:N,MATCH('По платам'!$B190,PCIe104_INF_E1N001INF1!L:L,0)),0)</f>
        <v>0</v>
      </c>
      <c r="K190">
        <f>IFERROR(INDEX(IB_2RS232_E1N002INF1!N:N,MATCH('По платам'!$B190,IB_2RS232_E1N002INF1!L:L,0)),0)</f>
        <v>0</v>
      </c>
      <c r="L190">
        <f>IFERROR(INDEX(IB_2CAN_E1N003INF1!N:N,MATCH('По платам'!$B190,IB_2CAN_E1N003INF1!L:L,0)),0)</f>
        <v>0</v>
      </c>
    </row>
    <row r="191" spans="2:12">
      <c r="B191" s="3" t="s">
        <v>1994</v>
      </c>
      <c r="C191">
        <f>IFERROR(INDEX('C2B004CPU2'!N:N,MATCH('По платам'!B191,'C2B004CPU2'!L:L,0)),0)</f>
        <v>0</v>
      </c>
      <c r="D191">
        <f>IFERROR(INDEX(SBC_DIO_E1N004INF1!N:N,MATCH('По платам'!$B191,SBC_DIO_E1N004INF1!L:L,0)),0)</f>
        <v>0</v>
      </c>
      <c r="E191">
        <f>IFERROR(INDEX(SBC_35_2C3_1_E1E001CPU1E!N:N,MATCH('По платам'!$B191,SBC_35_2C3_1_E1E001CPU1E!L:L,0)),0)</f>
        <v>1</v>
      </c>
      <c r="F191">
        <f>IFERROR(INDEX(PCIe104_PSU_E1N001PWR1!N:N,MATCH('По платам'!$B191,PCIe104_PSU_E1N001PWR1!L:L,0)),0)</f>
        <v>0</v>
      </c>
      <c r="G191">
        <f>IFERROR(INDEX(PCIe104_INF2_E1N006INF1!N:N,MATCH('По платам'!$B191,PCIe104_INF2_E1N006INF1!L:L,0)),0)</f>
        <v>0</v>
      </c>
      <c r="H191">
        <f>IFERROR(INDEX(PCIe104_CON_E1N005INF1!N:N,MATCH('По платам'!$B191,PCIe104_CON_E1N005INF1!L:L,0)),0)</f>
        <v>0</v>
      </c>
      <c r="I191">
        <f>IFERROR(INDEX('EM-PCIE104-CPU_E1E001CPU1E'!N:N,MATCH('По платам'!$B191,'EM-PCIE104-CPU_E1E001CPU1E'!L:L,0)),0)</f>
        <v>0</v>
      </c>
      <c r="J191">
        <f>IFERROR(INDEX(PCIe104_INF_E1N001INF1!N:N,MATCH('По платам'!$B191,PCIe104_INF_E1N001INF1!L:L,0)),0)</f>
        <v>0</v>
      </c>
      <c r="K191">
        <f>IFERROR(INDEX(IB_2RS232_E1N002INF1!N:N,MATCH('По платам'!$B191,IB_2RS232_E1N002INF1!L:L,0)),0)</f>
        <v>0</v>
      </c>
      <c r="L191">
        <f>IFERROR(INDEX(IB_2CAN_E1N003INF1!N:N,MATCH('По платам'!$B191,IB_2CAN_E1N003INF1!L:L,0)),0)</f>
        <v>0</v>
      </c>
    </row>
    <row r="192" spans="2:12">
      <c r="B192" s="3" t="s">
        <v>2005</v>
      </c>
      <c r="C192">
        <f>IFERROR(INDEX('C2B004CPU2'!N:N,MATCH('По платам'!B192,'C2B004CPU2'!L:L,0)),0)</f>
        <v>0</v>
      </c>
      <c r="D192">
        <f>IFERROR(INDEX(SBC_DIO_E1N004INF1!N:N,MATCH('По платам'!$B192,SBC_DIO_E1N004INF1!L:L,0)),0)</f>
        <v>0</v>
      </c>
      <c r="E192">
        <f>IFERROR(INDEX(SBC_35_2C3_1_E1E001CPU1E!N:N,MATCH('По платам'!$B192,SBC_35_2C3_1_E1E001CPU1E!L:L,0)),0)</f>
        <v>1</v>
      </c>
      <c r="F192">
        <f>IFERROR(INDEX(PCIe104_PSU_E1N001PWR1!N:N,MATCH('По платам'!$B192,PCIe104_PSU_E1N001PWR1!L:L,0)),0)</f>
        <v>0</v>
      </c>
      <c r="G192">
        <f>IFERROR(INDEX(PCIe104_INF2_E1N006INF1!N:N,MATCH('По платам'!$B192,PCIe104_INF2_E1N006INF1!L:L,0)),0)</f>
        <v>0</v>
      </c>
      <c r="H192">
        <f>IFERROR(INDEX(PCIe104_CON_E1N005INF1!N:N,MATCH('По платам'!$B192,PCIe104_CON_E1N005INF1!L:L,0)),0)</f>
        <v>0</v>
      </c>
      <c r="I192">
        <f>IFERROR(INDEX('EM-PCIE104-CPU_E1E001CPU1E'!N:N,MATCH('По платам'!$B192,'EM-PCIE104-CPU_E1E001CPU1E'!L:L,0)),0)</f>
        <v>0</v>
      </c>
      <c r="J192">
        <f>IFERROR(INDEX(PCIe104_INF_E1N001INF1!N:N,MATCH('По платам'!$B192,PCIe104_INF_E1N001INF1!L:L,0)),0)</f>
        <v>0</v>
      </c>
      <c r="K192">
        <f>IFERROR(INDEX(IB_2RS232_E1N002INF1!N:N,MATCH('По платам'!$B192,IB_2RS232_E1N002INF1!L:L,0)),0)</f>
        <v>0</v>
      </c>
      <c r="L192">
        <f>IFERROR(INDEX(IB_2CAN_E1N003INF1!N:N,MATCH('По платам'!$B192,IB_2CAN_E1N003INF1!L:L,0)),0)</f>
        <v>0</v>
      </c>
    </row>
    <row r="193" spans="2:12">
      <c r="B193" s="3" t="s">
        <v>1982</v>
      </c>
      <c r="C193">
        <f>IFERROR(INDEX('C2B004CPU2'!N:N,MATCH('По платам'!B193,'C2B004CPU2'!L:L,0)),0)</f>
        <v>0</v>
      </c>
      <c r="D193">
        <f>IFERROR(INDEX(SBC_DIO_E1N004INF1!N:N,MATCH('По платам'!$B193,SBC_DIO_E1N004INF1!L:L,0)),0)</f>
        <v>0</v>
      </c>
      <c r="E193">
        <f>IFERROR(INDEX(SBC_35_2C3_1_E1E001CPU1E!N:N,MATCH('По платам'!$B193,SBC_35_2C3_1_E1E001CPU1E!L:L,0)),0)</f>
        <v>1</v>
      </c>
      <c r="F193">
        <f>IFERROR(INDEX(PCIe104_PSU_E1N001PWR1!N:N,MATCH('По платам'!$B193,PCIe104_PSU_E1N001PWR1!L:L,0)),0)</f>
        <v>0</v>
      </c>
      <c r="G193">
        <f>IFERROR(INDEX(PCIe104_INF2_E1N006INF1!N:N,MATCH('По платам'!$B193,PCIe104_INF2_E1N006INF1!L:L,0)),0)</f>
        <v>0</v>
      </c>
      <c r="H193">
        <f>IFERROR(INDEX(PCIe104_CON_E1N005INF1!N:N,MATCH('По платам'!$B193,PCIe104_CON_E1N005INF1!L:L,0)),0)</f>
        <v>0</v>
      </c>
      <c r="I193">
        <f>IFERROR(INDEX('EM-PCIE104-CPU_E1E001CPU1E'!N:N,MATCH('По платам'!$B193,'EM-PCIE104-CPU_E1E001CPU1E'!L:L,0)),0)</f>
        <v>0</v>
      </c>
      <c r="J193">
        <f>IFERROR(INDEX(PCIe104_INF_E1N001INF1!N:N,MATCH('По платам'!$B193,PCIe104_INF_E1N001INF1!L:L,0)),0)</f>
        <v>0</v>
      </c>
      <c r="K193">
        <f>IFERROR(INDEX(IB_2RS232_E1N002INF1!N:N,MATCH('По платам'!$B193,IB_2RS232_E1N002INF1!L:L,0)),0)</f>
        <v>0</v>
      </c>
      <c r="L193">
        <f>IFERROR(INDEX(IB_2CAN_E1N003INF1!N:N,MATCH('По платам'!$B193,IB_2CAN_E1N003INF1!L:L,0)),0)</f>
        <v>0</v>
      </c>
    </row>
    <row r="194" spans="2:12">
      <c r="B194" s="3" t="s">
        <v>1041</v>
      </c>
      <c r="C194">
        <f>IFERROR(INDEX('C2B004CPU2'!N:N,MATCH('По платам'!B194,'C2B004CPU2'!L:L,0)),0)</f>
        <v>0</v>
      </c>
      <c r="D194">
        <f>IFERROR(INDEX(SBC_DIO_E1N004INF1!N:N,MATCH('По платам'!$B194,SBC_DIO_E1N004INF1!L:L,0)),0)</f>
        <v>0</v>
      </c>
      <c r="E194">
        <f>IFERROR(INDEX(SBC_35_2C3_1_E1E001CPU1E!N:N,MATCH('По платам'!$B194,SBC_35_2C3_1_E1E001CPU1E!L:L,0)),0)</f>
        <v>14</v>
      </c>
      <c r="F194">
        <f>IFERROR(INDEX(PCIe104_PSU_E1N001PWR1!N:N,MATCH('По платам'!$B194,PCIe104_PSU_E1N001PWR1!L:L,0)),0)</f>
        <v>2</v>
      </c>
      <c r="G194">
        <f>IFERROR(INDEX(PCIe104_INF2_E1N006INF1!N:N,MATCH('По платам'!$B194,PCIe104_INF2_E1N006INF1!L:L,0)),0)</f>
        <v>0</v>
      </c>
      <c r="H194">
        <f>IFERROR(INDEX(PCIe104_CON_E1N005INF1!N:N,MATCH('По платам'!$B194,PCIe104_CON_E1N005INF1!L:L,0)),0)</f>
        <v>0</v>
      </c>
      <c r="I194">
        <f>IFERROR(INDEX('EM-PCIE104-CPU_E1E001CPU1E'!N:N,MATCH('По платам'!$B194,'EM-PCIE104-CPU_E1E001CPU1E'!L:L,0)),0)</f>
        <v>2</v>
      </c>
      <c r="J194">
        <f>IFERROR(INDEX(PCIe104_INF_E1N001INF1!N:N,MATCH('По платам'!$B194,PCIe104_INF_E1N001INF1!L:L,0)),0)</f>
        <v>0</v>
      </c>
      <c r="K194">
        <f>IFERROR(INDEX(IB_2RS232_E1N002INF1!N:N,MATCH('По платам'!$B194,IB_2RS232_E1N002INF1!L:L,0)),0)</f>
        <v>0</v>
      </c>
      <c r="L194">
        <f>IFERROR(INDEX(IB_2CAN_E1N003INF1!N:N,MATCH('По платам'!$B194,IB_2CAN_E1N003INF1!L:L,0)),0)</f>
        <v>0</v>
      </c>
    </row>
    <row r="195" spans="2:12">
      <c r="B195" s="3" t="s">
        <v>646</v>
      </c>
      <c r="C195">
        <f>IFERROR(INDEX('C2B004CPU2'!N:N,MATCH('По платам'!B195,'C2B004CPU2'!L:L,0)),0)</f>
        <v>0</v>
      </c>
      <c r="D195">
        <f>IFERROR(INDEX(SBC_DIO_E1N004INF1!N:N,MATCH('По платам'!$B195,SBC_DIO_E1N004INF1!L:L,0)),0)</f>
        <v>0</v>
      </c>
      <c r="E195">
        <f>IFERROR(INDEX(SBC_35_2C3_1_E1E001CPU1E!N:N,MATCH('По платам'!$B195,SBC_35_2C3_1_E1E001CPU1E!L:L,0)),0)</f>
        <v>1</v>
      </c>
      <c r="F195">
        <f>IFERROR(INDEX(PCIe104_PSU_E1N001PWR1!N:N,MATCH('По платам'!$B195,PCIe104_PSU_E1N001PWR1!L:L,0)),0)</f>
        <v>0</v>
      </c>
      <c r="G195">
        <f>IFERROR(INDEX(PCIe104_INF2_E1N006INF1!N:N,MATCH('По платам'!$B195,PCIe104_INF2_E1N006INF1!L:L,0)),0)</f>
        <v>0</v>
      </c>
      <c r="H195">
        <f>IFERROR(INDEX(PCIe104_CON_E1N005INF1!N:N,MATCH('По платам'!$B195,PCIe104_CON_E1N005INF1!L:L,0)),0)</f>
        <v>0</v>
      </c>
      <c r="I195">
        <f>IFERROR(INDEX('EM-PCIE104-CPU_E1E001CPU1E'!N:N,MATCH('По платам'!$B195,'EM-PCIE104-CPU_E1E001CPU1E'!L:L,0)),0)</f>
        <v>1</v>
      </c>
      <c r="J195">
        <f>IFERROR(INDEX(PCIe104_INF_E1N001INF1!N:N,MATCH('По платам'!$B195,PCIe104_INF_E1N001INF1!L:L,0)),0)</f>
        <v>0</v>
      </c>
      <c r="K195">
        <f>IFERROR(INDEX(IB_2RS232_E1N002INF1!N:N,MATCH('По платам'!$B195,IB_2RS232_E1N002INF1!L:L,0)),0)</f>
        <v>0</v>
      </c>
      <c r="L195">
        <f>IFERROR(INDEX(IB_2CAN_E1N003INF1!N:N,MATCH('По платам'!$B195,IB_2CAN_E1N003INF1!L:L,0)),0)</f>
        <v>0</v>
      </c>
    </row>
    <row r="196" spans="2:12">
      <c r="B196" s="3" t="s">
        <v>60</v>
      </c>
      <c r="C196">
        <f>IFERROR(INDEX('C2B004CPU2'!N:N,MATCH('По платам'!B196,'C2B004CPU2'!L:L,0)),0)</f>
        <v>0</v>
      </c>
      <c r="D196">
        <f>IFERROR(INDEX(SBC_DIO_E1N004INF1!N:N,MATCH('По платам'!$B196,SBC_DIO_E1N004INF1!L:L,0)),0)</f>
        <v>0</v>
      </c>
      <c r="E196">
        <f>IFERROR(INDEX(SBC_35_2C3_1_E1E001CPU1E!N:N,MATCH('По платам'!$B196,SBC_35_2C3_1_E1E001CPU1E!L:L,0)),0)</f>
        <v>0</v>
      </c>
      <c r="F196">
        <f>IFERROR(INDEX(PCIe104_PSU_E1N001PWR1!N:N,MATCH('По платам'!$B196,PCIe104_PSU_E1N001PWR1!L:L,0)),0)</f>
        <v>0</v>
      </c>
      <c r="G196">
        <f>IFERROR(INDEX(PCIe104_INF2_E1N006INF1!N:N,MATCH('По платам'!$B196,PCIe104_INF2_E1N006INF1!L:L,0)),0)</f>
        <v>0</v>
      </c>
      <c r="H196">
        <f>IFERROR(INDEX(PCIe104_CON_E1N005INF1!N:N,MATCH('По платам'!$B196,PCIe104_CON_E1N005INF1!L:L,0)),0)</f>
        <v>0</v>
      </c>
      <c r="I196">
        <f>IFERROR(INDEX('EM-PCIE104-CPU_E1E001CPU1E'!N:N,MATCH('По платам'!$B196,'EM-PCIE104-CPU_E1E001CPU1E'!L:L,0)),0)</f>
        <v>0</v>
      </c>
      <c r="J196">
        <f>IFERROR(INDEX(PCIe104_INF_E1N001INF1!N:N,MATCH('По платам'!$B196,PCIe104_INF_E1N001INF1!L:L,0)),0)</f>
        <v>1</v>
      </c>
      <c r="K196">
        <f>IFERROR(INDEX(IB_2RS232_E1N002INF1!N:N,MATCH('По платам'!$B196,IB_2RS232_E1N002INF1!L:L,0)),0)</f>
        <v>0</v>
      </c>
      <c r="L196">
        <f>IFERROR(INDEX(IB_2CAN_E1N003INF1!N:N,MATCH('По платам'!$B196,IB_2CAN_E1N003INF1!L:L,0)),0)</f>
        <v>1</v>
      </c>
    </row>
    <row r="197" spans="2:12">
      <c r="B197" s="3" t="s">
        <v>370</v>
      </c>
      <c r="C197">
        <f>IFERROR(INDEX('C2B004CPU2'!N:N,MATCH('По платам'!B197,'C2B004CPU2'!L:L,0)),0)</f>
        <v>0</v>
      </c>
      <c r="D197">
        <f>IFERROR(INDEX(SBC_DIO_E1N004INF1!N:N,MATCH('По платам'!$B197,SBC_DIO_E1N004INF1!L:L,0)),0)</f>
        <v>0</v>
      </c>
      <c r="E197">
        <f>IFERROR(INDEX(SBC_35_2C3_1_E1E001CPU1E!N:N,MATCH('По платам'!$B197,SBC_35_2C3_1_E1E001CPU1E!L:L,0)),0)</f>
        <v>0</v>
      </c>
      <c r="F197">
        <f>IFERROR(INDEX(PCIe104_PSU_E1N001PWR1!N:N,MATCH('По платам'!$B197,PCIe104_PSU_E1N001PWR1!L:L,0)),0)</f>
        <v>0</v>
      </c>
      <c r="G197">
        <f>IFERROR(INDEX(PCIe104_INF2_E1N006INF1!N:N,MATCH('По платам'!$B197,PCIe104_INF2_E1N006INF1!L:L,0)),0)</f>
        <v>0</v>
      </c>
      <c r="H197">
        <f>IFERROR(INDEX(PCIe104_CON_E1N005INF1!N:N,MATCH('По платам'!$B197,PCIe104_CON_E1N005INF1!L:L,0)),0)</f>
        <v>0</v>
      </c>
      <c r="I197">
        <f>IFERROR(INDEX('EM-PCIE104-CPU_E1E001CPU1E'!N:N,MATCH('По платам'!$B197,'EM-PCIE104-CPU_E1E001CPU1E'!L:L,0)),0)</f>
        <v>0</v>
      </c>
      <c r="J197">
        <f>IFERROR(INDEX(PCIe104_INF_E1N001INF1!N:N,MATCH('По платам'!$B197,PCIe104_INF_E1N001INF1!L:L,0)),0)</f>
        <v>4</v>
      </c>
      <c r="K197">
        <f>IFERROR(INDEX(IB_2RS232_E1N002INF1!N:N,MATCH('По платам'!$B197,IB_2RS232_E1N002INF1!L:L,0)),0)</f>
        <v>0</v>
      </c>
      <c r="L197">
        <f>IFERROR(INDEX(IB_2CAN_E1N003INF1!N:N,MATCH('По платам'!$B197,IB_2CAN_E1N003INF1!L:L,0)),0)</f>
        <v>0</v>
      </c>
    </row>
    <row r="198" spans="2:12">
      <c r="B198" s="3" t="s">
        <v>1359</v>
      </c>
      <c r="C198">
        <f>IFERROR(INDEX('C2B004CPU2'!N:N,MATCH('По платам'!B198,'C2B004CPU2'!L:L,0)),0)</f>
        <v>0</v>
      </c>
      <c r="D198">
        <f>IFERROR(INDEX(SBC_DIO_E1N004INF1!N:N,MATCH('По платам'!$B198,SBC_DIO_E1N004INF1!L:L,0)),0)</f>
        <v>0</v>
      </c>
      <c r="E198">
        <f>IFERROR(INDEX(SBC_35_2C3_1_E1E001CPU1E!N:N,MATCH('По платам'!$B198,SBC_35_2C3_1_E1E001CPU1E!L:L,0)),0)</f>
        <v>0</v>
      </c>
      <c r="F198">
        <f>IFERROR(INDEX(PCIe104_PSU_E1N001PWR1!N:N,MATCH('По платам'!$B198,PCIe104_PSU_E1N001PWR1!L:L,0)),0)</f>
        <v>1</v>
      </c>
      <c r="G198">
        <f>IFERROR(INDEX(PCIe104_INF2_E1N006INF1!N:N,MATCH('По платам'!$B198,PCIe104_INF2_E1N006INF1!L:L,0)),0)</f>
        <v>0</v>
      </c>
      <c r="H198">
        <f>IFERROR(INDEX(PCIe104_CON_E1N005INF1!N:N,MATCH('По платам'!$B198,PCIe104_CON_E1N005INF1!L:L,0)),0)</f>
        <v>0</v>
      </c>
      <c r="I198">
        <f>IFERROR(INDEX('EM-PCIE104-CPU_E1E001CPU1E'!N:N,MATCH('По платам'!$B198,'EM-PCIE104-CPU_E1E001CPU1E'!L:L,0)),0)</f>
        <v>0</v>
      </c>
      <c r="J198">
        <f>IFERROR(INDEX(PCIe104_INF_E1N001INF1!N:N,MATCH('По платам'!$B198,PCIe104_INF_E1N001INF1!L:L,0)),0)</f>
        <v>0</v>
      </c>
      <c r="K198">
        <f>IFERROR(INDEX(IB_2RS232_E1N002INF1!N:N,MATCH('По платам'!$B198,IB_2RS232_E1N002INF1!L:L,0)),0)</f>
        <v>0</v>
      </c>
      <c r="L198">
        <f>IFERROR(INDEX(IB_2CAN_E1N003INF1!N:N,MATCH('По платам'!$B198,IB_2CAN_E1N003INF1!L:L,0)),0)</f>
        <v>0</v>
      </c>
    </row>
    <row r="199" spans="2:12">
      <c r="B199" s="3" t="s">
        <v>2731</v>
      </c>
      <c r="C199">
        <f>IFERROR(INDEX('C2B004CPU2'!N:N,MATCH('По платам'!B199,'C2B004CPU2'!L:L,0)),0)</f>
        <v>1</v>
      </c>
      <c r="D199">
        <f>IFERROR(INDEX(SBC_DIO_E1N004INF1!N:N,MATCH('По платам'!$B199,SBC_DIO_E1N004INF1!L:L,0)),0)</f>
        <v>0</v>
      </c>
      <c r="E199">
        <f>IFERROR(INDEX(SBC_35_2C3_1_E1E001CPU1E!N:N,MATCH('По платам'!$B199,SBC_35_2C3_1_E1E001CPU1E!L:L,0)),0)</f>
        <v>0</v>
      </c>
      <c r="F199">
        <f>IFERROR(INDEX(PCIe104_PSU_E1N001PWR1!N:N,MATCH('По платам'!$B199,PCIe104_PSU_E1N001PWR1!L:L,0)),0)</f>
        <v>0</v>
      </c>
      <c r="G199">
        <f>IFERROR(INDEX(PCIe104_INF2_E1N006INF1!N:N,MATCH('По платам'!$B199,PCIe104_INF2_E1N006INF1!L:L,0)),0)</f>
        <v>0</v>
      </c>
      <c r="H199">
        <f>IFERROR(INDEX(PCIe104_CON_E1N005INF1!N:N,MATCH('По платам'!$B199,PCIe104_CON_E1N005INF1!L:L,0)),0)</f>
        <v>0</v>
      </c>
      <c r="I199">
        <f>IFERROR(INDEX('EM-PCIE104-CPU_E1E001CPU1E'!N:N,MATCH('По платам'!$B199,'EM-PCIE104-CPU_E1E001CPU1E'!L:L,0)),0)</f>
        <v>0</v>
      </c>
      <c r="J199">
        <f>IFERROR(INDEX(PCIe104_INF_E1N001INF1!N:N,MATCH('По платам'!$B199,PCIe104_INF_E1N001INF1!L:L,0)),0)</f>
        <v>0</v>
      </c>
      <c r="K199">
        <f>IFERROR(INDEX(IB_2RS232_E1N002INF1!N:N,MATCH('По платам'!$B199,IB_2RS232_E1N002INF1!L:L,0)),0)</f>
        <v>0</v>
      </c>
      <c r="L199">
        <f>IFERROR(INDEX(IB_2CAN_E1N003INF1!N:N,MATCH('По платам'!$B199,IB_2CAN_E1N003INF1!L:L,0)),0)</f>
        <v>0</v>
      </c>
    </row>
    <row r="200" spans="2:12">
      <c r="B200" s="3" t="s">
        <v>2722</v>
      </c>
      <c r="C200">
        <f>IFERROR(INDEX('C2B004CPU2'!N:N,MATCH('По платам'!B200,'C2B004CPU2'!L:L,0)),0)</f>
        <v>3</v>
      </c>
      <c r="D200">
        <f>IFERROR(INDEX(SBC_DIO_E1N004INF1!N:N,MATCH('По платам'!$B200,SBC_DIO_E1N004INF1!L:L,0)),0)</f>
        <v>0</v>
      </c>
      <c r="E200">
        <f>IFERROR(INDEX(SBC_35_2C3_1_E1E001CPU1E!N:N,MATCH('По платам'!$B200,SBC_35_2C3_1_E1E001CPU1E!L:L,0)),0)</f>
        <v>0</v>
      </c>
      <c r="F200">
        <f>IFERROR(INDEX(PCIe104_PSU_E1N001PWR1!N:N,MATCH('По платам'!$B200,PCIe104_PSU_E1N001PWR1!L:L,0)),0)</f>
        <v>0</v>
      </c>
      <c r="G200">
        <f>IFERROR(INDEX(PCIe104_INF2_E1N006INF1!N:N,MATCH('По платам'!$B200,PCIe104_INF2_E1N006INF1!L:L,0)),0)</f>
        <v>0</v>
      </c>
      <c r="H200">
        <f>IFERROR(INDEX(PCIe104_CON_E1N005INF1!N:N,MATCH('По платам'!$B200,PCIe104_CON_E1N005INF1!L:L,0)),0)</f>
        <v>0</v>
      </c>
      <c r="I200">
        <f>IFERROR(INDEX('EM-PCIE104-CPU_E1E001CPU1E'!N:N,MATCH('По платам'!$B200,'EM-PCIE104-CPU_E1E001CPU1E'!L:L,0)),0)</f>
        <v>0</v>
      </c>
      <c r="J200">
        <f>IFERROR(INDEX(PCIe104_INF_E1N001INF1!N:N,MATCH('По платам'!$B200,PCIe104_INF_E1N001INF1!L:L,0)),0)</f>
        <v>0</v>
      </c>
      <c r="K200">
        <f>IFERROR(INDEX(IB_2RS232_E1N002INF1!N:N,MATCH('По платам'!$B200,IB_2RS232_E1N002INF1!L:L,0)),0)</f>
        <v>0</v>
      </c>
      <c r="L200">
        <f>IFERROR(INDEX(IB_2CAN_E1N003INF1!N:N,MATCH('По платам'!$B200,IB_2CAN_E1N003INF1!L:L,0)),0)</f>
        <v>0</v>
      </c>
    </row>
    <row r="201" spans="2:12">
      <c r="B201" s="3" t="s">
        <v>74</v>
      </c>
      <c r="C201">
        <f>IFERROR(INDEX('C2B004CPU2'!N:N,MATCH('По платам'!B201,'C2B004CPU2'!L:L,0)),0)</f>
        <v>0</v>
      </c>
      <c r="D201">
        <f>IFERROR(INDEX(SBC_DIO_E1N004INF1!N:N,MATCH('По платам'!$B201,SBC_DIO_E1N004INF1!L:L,0)),0)</f>
        <v>0</v>
      </c>
      <c r="E201">
        <f>IFERROR(INDEX(SBC_35_2C3_1_E1E001CPU1E!N:N,MATCH('По платам'!$B201,SBC_35_2C3_1_E1E001CPU1E!L:L,0)),0)</f>
        <v>0</v>
      </c>
      <c r="F201">
        <f>IFERROR(INDEX(PCIe104_PSU_E1N001PWR1!N:N,MATCH('По платам'!$B201,PCIe104_PSU_E1N001PWR1!L:L,0)),0)</f>
        <v>0</v>
      </c>
      <c r="G201">
        <f>IFERROR(INDEX(PCIe104_INF2_E1N006INF1!N:N,MATCH('По платам'!$B201,PCIe104_INF2_E1N006INF1!L:L,0)),0)</f>
        <v>0</v>
      </c>
      <c r="H201">
        <f>IFERROR(INDEX(PCIe104_CON_E1N005INF1!N:N,MATCH('По платам'!$B201,PCIe104_CON_E1N005INF1!L:L,0)),0)</f>
        <v>0</v>
      </c>
      <c r="I201">
        <f>IFERROR(INDEX('EM-PCIE104-CPU_E1E001CPU1E'!N:N,MATCH('По платам'!$B201,'EM-PCIE104-CPU_E1E001CPU1E'!L:L,0)),0)</f>
        <v>0</v>
      </c>
      <c r="J201">
        <f>IFERROR(INDEX(PCIe104_INF_E1N001INF1!N:N,MATCH('По платам'!$B201,PCIe104_INF_E1N001INF1!L:L,0)),0)</f>
        <v>0</v>
      </c>
      <c r="K201">
        <f>IFERROR(INDEX(IB_2RS232_E1N002INF1!N:N,MATCH('По платам'!$B201,IB_2RS232_E1N002INF1!L:L,0)),0)</f>
        <v>3</v>
      </c>
      <c r="L201">
        <f>IFERROR(INDEX(IB_2CAN_E1N003INF1!N:N,MATCH('По платам'!$B201,IB_2CAN_E1N003INF1!L:L,0)),0)</f>
        <v>2</v>
      </c>
    </row>
    <row r="202" spans="2:12">
      <c r="B202" s="3" t="s">
        <v>328</v>
      </c>
      <c r="C202">
        <f>IFERROR(INDEX('C2B004CPU2'!N:N,MATCH('По платам'!B202,'C2B004CPU2'!L:L,0)),0)</f>
        <v>0</v>
      </c>
      <c r="D202">
        <f>IFERROR(INDEX(SBC_DIO_E1N004INF1!N:N,MATCH('По платам'!$B202,SBC_DIO_E1N004INF1!L:L,0)),0)</f>
        <v>0</v>
      </c>
      <c r="E202">
        <f>IFERROR(INDEX(SBC_35_2C3_1_E1E001CPU1E!N:N,MATCH('По платам'!$B202,SBC_35_2C3_1_E1E001CPU1E!L:L,0)),0)</f>
        <v>0</v>
      </c>
      <c r="F202">
        <f>IFERROR(INDEX(PCIe104_PSU_E1N001PWR1!N:N,MATCH('По платам'!$B202,PCIe104_PSU_E1N001PWR1!L:L,0)),0)</f>
        <v>0</v>
      </c>
      <c r="G202">
        <f>IFERROR(INDEX(PCIe104_INF2_E1N006INF1!N:N,MATCH('По платам'!$B202,PCIe104_INF2_E1N006INF1!L:L,0)),0)</f>
        <v>4</v>
      </c>
      <c r="H202">
        <f>IFERROR(INDEX(PCIe104_CON_E1N005INF1!N:N,MATCH('По платам'!$B202,PCIe104_CON_E1N005INF1!L:L,0)),0)</f>
        <v>0</v>
      </c>
      <c r="I202">
        <f>IFERROR(INDEX('EM-PCIE104-CPU_E1E001CPU1E'!N:N,MATCH('По платам'!$B202,'EM-PCIE104-CPU_E1E001CPU1E'!L:L,0)),0)</f>
        <v>0</v>
      </c>
      <c r="J202">
        <f>IFERROR(INDEX(PCIe104_INF_E1N001INF1!N:N,MATCH('По платам'!$B202,PCIe104_INF_E1N001INF1!L:L,0)),0)</f>
        <v>3</v>
      </c>
      <c r="K202">
        <f>IFERROR(INDEX(IB_2RS232_E1N002INF1!N:N,MATCH('По платам'!$B202,IB_2RS232_E1N002INF1!L:L,0)),0)</f>
        <v>0</v>
      </c>
      <c r="L202">
        <f>IFERROR(INDEX(IB_2CAN_E1N003INF1!N:N,MATCH('По платам'!$B202,IB_2CAN_E1N003INF1!L:L,0)),0)</f>
        <v>0</v>
      </c>
    </row>
    <row r="203" spans="2:12">
      <c r="B203" s="3" t="s">
        <v>76</v>
      </c>
      <c r="C203">
        <f>IFERROR(INDEX('C2B004CPU2'!N:N,MATCH('По платам'!B203,'C2B004CPU2'!L:L,0)),0)</f>
        <v>0</v>
      </c>
      <c r="D203">
        <f>IFERROR(INDEX(SBC_DIO_E1N004INF1!N:N,MATCH('По платам'!$B203,SBC_DIO_E1N004INF1!L:L,0)),0)</f>
        <v>0</v>
      </c>
      <c r="E203">
        <f>IFERROR(INDEX(SBC_35_2C3_1_E1E001CPU1E!N:N,MATCH('По платам'!$B203,SBC_35_2C3_1_E1E001CPU1E!L:L,0)),0)</f>
        <v>0</v>
      </c>
      <c r="F203">
        <f>IFERROR(INDEX(PCIe104_PSU_E1N001PWR1!N:N,MATCH('По платам'!$B203,PCIe104_PSU_E1N001PWR1!L:L,0)),0)</f>
        <v>0</v>
      </c>
      <c r="G203">
        <f>IFERROR(INDEX(PCIe104_INF2_E1N006INF1!N:N,MATCH('По платам'!$B203,PCIe104_INF2_E1N006INF1!L:L,0)),0)</f>
        <v>0</v>
      </c>
      <c r="H203">
        <f>IFERROR(INDEX(PCIe104_CON_E1N005INF1!N:N,MATCH('По платам'!$B203,PCIe104_CON_E1N005INF1!L:L,0)),0)</f>
        <v>0</v>
      </c>
      <c r="I203">
        <f>IFERROR(INDEX('EM-PCIE104-CPU_E1E001CPU1E'!N:N,MATCH('По платам'!$B203,'EM-PCIE104-CPU_E1E001CPU1E'!L:L,0)),0)</f>
        <v>0</v>
      </c>
      <c r="J203">
        <f>IFERROR(INDEX(PCIe104_INF_E1N001INF1!N:N,MATCH('По платам'!$B203,PCIe104_INF_E1N001INF1!L:L,0)),0)</f>
        <v>0</v>
      </c>
      <c r="K203">
        <f>IFERROR(INDEX(IB_2RS232_E1N002INF1!N:N,MATCH('По платам'!$B203,IB_2RS232_E1N002INF1!L:L,0)),0)</f>
        <v>16</v>
      </c>
      <c r="L203">
        <f>IFERROR(INDEX(IB_2CAN_E1N003INF1!N:N,MATCH('По платам'!$B203,IB_2CAN_E1N003INF1!L:L,0)),0)</f>
        <v>0</v>
      </c>
    </row>
    <row r="204" spans="2:12">
      <c r="B204" s="3" t="s">
        <v>1180</v>
      </c>
      <c r="C204">
        <f>IFERROR(INDEX('C2B004CPU2'!N:N,MATCH('По платам'!B204,'C2B004CPU2'!L:L,0)),0)</f>
        <v>0</v>
      </c>
      <c r="D204">
        <f>IFERROR(INDEX(SBC_DIO_E1N004INF1!N:N,MATCH('По платам'!$B204,SBC_DIO_E1N004INF1!L:L,0)),0)</f>
        <v>0</v>
      </c>
      <c r="E204">
        <f>IFERROR(INDEX(SBC_35_2C3_1_E1E001CPU1E!N:N,MATCH('По платам'!$B204,SBC_35_2C3_1_E1E001CPU1E!L:L,0)),0)</f>
        <v>0</v>
      </c>
      <c r="F204">
        <f>IFERROR(INDEX(PCIe104_PSU_E1N001PWR1!N:N,MATCH('По платам'!$B204,PCIe104_PSU_E1N001PWR1!L:L,0)),0)</f>
        <v>0</v>
      </c>
      <c r="G204">
        <f>IFERROR(INDEX(PCIe104_INF2_E1N006INF1!N:N,MATCH('По платам'!$B204,PCIe104_INF2_E1N006INF1!L:L,0)),0)</f>
        <v>0</v>
      </c>
      <c r="H204">
        <f>IFERROR(INDEX(PCIe104_CON_E1N005INF1!N:N,MATCH('По платам'!$B204,PCIe104_CON_E1N005INF1!L:L,0)),0)</f>
        <v>1</v>
      </c>
      <c r="I204">
        <f>IFERROR(INDEX('EM-PCIE104-CPU_E1E001CPU1E'!N:N,MATCH('По платам'!$B204,'EM-PCIE104-CPU_E1E001CPU1E'!L:L,0)),0)</f>
        <v>0</v>
      </c>
      <c r="J204">
        <f>IFERROR(INDEX(PCIe104_INF_E1N001INF1!N:N,MATCH('По платам'!$B204,PCIe104_INF_E1N001INF1!L:L,0)),0)</f>
        <v>0</v>
      </c>
      <c r="K204">
        <f>IFERROR(INDEX(IB_2RS232_E1N002INF1!N:N,MATCH('По платам'!$B204,IB_2RS232_E1N002INF1!L:L,0)),0)</f>
        <v>0</v>
      </c>
      <c r="L204">
        <f>IFERROR(INDEX(IB_2CAN_E1N003INF1!N:N,MATCH('По платам'!$B204,IB_2CAN_E1N003INF1!L:L,0)),0)</f>
        <v>0</v>
      </c>
    </row>
    <row r="205" spans="2:12">
      <c r="B205" s="3" t="s">
        <v>1028</v>
      </c>
      <c r="C205">
        <f>IFERROR(INDEX('C2B004CPU2'!N:N,MATCH('По платам'!B205,'C2B004CPU2'!L:L,0)),0)</f>
        <v>0</v>
      </c>
      <c r="D205">
        <f>IFERROR(INDEX(SBC_DIO_E1N004INF1!N:N,MATCH('По платам'!$B205,SBC_DIO_E1N004INF1!L:L,0)),0)</f>
        <v>0</v>
      </c>
      <c r="E205">
        <f>IFERROR(INDEX(SBC_35_2C3_1_E1E001CPU1E!N:N,MATCH('По платам'!$B205,SBC_35_2C3_1_E1E001CPU1E!L:L,0)),0)</f>
        <v>6</v>
      </c>
      <c r="F205">
        <f>IFERROR(INDEX(PCIe104_PSU_E1N001PWR1!N:N,MATCH('По платам'!$B205,PCIe104_PSU_E1N001PWR1!L:L,0)),0)</f>
        <v>0</v>
      </c>
      <c r="G205">
        <f>IFERROR(INDEX(PCIe104_INF2_E1N006INF1!N:N,MATCH('По платам'!$B205,PCIe104_INF2_E1N006INF1!L:L,0)),0)</f>
        <v>0</v>
      </c>
      <c r="H205">
        <f>IFERROR(INDEX(PCIe104_CON_E1N005INF1!N:N,MATCH('По платам'!$B205,PCIe104_CON_E1N005INF1!L:L,0)),0)</f>
        <v>0</v>
      </c>
      <c r="I205">
        <f>IFERROR(INDEX('EM-PCIE104-CPU_E1E001CPU1E'!N:N,MATCH('По платам'!$B205,'EM-PCIE104-CPU_E1E001CPU1E'!L:L,0)),0)</f>
        <v>1</v>
      </c>
      <c r="J205">
        <f>IFERROR(INDEX(PCIe104_INF_E1N001INF1!N:N,MATCH('По платам'!$B205,PCIe104_INF_E1N001INF1!L:L,0)),0)</f>
        <v>0</v>
      </c>
      <c r="K205">
        <f>IFERROR(INDEX(IB_2RS232_E1N002INF1!N:N,MATCH('По платам'!$B205,IB_2RS232_E1N002INF1!L:L,0)),0)</f>
        <v>0</v>
      </c>
      <c r="L205">
        <f>IFERROR(INDEX(IB_2CAN_E1N003INF1!N:N,MATCH('По платам'!$B205,IB_2CAN_E1N003INF1!L:L,0)),0)</f>
        <v>0</v>
      </c>
    </row>
    <row r="206" spans="2:12">
      <c r="B206" s="3" t="s">
        <v>2335</v>
      </c>
      <c r="C206">
        <f>IFERROR(INDEX('C2B004CPU2'!N:N,MATCH('По платам'!B206,'C2B004CPU2'!L:L,0)),0)</f>
        <v>4</v>
      </c>
      <c r="D206">
        <f>IFERROR(INDEX(SBC_DIO_E1N004INF1!N:N,MATCH('По платам'!$B206,SBC_DIO_E1N004INF1!L:L,0)),0)</f>
        <v>0</v>
      </c>
      <c r="E206">
        <f>IFERROR(INDEX(SBC_35_2C3_1_E1E001CPU1E!N:N,MATCH('По платам'!$B206,SBC_35_2C3_1_E1E001CPU1E!L:L,0)),0)</f>
        <v>0</v>
      </c>
      <c r="F206">
        <f>IFERROR(INDEX(PCIe104_PSU_E1N001PWR1!N:N,MATCH('По платам'!$B206,PCIe104_PSU_E1N001PWR1!L:L,0)),0)</f>
        <v>0</v>
      </c>
      <c r="G206">
        <f>IFERROR(INDEX(PCIe104_INF2_E1N006INF1!N:N,MATCH('По платам'!$B206,PCIe104_INF2_E1N006INF1!L:L,0)),0)</f>
        <v>0</v>
      </c>
      <c r="H206">
        <f>IFERROR(INDEX(PCIe104_CON_E1N005INF1!N:N,MATCH('По платам'!$B206,PCIe104_CON_E1N005INF1!L:L,0)),0)</f>
        <v>0</v>
      </c>
      <c r="I206">
        <f>IFERROR(INDEX('EM-PCIE104-CPU_E1E001CPU1E'!N:N,MATCH('По платам'!$B206,'EM-PCIE104-CPU_E1E001CPU1E'!L:L,0)),0)</f>
        <v>0</v>
      </c>
      <c r="J206">
        <f>IFERROR(INDEX(PCIe104_INF_E1N001INF1!N:N,MATCH('По платам'!$B206,PCIe104_INF_E1N001INF1!L:L,0)),0)</f>
        <v>0</v>
      </c>
      <c r="K206">
        <f>IFERROR(INDEX(IB_2RS232_E1N002INF1!N:N,MATCH('По платам'!$B206,IB_2RS232_E1N002INF1!L:L,0)),0)</f>
        <v>0</v>
      </c>
      <c r="L206">
        <f>IFERROR(INDEX(IB_2CAN_E1N003INF1!N:N,MATCH('По платам'!$B206,IB_2CAN_E1N003INF1!L:L,0)),0)</f>
        <v>0</v>
      </c>
    </row>
    <row r="207" spans="2:12">
      <c r="B207" s="3" t="s">
        <v>2339</v>
      </c>
      <c r="C207">
        <f>IFERROR(INDEX('C2B004CPU2'!N:N,MATCH('По платам'!B207,'C2B004CPU2'!L:L,0)),0)</f>
        <v>6</v>
      </c>
      <c r="D207">
        <f>IFERROR(INDEX(SBC_DIO_E1N004INF1!N:N,MATCH('По платам'!$B207,SBC_DIO_E1N004INF1!L:L,0)),0)</f>
        <v>0</v>
      </c>
      <c r="E207">
        <f>IFERROR(INDEX(SBC_35_2C3_1_E1E001CPU1E!N:N,MATCH('По платам'!$B207,SBC_35_2C3_1_E1E001CPU1E!L:L,0)),0)</f>
        <v>0</v>
      </c>
      <c r="F207">
        <f>IFERROR(INDEX(PCIe104_PSU_E1N001PWR1!N:N,MATCH('По платам'!$B207,PCIe104_PSU_E1N001PWR1!L:L,0)),0)</f>
        <v>0</v>
      </c>
      <c r="G207">
        <f>IFERROR(INDEX(PCIe104_INF2_E1N006INF1!N:N,MATCH('По платам'!$B207,PCIe104_INF2_E1N006INF1!L:L,0)),0)</f>
        <v>0</v>
      </c>
      <c r="H207">
        <f>IFERROR(INDEX(PCIe104_CON_E1N005INF1!N:N,MATCH('По платам'!$B207,PCIe104_CON_E1N005INF1!L:L,0)),0)</f>
        <v>0</v>
      </c>
      <c r="I207">
        <f>IFERROR(INDEX('EM-PCIE104-CPU_E1E001CPU1E'!N:N,MATCH('По платам'!$B207,'EM-PCIE104-CPU_E1E001CPU1E'!L:L,0)),0)</f>
        <v>0</v>
      </c>
      <c r="J207">
        <f>IFERROR(INDEX(PCIe104_INF_E1N001INF1!N:N,MATCH('По платам'!$B207,PCIe104_INF_E1N001INF1!L:L,0)),0)</f>
        <v>0</v>
      </c>
      <c r="K207">
        <f>IFERROR(INDEX(IB_2RS232_E1N002INF1!N:N,MATCH('По платам'!$B207,IB_2RS232_E1N002INF1!L:L,0)),0)</f>
        <v>0</v>
      </c>
      <c r="L207">
        <f>IFERROR(INDEX(IB_2CAN_E1N003INF1!N:N,MATCH('По платам'!$B207,IB_2CAN_E1N003INF1!L:L,0)),0)</f>
        <v>0</v>
      </c>
    </row>
    <row r="208" spans="2:12">
      <c r="B208" s="3" t="s">
        <v>2343</v>
      </c>
      <c r="C208">
        <f>IFERROR(INDEX('C2B004CPU2'!N:N,MATCH('По платам'!B208,'C2B004CPU2'!L:L,0)),0)</f>
        <v>4</v>
      </c>
      <c r="D208">
        <f>IFERROR(INDEX(SBC_DIO_E1N004INF1!N:N,MATCH('По платам'!$B208,SBC_DIO_E1N004INF1!L:L,0)),0)</f>
        <v>0</v>
      </c>
      <c r="E208">
        <f>IFERROR(INDEX(SBC_35_2C3_1_E1E001CPU1E!N:N,MATCH('По платам'!$B208,SBC_35_2C3_1_E1E001CPU1E!L:L,0)),0)</f>
        <v>0</v>
      </c>
      <c r="F208">
        <f>IFERROR(INDEX(PCIe104_PSU_E1N001PWR1!N:N,MATCH('По платам'!$B208,PCIe104_PSU_E1N001PWR1!L:L,0)),0)</f>
        <v>0</v>
      </c>
      <c r="G208">
        <f>IFERROR(INDEX(PCIe104_INF2_E1N006INF1!N:N,MATCH('По платам'!$B208,PCIe104_INF2_E1N006INF1!L:L,0)),0)</f>
        <v>0</v>
      </c>
      <c r="H208">
        <f>IFERROR(INDEX(PCIe104_CON_E1N005INF1!N:N,MATCH('По платам'!$B208,PCIe104_CON_E1N005INF1!L:L,0)),0)</f>
        <v>0</v>
      </c>
      <c r="I208">
        <f>IFERROR(INDEX('EM-PCIE104-CPU_E1E001CPU1E'!N:N,MATCH('По платам'!$B208,'EM-PCIE104-CPU_E1E001CPU1E'!L:L,0)),0)</f>
        <v>0</v>
      </c>
      <c r="J208">
        <f>IFERROR(INDEX(PCIe104_INF_E1N001INF1!N:N,MATCH('По платам'!$B208,PCIe104_INF_E1N001INF1!L:L,0)),0)</f>
        <v>0</v>
      </c>
      <c r="K208">
        <f>IFERROR(INDEX(IB_2RS232_E1N002INF1!N:N,MATCH('По платам'!$B208,IB_2RS232_E1N002INF1!L:L,0)),0)</f>
        <v>0</v>
      </c>
      <c r="L208">
        <f>IFERROR(INDEX(IB_2CAN_E1N003INF1!N:N,MATCH('По платам'!$B208,IB_2CAN_E1N003INF1!L:L,0)),0)</f>
        <v>0</v>
      </c>
    </row>
    <row r="209" spans="2:12">
      <c r="B209" s="3" t="s">
        <v>2331</v>
      </c>
      <c r="C209">
        <f>IFERROR(INDEX('C2B004CPU2'!N:N,MATCH('По платам'!B209,'C2B004CPU2'!L:L,0)),0)</f>
        <v>6</v>
      </c>
      <c r="D209">
        <f>IFERROR(INDEX(SBC_DIO_E1N004INF1!N:N,MATCH('По платам'!$B209,SBC_DIO_E1N004INF1!L:L,0)),0)</f>
        <v>0</v>
      </c>
      <c r="E209">
        <f>IFERROR(INDEX(SBC_35_2C3_1_E1E001CPU1E!N:N,MATCH('По платам'!$B209,SBC_35_2C3_1_E1E001CPU1E!L:L,0)),0)</f>
        <v>0</v>
      </c>
      <c r="F209">
        <f>IFERROR(INDEX(PCIe104_PSU_E1N001PWR1!N:N,MATCH('По платам'!$B209,PCIe104_PSU_E1N001PWR1!L:L,0)),0)</f>
        <v>0</v>
      </c>
      <c r="G209">
        <f>IFERROR(INDEX(PCIe104_INF2_E1N006INF1!N:N,MATCH('По платам'!$B209,PCIe104_INF2_E1N006INF1!L:L,0)),0)</f>
        <v>0</v>
      </c>
      <c r="H209">
        <f>IFERROR(INDEX(PCIe104_CON_E1N005INF1!N:N,MATCH('По платам'!$B209,PCIe104_CON_E1N005INF1!L:L,0)),0)</f>
        <v>0</v>
      </c>
      <c r="I209">
        <f>IFERROR(INDEX('EM-PCIE104-CPU_E1E001CPU1E'!N:N,MATCH('По платам'!$B209,'EM-PCIE104-CPU_E1E001CPU1E'!L:L,0)),0)</f>
        <v>0</v>
      </c>
      <c r="J209">
        <f>IFERROR(INDEX(PCIe104_INF_E1N001INF1!N:N,MATCH('По платам'!$B209,PCIe104_INF_E1N001INF1!L:L,0)),0)</f>
        <v>0</v>
      </c>
      <c r="K209">
        <f>IFERROR(INDEX(IB_2RS232_E1N002INF1!N:N,MATCH('По платам'!$B209,IB_2RS232_E1N002INF1!L:L,0)),0)</f>
        <v>0</v>
      </c>
      <c r="L209">
        <f>IFERROR(INDEX(IB_2CAN_E1N003INF1!N:N,MATCH('По платам'!$B209,IB_2CAN_E1N003INF1!L:L,0)),0)</f>
        <v>0</v>
      </c>
    </row>
    <row r="210" spans="2:12">
      <c r="B210" s="3" t="s">
        <v>2325</v>
      </c>
      <c r="C210">
        <f>IFERROR(INDEX('C2B004CPU2'!N:N,MATCH('По платам'!B210,'C2B004CPU2'!L:L,0)),0)</f>
        <v>3</v>
      </c>
      <c r="D210">
        <f>IFERROR(INDEX(SBC_DIO_E1N004INF1!N:N,MATCH('По платам'!$B210,SBC_DIO_E1N004INF1!L:L,0)),0)</f>
        <v>0</v>
      </c>
      <c r="E210">
        <f>IFERROR(INDEX(SBC_35_2C3_1_E1E001CPU1E!N:N,MATCH('По платам'!$B210,SBC_35_2C3_1_E1E001CPU1E!L:L,0)),0)</f>
        <v>0</v>
      </c>
      <c r="F210">
        <f>IFERROR(INDEX(PCIe104_PSU_E1N001PWR1!N:N,MATCH('По платам'!$B210,PCIe104_PSU_E1N001PWR1!L:L,0)),0)</f>
        <v>0</v>
      </c>
      <c r="G210">
        <f>IFERROR(INDEX(PCIe104_INF2_E1N006INF1!N:N,MATCH('По платам'!$B210,PCIe104_INF2_E1N006INF1!L:L,0)),0)</f>
        <v>0</v>
      </c>
      <c r="H210">
        <f>IFERROR(INDEX(PCIe104_CON_E1N005INF1!N:N,MATCH('По платам'!$B210,PCIe104_CON_E1N005INF1!L:L,0)),0)</f>
        <v>0</v>
      </c>
      <c r="I210">
        <f>IFERROR(INDEX('EM-PCIE104-CPU_E1E001CPU1E'!N:N,MATCH('По платам'!$B210,'EM-PCIE104-CPU_E1E001CPU1E'!L:L,0)),0)</f>
        <v>0</v>
      </c>
      <c r="J210">
        <f>IFERROR(INDEX(PCIe104_INF_E1N001INF1!N:N,MATCH('По платам'!$B210,PCIe104_INF_E1N001INF1!L:L,0)),0)</f>
        <v>0</v>
      </c>
      <c r="K210">
        <f>IFERROR(INDEX(IB_2RS232_E1N002INF1!N:N,MATCH('По платам'!$B210,IB_2RS232_E1N002INF1!L:L,0)),0)</f>
        <v>0</v>
      </c>
      <c r="L210">
        <f>IFERROR(INDEX(IB_2CAN_E1N003INF1!N:N,MATCH('По платам'!$B210,IB_2CAN_E1N003INF1!L:L,0)),0)</f>
        <v>0</v>
      </c>
    </row>
    <row r="211" spans="2:12">
      <c r="B211" s="3" t="s">
        <v>2321</v>
      </c>
      <c r="C211">
        <f>IFERROR(INDEX('C2B004CPU2'!N:N,MATCH('По платам'!B211,'C2B004CPU2'!L:L,0)),0)</f>
        <v>8</v>
      </c>
      <c r="D211">
        <f>IFERROR(INDEX(SBC_DIO_E1N004INF1!N:N,MATCH('По платам'!$B211,SBC_DIO_E1N004INF1!L:L,0)),0)</f>
        <v>0</v>
      </c>
      <c r="E211">
        <f>IFERROR(INDEX(SBC_35_2C3_1_E1E001CPU1E!N:N,MATCH('По платам'!$B211,SBC_35_2C3_1_E1E001CPU1E!L:L,0)),0)</f>
        <v>0</v>
      </c>
      <c r="F211">
        <f>IFERROR(INDEX(PCIe104_PSU_E1N001PWR1!N:N,MATCH('По платам'!$B211,PCIe104_PSU_E1N001PWR1!L:L,0)),0)</f>
        <v>0</v>
      </c>
      <c r="G211">
        <f>IFERROR(INDEX(PCIe104_INF2_E1N006INF1!N:N,MATCH('По платам'!$B211,PCIe104_INF2_E1N006INF1!L:L,0)),0)</f>
        <v>0</v>
      </c>
      <c r="H211">
        <f>IFERROR(INDEX(PCIe104_CON_E1N005INF1!N:N,MATCH('По платам'!$B211,PCIe104_CON_E1N005INF1!L:L,0)),0)</f>
        <v>0</v>
      </c>
      <c r="I211">
        <f>IFERROR(INDEX('EM-PCIE104-CPU_E1E001CPU1E'!N:N,MATCH('По платам'!$B211,'EM-PCIE104-CPU_E1E001CPU1E'!L:L,0)),0)</f>
        <v>0</v>
      </c>
      <c r="J211">
        <f>IFERROR(INDEX(PCIe104_INF_E1N001INF1!N:N,MATCH('По платам'!$B211,PCIe104_INF_E1N001INF1!L:L,0)),0)</f>
        <v>0</v>
      </c>
      <c r="K211">
        <f>IFERROR(INDEX(IB_2RS232_E1N002INF1!N:N,MATCH('По платам'!$B211,IB_2RS232_E1N002INF1!L:L,0)),0)</f>
        <v>0</v>
      </c>
      <c r="L211">
        <f>IFERROR(INDEX(IB_2CAN_E1N003INF1!N:N,MATCH('По платам'!$B211,IB_2CAN_E1N003INF1!L:L,0)),0)</f>
        <v>0</v>
      </c>
    </row>
    <row r="212" spans="2:12">
      <c r="B212" s="3" t="s">
        <v>1712</v>
      </c>
      <c r="C212">
        <f>IFERROR(INDEX('C2B004CPU2'!N:N,MATCH('По платам'!B212,'C2B004CPU2'!L:L,0)),0)</f>
        <v>6</v>
      </c>
      <c r="D212">
        <f>IFERROR(INDEX(SBC_DIO_E1N004INF1!N:N,MATCH('По платам'!$B212,SBC_DIO_E1N004INF1!L:L,0)),0)</f>
        <v>0</v>
      </c>
      <c r="E212">
        <f>IFERROR(INDEX(SBC_35_2C3_1_E1E001CPU1E!N:N,MATCH('По платам'!$B212,SBC_35_2C3_1_E1E001CPU1E!L:L,0)),0)</f>
        <v>2</v>
      </c>
      <c r="F212">
        <f>IFERROR(INDEX(PCIe104_PSU_E1N001PWR1!N:N,MATCH('По платам'!$B212,PCIe104_PSU_E1N001PWR1!L:L,0)),0)</f>
        <v>0</v>
      </c>
      <c r="G212">
        <f>IFERROR(INDEX(PCIe104_INF2_E1N006INF1!N:N,MATCH('По платам'!$B212,PCIe104_INF2_E1N006INF1!L:L,0)),0)</f>
        <v>0</v>
      </c>
      <c r="H212">
        <f>IFERROR(INDEX(PCIe104_CON_E1N005INF1!N:N,MATCH('По платам'!$B212,PCIe104_CON_E1N005INF1!L:L,0)),0)</f>
        <v>0</v>
      </c>
      <c r="I212">
        <f>IFERROR(INDEX('EM-PCIE104-CPU_E1E001CPU1E'!N:N,MATCH('По платам'!$B212,'EM-PCIE104-CPU_E1E001CPU1E'!L:L,0)),0)</f>
        <v>0</v>
      </c>
      <c r="J212">
        <f>IFERROR(INDEX(PCIe104_INF_E1N001INF1!N:N,MATCH('По платам'!$B212,PCIe104_INF_E1N001INF1!L:L,0)),0)</f>
        <v>0</v>
      </c>
      <c r="K212">
        <f>IFERROR(INDEX(IB_2RS232_E1N002INF1!N:N,MATCH('По платам'!$B212,IB_2RS232_E1N002INF1!L:L,0)),0)</f>
        <v>0</v>
      </c>
      <c r="L212">
        <f>IFERROR(INDEX(IB_2CAN_E1N003INF1!N:N,MATCH('По платам'!$B212,IB_2CAN_E1N003INF1!L:L,0)),0)</f>
        <v>0</v>
      </c>
    </row>
    <row r="213" spans="2:12">
      <c r="B213" s="3" t="s">
        <v>410</v>
      </c>
      <c r="C213">
        <f>IFERROR(INDEX('C2B004CPU2'!N:N,MATCH('По платам'!B213,'C2B004CPU2'!L:L,0)),0)</f>
        <v>0</v>
      </c>
      <c r="D213">
        <f>IFERROR(INDEX(SBC_DIO_E1N004INF1!N:N,MATCH('По платам'!$B213,SBC_DIO_E1N004INF1!L:L,0)),0)</f>
        <v>0</v>
      </c>
      <c r="E213">
        <f>IFERROR(INDEX(SBC_35_2C3_1_E1E001CPU1E!N:N,MATCH('По платам'!$B213,SBC_35_2C3_1_E1E001CPU1E!L:L,0)),0)</f>
        <v>1</v>
      </c>
      <c r="F213">
        <f>IFERROR(INDEX(PCIe104_PSU_E1N001PWR1!N:N,MATCH('По платам'!$B213,PCIe104_PSU_E1N001PWR1!L:L,0)),0)</f>
        <v>0</v>
      </c>
      <c r="G213">
        <f>IFERROR(INDEX(PCIe104_INF2_E1N006INF1!N:N,MATCH('По платам'!$B213,PCIe104_INF2_E1N006INF1!L:L,0)),0)</f>
        <v>0</v>
      </c>
      <c r="H213">
        <f>IFERROR(INDEX(PCIe104_CON_E1N005INF1!N:N,MATCH('По платам'!$B213,PCIe104_CON_E1N005INF1!L:L,0)),0)</f>
        <v>0</v>
      </c>
      <c r="I213">
        <f>IFERROR(INDEX('EM-PCIE104-CPU_E1E001CPU1E'!N:N,MATCH('По платам'!$B213,'EM-PCIE104-CPU_E1E001CPU1E'!L:L,0)),0)</f>
        <v>0</v>
      </c>
      <c r="J213">
        <f>IFERROR(INDEX(PCIe104_INF_E1N001INF1!N:N,MATCH('По платам'!$B213,PCIe104_INF_E1N001INF1!L:L,0)),0)</f>
        <v>2</v>
      </c>
      <c r="K213">
        <f>IFERROR(INDEX(IB_2RS232_E1N002INF1!N:N,MATCH('По платам'!$B213,IB_2RS232_E1N002INF1!L:L,0)),0)</f>
        <v>0</v>
      </c>
      <c r="L213">
        <f>IFERROR(INDEX(IB_2CAN_E1N003INF1!N:N,MATCH('По платам'!$B213,IB_2CAN_E1N003INF1!L:L,0)),0)</f>
        <v>0</v>
      </c>
    </row>
    <row r="214" spans="2:12">
      <c r="B214" s="3" t="s">
        <v>803</v>
      </c>
      <c r="C214">
        <f>IFERROR(INDEX('C2B004CPU2'!N:N,MATCH('По платам'!B214,'C2B004CPU2'!L:L,0)),0)</f>
        <v>0</v>
      </c>
      <c r="D214">
        <f>IFERROR(INDEX(SBC_DIO_E1N004INF1!N:N,MATCH('По платам'!$B214,SBC_DIO_E1N004INF1!L:L,0)),0)</f>
        <v>0</v>
      </c>
      <c r="E214">
        <f>IFERROR(INDEX(SBC_35_2C3_1_E1E001CPU1E!N:N,MATCH('По платам'!$B214,SBC_35_2C3_1_E1E001CPU1E!L:L,0)),0)</f>
        <v>0</v>
      </c>
      <c r="F214">
        <f>IFERROR(INDEX(PCIe104_PSU_E1N001PWR1!N:N,MATCH('По платам'!$B214,PCIe104_PSU_E1N001PWR1!L:L,0)),0)</f>
        <v>0</v>
      </c>
      <c r="G214">
        <f>IFERROR(INDEX(PCIe104_INF2_E1N006INF1!N:N,MATCH('По платам'!$B214,PCIe104_INF2_E1N006INF1!L:L,0)),0)</f>
        <v>0</v>
      </c>
      <c r="H214">
        <f>IFERROR(INDEX(PCIe104_CON_E1N005INF1!N:N,MATCH('По платам'!$B214,PCIe104_CON_E1N005INF1!L:L,0)),0)</f>
        <v>0</v>
      </c>
      <c r="I214">
        <f>IFERROR(INDEX('EM-PCIE104-CPU_E1E001CPU1E'!N:N,MATCH('По платам'!$B214,'EM-PCIE104-CPU_E1E001CPU1E'!L:L,0)),0)</f>
        <v>2</v>
      </c>
      <c r="J214">
        <f>IFERROR(INDEX(PCIe104_INF_E1N001INF1!N:N,MATCH('По платам'!$B214,PCIe104_INF_E1N001INF1!L:L,0)),0)</f>
        <v>0</v>
      </c>
      <c r="K214">
        <f>IFERROR(INDEX(IB_2RS232_E1N002INF1!N:N,MATCH('По платам'!$B214,IB_2RS232_E1N002INF1!L:L,0)),0)</f>
        <v>0</v>
      </c>
      <c r="L214">
        <f>IFERROR(INDEX(IB_2CAN_E1N003INF1!N:N,MATCH('По платам'!$B214,IB_2CAN_E1N003INF1!L:L,0)),0)</f>
        <v>0</v>
      </c>
    </row>
    <row r="215" spans="2:12">
      <c r="B215" s="3" t="s">
        <v>1693</v>
      </c>
      <c r="C215">
        <f>IFERROR(INDEX('C2B004CPU2'!N:N,MATCH('По платам'!B215,'C2B004CPU2'!L:L,0)),0)</f>
        <v>0</v>
      </c>
      <c r="D215">
        <f>IFERROR(INDEX(SBC_DIO_E1N004INF1!N:N,MATCH('По платам'!$B215,SBC_DIO_E1N004INF1!L:L,0)),0)</f>
        <v>0</v>
      </c>
      <c r="E215">
        <f>IFERROR(INDEX(SBC_35_2C3_1_E1E001CPU1E!N:N,MATCH('По платам'!$B215,SBC_35_2C3_1_E1E001CPU1E!L:L,0)),0)</f>
        <v>19</v>
      </c>
      <c r="F215">
        <f>IFERROR(INDEX(PCIe104_PSU_E1N001PWR1!N:N,MATCH('По платам'!$B215,PCIe104_PSU_E1N001PWR1!L:L,0)),0)</f>
        <v>0</v>
      </c>
      <c r="G215">
        <f>IFERROR(INDEX(PCIe104_INF2_E1N006INF1!N:N,MATCH('По платам'!$B215,PCIe104_INF2_E1N006INF1!L:L,0)),0)</f>
        <v>0</v>
      </c>
      <c r="H215">
        <f>IFERROR(INDEX(PCIe104_CON_E1N005INF1!N:N,MATCH('По платам'!$B215,PCIe104_CON_E1N005INF1!L:L,0)),0)</f>
        <v>0</v>
      </c>
      <c r="I215">
        <f>IFERROR(INDEX('EM-PCIE104-CPU_E1E001CPU1E'!N:N,MATCH('По платам'!$B215,'EM-PCIE104-CPU_E1E001CPU1E'!L:L,0)),0)</f>
        <v>0</v>
      </c>
      <c r="J215">
        <f>IFERROR(INDEX(PCIe104_INF_E1N001INF1!N:N,MATCH('По платам'!$B215,PCIe104_INF_E1N001INF1!L:L,0)),0)</f>
        <v>0</v>
      </c>
      <c r="K215">
        <f>IFERROR(INDEX(IB_2RS232_E1N002INF1!N:N,MATCH('По платам'!$B215,IB_2RS232_E1N002INF1!L:L,0)),0)</f>
        <v>0</v>
      </c>
      <c r="L215">
        <f>IFERROR(INDEX(IB_2CAN_E1N003INF1!N:N,MATCH('По платам'!$B215,IB_2CAN_E1N003INF1!L:L,0)),0)</f>
        <v>0</v>
      </c>
    </row>
    <row r="216" spans="2:12">
      <c r="B216" s="3" t="s">
        <v>1545</v>
      </c>
      <c r="C216">
        <f>IFERROR(INDEX('C2B004CPU2'!N:N,MATCH('По платам'!B216,'C2B004CPU2'!L:L,0)),0)</f>
        <v>0</v>
      </c>
      <c r="D216">
        <f>IFERROR(INDEX(SBC_DIO_E1N004INF1!N:N,MATCH('По платам'!$B216,SBC_DIO_E1N004INF1!L:L,0)),0)</f>
        <v>0</v>
      </c>
      <c r="E216">
        <f>IFERROR(INDEX(SBC_35_2C3_1_E1E001CPU1E!N:N,MATCH('По платам'!$B216,SBC_35_2C3_1_E1E001CPU1E!L:L,0)),0)</f>
        <v>3</v>
      </c>
      <c r="F216">
        <f>IFERROR(INDEX(PCIe104_PSU_E1N001PWR1!N:N,MATCH('По платам'!$B216,PCIe104_PSU_E1N001PWR1!L:L,0)),0)</f>
        <v>0</v>
      </c>
      <c r="G216">
        <f>IFERROR(INDEX(PCIe104_INF2_E1N006INF1!N:N,MATCH('По платам'!$B216,PCIe104_INF2_E1N006INF1!L:L,0)),0)</f>
        <v>0</v>
      </c>
      <c r="H216">
        <f>IFERROR(INDEX(PCIe104_CON_E1N005INF1!N:N,MATCH('По платам'!$B216,PCIe104_CON_E1N005INF1!L:L,0)),0)</f>
        <v>0</v>
      </c>
      <c r="I216">
        <f>IFERROR(INDEX('EM-PCIE104-CPU_E1E001CPU1E'!N:N,MATCH('По платам'!$B216,'EM-PCIE104-CPU_E1E001CPU1E'!L:L,0)),0)</f>
        <v>0</v>
      </c>
      <c r="J216">
        <f>IFERROR(INDEX(PCIe104_INF_E1N001INF1!N:N,MATCH('По платам'!$B216,PCIe104_INF_E1N001INF1!L:L,0)),0)</f>
        <v>0</v>
      </c>
      <c r="K216">
        <f>IFERROR(INDEX(IB_2RS232_E1N002INF1!N:N,MATCH('По платам'!$B216,IB_2RS232_E1N002INF1!L:L,0)),0)</f>
        <v>0</v>
      </c>
      <c r="L216">
        <f>IFERROR(INDEX(IB_2CAN_E1N003INF1!N:N,MATCH('По платам'!$B216,IB_2CAN_E1N003INF1!L:L,0)),0)</f>
        <v>0</v>
      </c>
    </row>
    <row r="217" spans="2:12">
      <c r="B217" s="3" t="s">
        <v>1565</v>
      </c>
      <c r="C217">
        <f>IFERROR(INDEX('C2B004CPU2'!N:N,MATCH('По платам'!B217,'C2B004CPU2'!L:L,0)),0)</f>
        <v>0</v>
      </c>
      <c r="D217">
        <f>IFERROR(INDEX(SBC_DIO_E1N004INF1!N:N,MATCH('По платам'!$B217,SBC_DIO_E1N004INF1!L:L,0)),0)</f>
        <v>0</v>
      </c>
      <c r="E217">
        <f>IFERROR(INDEX(SBC_35_2C3_1_E1E001CPU1E!N:N,MATCH('По платам'!$B217,SBC_35_2C3_1_E1E001CPU1E!L:L,0)),0)</f>
        <v>1</v>
      </c>
      <c r="F217">
        <f>IFERROR(INDEX(PCIe104_PSU_E1N001PWR1!N:N,MATCH('По платам'!$B217,PCIe104_PSU_E1N001PWR1!L:L,0)),0)</f>
        <v>0</v>
      </c>
      <c r="G217">
        <f>IFERROR(INDEX(PCIe104_INF2_E1N006INF1!N:N,MATCH('По платам'!$B217,PCIe104_INF2_E1N006INF1!L:L,0)),0)</f>
        <v>0</v>
      </c>
      <c r="H217">
        <f>IFERROR(INDEX(PCIe104_CON_E1N005INF1!N:N,MATCH('По платам'!$B217,PCIe104_CON_E1N005INF1!L:L,0)),0)</f>
        <v>0</v>
      </c>
      <c r="I217">
        <f>IFERROR(INDEX('EM-PCIE104-CPU_E1E001CPU1E'!N:N,MATCH('По платам'!$B217,'EM-PCIE104-CPU_E1E001CPU1E'!L:L,0)),0)</f>
        <v>0</v>
      </c>
      <c r="J217">
        <f>IFERROR(INDEX(PCIe104_INF_E1N001INF1!N:N,MATCH('По платам'!$B217,PCIe104_INF_E1N001INF1!L:L,0)),0)</f>
        <v>0</v>
      </c>
      <c r="K217">
        <f>IFERROR(INDEX(IB_2RS232_E1N002INF1!N:N,MATCH('По платам'!$B217,IB_2RS232_E1N002INF1!L:L,0)),0)</f>
        <v>0</v>
      </c>
      <c r="L217">
        <f>IFERROR(INDEX(IB_2CAN_E1N003INF1!N:N,MATCH('По платам'!$B217,IB_2CAN_E1N003INF1!L:L,0)),0)</f>
        <v>0</v>
      </c>
    </row>
    <row r="218" spans="2:12">
      <c r="B218" s="3" t="s">
        <v>1537</v>
      </c>
      <c r="C218">
        <f>IFERROR(INDEX('C2B004CPU2'!N:N,MATCH('По платам'!B218,'C2B004CPU2'!L:L,0)),0)</f>
        <v>0</v>
      </c>
      <c r="D218">
        <f>IFERROR(INDEX(SBC_DIO_E1N004INF1!N:N,MATCH('По платам'!$B218,SBC_DIO_E1N004INF1!L:L,0)),0)</f>
        <v>0</v>
      </c>
      <c r="E218">
        <f>IFERROR(INDEX(SBC_35_2C3_1_E1E001CPU1E!N:N,MATCH('По платам'!$B218,SBC_35_2C3_1_E1E001CPU1E!L:L,0)),0)</f>
        <v>1</v>
      </c>
      <c r="F218">
        <f>IFERROR(INDEX(PCIe104_PSU_E1N001PWR1!N:N,MATCH('По платам'!$B218,PCIe104_PSU_E1N001PWR1!L:L,0)),0)</f>
        <v>0</v>
      </c>
      <c r="G218">
        <f>IFERROR(INDEX(PCIe104_INF2_E1N006INF1!N:N,MATCH('По платам'!$B218,PCIe104_INF2_E1N006INF1!L:L,0)),0)</f>
        <v>0</v>
      </c>
      <c r="H218">
        <f>IFERROR(INDEX(PCIe104_CON_E1N005INF1!N:N,MATCH('По платам'!$B218,PCIe104_CON_E1N005INF1!L:L,0)),0)</f>
        <v>0</v>
      </c>
      <c r="I218">
        <f>IFERROR(INDEX('EM-PCIE104-CPU_E1E001CPU1E'!N:N,MATCH('По платам'!$B218,'EM-PCIE104-CPU_E1E001CPU1E'!L:L,0)),0)</f>
        <v>0</v>
      </c>
      <c r="J218">
        <f>IFERROR(INDEX(PCIe104_INF_E1N001INF1!N:N,MATCH('По платам'!$B218,PCIe104_INF_E1N001INF1!L:L,0)),0)</f>
        <v>0</v>
      </c>
      <c r="K218">
        <f>IFERROR(INDEX(IB_2RS232_E1N002INF1!N:N,MATCH('По платам'!$B218,IB_2RS232_E1N002INF1!L:L,0)),0)</f>
        <v>0</v>
      </c>
      <c r="L218">
        <f>IFERROR(INDEX(IB_2CAN_E1N003INF1!N:N,MATCH('По платам'!$B218,IB_2CAN_E1N003INF1!L:L,0)),0)</f>
        <v>0</v>
      </c>
    </row>
    <row r="219" spans="2:12">
      <c r="B219" s="3" t="s">
        <v>1529</v>
      </c>
      <c r="C219">
        <f>IFERROR(INDEX('C2B004CPU2'!N:N,MATCH('По платам'!B219,'C2B004CPU2'!L:L,0)),0)</f>
        <v>0</v>
      </c>
      <c r="D219">
        <f>IFERROR(INDEX(SBC_DIO_E1N004INF1!N:N,MATCH('По платам'!$B219,SBC_DIO_E1N004INF1!L:L,0)),0)</f>
        <v>0</v>
      </c>
      <c r="E219">
        <f>IFERROR(INDEX(SBC_35_2C3_1_E1E001CPU1E!N:N,MATCH('По платам'!$B219,SBC_35_2C3_1_E1E001CPU1E!L:L,0)),0)</f>
        <v>1</v>
      </c>
      <c r="F219">
        <f>IFERROR(INDEX(PCIe104_PSU_E1N001PWR1!N:N,MATCH('По платам'!$B219,PCIe104_PSU_E1N001PWR1!L:L,0)),0)</f>
        <v>0</v>
      </c>
      <c r="G219">
        <f>IFERROR(INDEX(PCIe104_INF2_E1N006INF1!N:N,MATCH('По платам'!$B219,PCIe104_INF2_E1N006INF1!L:L,0)),0)</f>
        <v>0</v>
      </c>
      <c r="H219">
        <f>IFERROR(INDEX(PCIe104_CON_E1N005INF1!N:N,MATCH('По платам'!$B219,PCIe104_CON_E1N005INF1!L:L,0)),0)</f>
        <v>0</v>
      </c>
      <c r="I219">
        <f>IFERROR(INDEX('EM-PCIE104-CPU_E1E001CPU1E'!N:N,MATCH('По платам'!$B219,'EM-PCIE104-CPU_E1E001CPU1E'!L:L,0)),0)</f>
        <v>0</v>
      </c>
      <c r="J219">
        <f>IFERROR(INDEX(PCIe104_INF_E1N001INF1!N:N,MATCH('По платам'!$B219,PCIe104_INF_E1N001INF1!L:L,0)),0)</f>
        <v>0</v>
      </c>
      <c r="K219">
        <f>IFERROR(INDEX(IB_2RS232_E1N002INF1!N:N,MATCH('По платам'!$B219,IB_2RS232_E1N002INF1!L:L,0)),0)</f>
        <v>0</v>
      </c>
      <c r="L219">
        <f>IFERROR(INDEX(IB_2CAN_E1N003INF1!N:N,MATCH('По платам'!$B219,IB_2CAN_E1N003INF1!L:L,0)),0)</f>
        <v>0</v>
      </c>
    </row>
    <row r="220" spans="2:12">
      <c r="B220" s="3" t="s">
        <v>1516</v>
      </c>
      <c r="C220">
        <f>IFERROR(INDEX('C2B004CPU2'!N:N,MATCH('По платам'!B220,'C2B004CPU2'!L:L,0)),0)</f>
        <v>0</v>
      </c>
      <c r="D220">
        <f>IFERROR(INDEX(SBC_DIO_E1N004INF1!N:N,MATCH('По платам'!$B220,SBC_DIO_E1N004INF1!L:L,0)),0)</f>
        <v>0</v>
      </c>
      <c r="E220">
        <f>IFERROR(INDEX(SBC_35_2C3_1_E1E001CPU1E!N:N,MATCH('По платам'!$B220,SBC_35_2C3_1_E1E001CPU1E!L:L,0)),0)</f>
        <v>4</v>
      </c>
      <c r="F220">
        <f>IFERROR(INDEX(PCIe104_PSU_E1N001PWR1!N:N,MATCH('По платам'!$B220,PCIe104_PSU_E1N001PWR1!L:L,0)),0)</f>
        <v>0</v>
      </c>
      <c r="G220">
        <f>IFERROR(INDEX(PCIe104_INF2_E1N006INF1!N:N,MATCH('По платам'!$B220,PCIe104_INF2_E1N006INF1!L:L,0)),0)</f>
        <v>0</v>
      </c>
      <c r="H220">
        <f>IFERROR(INDEX(PCIe104_CON_E1N005INF1!N:N,MATCH('По платам'!$B220,PCIe104_CON_E1N005INF1!L:L,0)),0)</f>
        <v>0</v>
      </c>
      <c r="I220">
        <f>IFERROR(INDEX('EM-PCIE104-CPU_E1E001CPU1E'!N:N,MATCH('По платам'!$B220,'EM-PCIE104-CPU_E1E001CPU1E'!L:L,0)),0)</f>
        <v>0</v>
      </c>
      <c r="J220">
        <f>IFERROR(INDEX(PCIe104_INF_E1N001INF1!N:N,MATCH('По платам'!$B220,PCIe104_INF_E1N001INF1!L:L,0)),0)</f>
        <v>0</v>
      </c>
      <c r="K220">
        <f>IFERROR(INDEX(IB_2RS232_E1N002INF1!N:N,MATCH('По платам'!$B220,IB_2RS232_E1N002INF1!L:L,0)),0)</f>
        <v>0</v>
      </c>
      <c r="L220">
        <f>IFERROR(INDEX(IB_2CAN_E1N003INF1!N:N,MATCH('По платам'!$B220,IB_2CAN_E1N003INF1!L:L,0)),0)</f>
        <v>0</v>
      </c>
    </row>
    <row r="221" spans="2:12">
      <c r="B221" s="3" t="s">
        <v>1541</v>
      </c>
      <c r="C221">
        <f>IFERROR(INDEX('C2B004CPU2'!N:N,MATCH('По платам'!B221,'C2B004CPU2'!L:L,0)),0)</f>
        <v>0</v>
      </c>
      <c r="D221">
        <f>IFERROR(INDEX(SBC_DIO_E1N004INF1!N:N,MATCH('По платам'!$B221,SBC_DIO_E1N004INF1!L:L,0)),0)</f>
        <v>0</v>
      </c>
      <c r="E221">
        <f>IFERROR(INDEX(SBC_35_2C3_1_E1E001CPU1E!N:N,MATCH('По платам'!$B221,SBC_35_2C3_1_E1E001CPU1E!L:L,0)),0)</f>
        <v>1</v>
      </c>
      <c r="F221">
        <f>IFERROR(INDEX(PCIe104_PSU_E1N001PWR1!N:N,MATCH('По платам'!$B221,PCIe104_PSU_E1N001PWR1!L:L,0)),0)</f>
        <v>0</v>
      </c>
      <c r="G221">
        <f>IFERROR(INDEX(PCIe104_INF2_E1N006INF1!N:N,MATCH('По платам'!$B221,PCIe104_INF2_E1N006INF1!L:L,0)),0)</f>
        <v>0</v>
      </c>
      <c r="H221">
        <f>IFERROR(INDEX(PCIe104_CON_E1N005INF1!N:N,MATCH('По платам'!$B221,PCIe104_CON_E1N005INF1!L:L,0)),0)</f>
        <v>0</v>
      </c>
      <c r="I221">
        <f>IFERROR(INDEX('EM-PCIE104-CPU_E1E001CPU1E'!N:N,MATCH('По платам'!$B221,'EM-PCIE104-CPU_E1E001CPU1E'!L:L,0)),0)</f>
        <v>0</v>
      </c>
      <c r="J221">
        <f>IFERROR(INDEX(PCIe104_INF_E1N001INF1!N:N,MATCH('По платам'!$B221,PCIe104_INF_E1N001INF1!L:L,0)),0)</f>
        <v>0</v>
      </c>
      <c r="K221">
        <f>IFERROR(INDEX(IB_2RS232_E1N002INF1!N:N,MATCH('По платам'!$B221,IB_2RS232_E1N002INF1!L:L,0)),0)</f>
        <v>0</v>
      </c>
      <c r="L221">
        <f>IFERROR(INDEX(IB_2CAN_E1N003INF1!N:N,MATCH('По платам'!$B221,IB_2CAN_E1N003INF1!L:L,0)),0)</f>
        <v>0</v>
      </c>
    </row>
    <row r="222" spans="2:12">
      <c r="B222" s="3" t="s">
        <v>1553</v>
      </c>
      <c r="C222">
        <f>IFERROR(INDEX('C2B004CPU2'!N:N,MATCH('По платам'!B222,'C2B004CPU2'!L:L,0)),0)</f>
        <v>0</v>
      </c>
      <c r="D222">
        <f>IFERROR(INDEX(SBC_DIO_E1N004INF1!N:N,MATCH('По платам'!$B222,SBC_DIO_E1N004INF1!L:L,0)),0)</f>
        <v>0</v>
      </c>
      <c r="E222">
        <f>IFERROR(INDEX(SBC_35_2C3_1_E1E001CPU1E!N:N,MATCH('По платам'!$B222,SBC_35_2C3_1_E1E001CPU1E!L:L,0)),0)</f>
        <v>1</v>
      </c>
      <c r="F222">
        <f>IFERROR(INDEX(PCIe104_PSU_E1N001PWR1!N:N,MATCH('По платам'!$B222,PCIe104_PSU_E1N001PWR1!L:L,0)),0)</f>
        <v>0</v>
      </c>
      <c r="G222">
        <f>IFERROR(INDEX(PCIe104_INF2_E1N006INF1!N:N,MATCH('По платам'!$B222,PCIe104_INF2_E1N006INF1!L:L,0)),0)</f>
        <v>0</v>
      </c>
      <c r="H222">
        <f>IFERROR(INDEX(PCIe104_CON_E1N005INF1!N:N,MATCH('По платам'!$B222,PCIe104_CON_E1N005INF1!L:L,0)),0)</f>
        <v>0</v>
      </c>
      <c r="I222">
        <f>IFERROR(INDEX('EM-PCIE104-CPU_E1E001CPU1E'!N:N,MATCH('По платам'!$B222,'EM-PCIE104-CPU_E1E001CPU1E'!L:L,0)),0)</f>
        <v>0</v>
      </c>
      <c r="J222">
        <f>IFERROR(INDEX(PCIe104_INF_E1N001INF1!N:N,MATCH('По платам'!$B222,PCIe104_INF_E1N001INF1!L:L,0)),0)</f>
        <v>0</v>
      </c>
      <c r="K222">
        <f>IFERROR(INDEX(IB_2RS232_E1N002INF1!N:N,MATCH('По платам'!$B222,IB_2RS232_E1N002INF1!L:L,0)),0)</f>
        <v>0</v>
      </c>
      <c r="L222">
        <f>IFERROR(INDEX(IB_2CAN_E1N003INF1!N:N,MATCH('По платам'!$B222,IB_2CAN_E1N003INF1!L:L,0)),0)</f>
        <v>0</v>
      </c>
    </row>
    <row r="223" spans="2:12">
      <c r="B223" s="3" t="s">
        <v>152</v>
      </c>
      <c r="C223">
        <f>IFERROR(INDEX('C2B004CPU2'!N:N,MATCH('По платам'!B223,'C2B004CPU2'!L:L,0)),0)</f>
        <v>0</v>
      </c>
      <c r="D223">
        <f>IFERROR(INDEX(SBC_DIO_E1N004INF1!N:N,MATCH('По платам'!$B223,SBC_DIO_E1N004INF1!L:L,0)),0)</f>
        <v>0</v>
      </c>
      <c r="E223">
        <f>IFERROR(INDEX(SBC_35_2C3_1_E1E001CPU1E!N:N,MATCH('По платам'!$B223,SBC_35_2C3_1_E1E001CPU1E!L:L,0)),0)</f>
        <v>0</v>
      </c>
      <c r="F223">
        <f>IFERROR(INDEX(PCIe104_PSU_E1N001PWR1!N:N,MATCH('По платам'!$B223,PCIe104_PSU_E1N001PWR1!L:L,0)),0)</f>
        <v>0</v>
      </c>
      <c r="G223">
        <f>IFERROR(INDEX(PCIe104_INF2_E1N006INF1!N:N,MATCH('По платам'!$B223,PCIe104_INF2_E1N006INF1!L:L,0)),0)</f>
        <v>0</v>
      </c>
      <c r="H223">
        <f>IFERROR(INDEX(PCIe104_CON_E1N005INF1!N:N,MATCH('По платам'!$B223,PCIe104_CON_E1N005INF1!L:L,0)),0)</f>
        <v>0</v>
      </c>
      <c r="I223">
        <f>IFERROR(INDEX('EM-PCIE104-CPU_E1E001CPU1E'!N:N,MATCH('По платам'!$B223,'EM-PCIE104-CPU_E1E001CPU1E'!L:L,0)),0)</f>
        <v>0</v>
      </c>
      <c r="J223">
        <f>IFERROR(INDEX(PCIe104_INF_E1N001INF1!N:N,MATCH('По платам'!$B223,PCIe104_INF_E1N001INF1!L:L,0)),0)</f>
        <v>0</v>
      </c>
      <c r="K223">
        <f>IFERROR(INDEX(IB_2RS232_E1N002INF1!N:N,MATCH('По платам'!$B223,IB_2RS232_E1N002INF1!L:L,0)),0)</f>
        <v>15</v>
      </c>
      <c r="L223">
        <f>IFERROR(INDEX(IB_2CAN_E1N003INF1!N:N,MATCH('По платам'!$B223,IB_2CAN_E1N003INF1!L:L,0)),0)</f>
        <v>0</v>
      </c>
    </row>
    <row r="224" spans="2:12">
      <c r="B224" s="3" t="s">
        <v>2597</v>
      </c>
      <c r="C224">
        <f>IFERROR(INDEX('C2B004CPU2'!N:N,MATCH('По платам'!B224,'C2B004CPU2'!L:L,0)),0)</f>
        <v>6</v>
      </c>
      <c r="D224">
        <f>IFERROR(INDEX(SBC_DIO_E1N004INF1!N:N,MATCH('По платам'!$B224,SBC_DIO_E1N004INF1!L:L,0)),0)</f>
        <v>0</v>
      </c>
      <c r="E224">
        <f>IFERROR(INDEX(SBC_35_2C3_1_E1E001CPU1E!N:N,MATCH('По платам'!$B224,SBC_35_2C3_1_E1E001CPU1E!L:L,0)),0)</f>
        <v>0</v>
      </c>
      <c r="F224">
        <f>IFERROR(INDEX(PCIe104_PSU_E1N001PWR1!N:N,MATCH('По платам'!$B224,PCIe104_PSU_E1N001PWR1!L:L,0)),0)</f>
        <v>0</v>
      </c>
      <c r="G224">
        <f>IFERROR(INDEX(PCIe104_INF2_E1N006INF1!N:N,MATCH('По платам'!$B224,PCIe104_INF2_E1N006INF1!L:L,0)),0)</f>
        <v>0</v>
      </c>
      <c r="H224">
        <f>IFERROR(INDEX(PCIe104_CON_E1N005INF1!N:N,MATCH('По платам'!$B224,PCIe104_CON_E1N005INF1!L:L,0)),0)</f>
        <v>0</v>
      </c>
      <c r="I224">
        <f>IFERROR(INDEX('EM-PCIE104-CPU_E1E001CPU1E'!N:N,MATCH('По платам'!$B224,'EM-PCIE104-CPU_E1E001CPU1E'!L:L,0)),0)</f>
        <v>0</v>
      </c>
      <c r="J224">
        <f>IFERROR(INDEX(PCIe104_INF_E1N001INF1!N:N,MATCH('По платам'!$B224,PCIe104_INF_E1N001INF1!L:L,0)),0)</f>
        <v>0</v>
      </c>
      <c r="K224">
        <f>IFERROR(INDEX(IB_2RS232_E1N002INF1!N:N,MATCH('По платам'!$B224,IB_2RS232_E1N002INF1!L:L,0)),0)</f>
        <v>0</v>
      </c>
      <c r="L224">
        <f>IFERROR(INDEX(IB_2CAN_E1N003INF1!N:N,MATCH('По платам'!$B224,IB_2CAN_E1N003INF1!L:L,0)),0)</f>
        <v>0</v>
      </c>
    </row>
    <row r="225" spans="2:12">
      <c r="B225" s="3" t="s">
        <v>1137</v>
      </c>
      <c r="C225">
        <f>IFERROR(INDEX('C2B004CPU2'!N:N,MATCH('По платам'!B225,'C2B004CPU2'!L:L,0)),0)</f>
        <v>0</v>
      </c>
      <c r="D225">
        <f>IFERROR(INDEX(SBC_DIO_E1N004INF1!N:N,MATCH('По платам'!$B225,SBC_DIO_E1N004INF1!L:L,0)),0)</f>
        <v>0</v>
      </c>
      <c r="E225">
        <f>IFERROR(INDEX(SBC_35_2C3_1_E1E001CPU1E!N:N,MATCH('По платам'!$B225,SBC_35_2C3_1_E1E001CPU1E!L:L,0)),0)</f>
        <v>0</v>
      </c>
      <c r="F225">
        <f>IFERROR(INDEX(PCIe104_PSU_E1N001PWR1!N:N,MATCH('По платам'!$B225,PCIe104_PSU_E1N001PWR1!L:L,0)),0)</f>
        <v>0</v>
      </c>
      <c r="G225">
        <f>IFERROR(INDEX(PCIe104_INF2_E1N006INF1!N:N,MATCH('По платам'!$B225,PCIe104_INF2_E1N006INF1!L:L,0)),0)</f>
        <v>0</v>
      </c>
      <c r="H225">
        <f>IFERROR(INDEX(PCIe104_CON_E1N005INF1!N:N,MATCH('По платам'!$B225,PCIe104_CON_E1N005INF1!L:L,0)),0)</f>
        <v>1</v>
      </c>
      <c r="I225">
        <f>IFERROR(INDEX('EM-PCIE104-CPU_E1E001CPU1E'!N:N,MATCH('По платам'!$B225,'EM-PCIE104-CPU_E1E001CPU1E'!L:L,0)),0)</f>
        <v>0</v>
      </c>
      <c r="J225">
        <f>IFERROR(INDEX(PCIe104_INF_E1N001INF1!N:N,MATCH('По платам'!$B225,PCIe104_INF_E1N001INF1!L:L,0)),0)</f>
        <v>0</v>
      </c>
      <c r="K225">
        <f>IFERROR(INDEX(IB_2RS232_E1N002INF1!N:N,MATCH('По платам'!$B225,IB_2RS232_E1N002INF1!L:L,0)),0)</f>
        <v>0</v>
      </c>
      <c r="L225">
        <f>IFERROR(INDEX(IB_2CAN_E1N003INF1!N:N,MATCH('По платам'!$B225,IB_2CAN_E1N003INF1!L:L,0)),0)</f>
        <v>0</v>
      </c>
    </row>
    <row r="226" spans="2:12">
      <c r="B226" s="3" t="s">
        <v>2081</v>
      </c>
      <c r="C226">
        <f>IFERROR(INDEX('C2B004CPU2'!N:N,MATCH('По платам'!B226,'C2B004CPU2'!L:L,0)),0)</f>
        <v>3</v>
      </c>
      <c r="D226">
        <f>IFERROR(INDEX(SBC_DIO_E1N004INF1!N:N,MATCH('По платам'!$B226,SBC_DIO_E1N004INF1!L:L,0)),0)</f>
        <v>0</v>
      </c>
      <c r="E226">
        <f>IFERROR(INDEX(SBC_35_2C3_1_E1E001CPU1E!N:N,MATCH('По платам'!$B226,SBC_35_2C3_1_E1E001CPU1E!L:L,0)),0)</f>
        <v>0</v>
      </c>
      <c r="F226">
        <f>IFERROR(INDEX(PCIe104_PSU_E1N001PWR1!N:N,MATCH('По платам'!$B226,PCIe104_PSU_E1N001PWR1!L:L,0)),0)</f>
        <v>0</v>
      </c>
      <c r="G226">
        <f>IFERROR(INDEX(PCIe104_INF2_E1N006INF1!N:N,MATCH('По платам'!$B226,PCIe104_INF2_E1N006INF1!L:L,0)),0)</f>
        <v>0</v>
      </c>
      <c r="H226">
        <f>IFERROR(INDEX(PCIe104_CON_E1N005INF1!N:N,MATCH('По платам'!$B226,PCIe104_CON_E1N005INF1!L:L,0)),0)</f>
        <v>0</v>
      </c>
      <c r="I226">
        <f>IFERROR(INDEX('EM-PCIE104-CPU_E1E001CPU1E'!N:N,MATCH('По платам'!$B226,'EM-PCIE104-CPU_E1E001CPU1E'!L:L,0)),0)</f>
        <v>0</v>
      </c>
      <c r="J226">
        <f>IFERROR(INDEX(PCIe104_INF_E1N001INF1!N:N,MATCH('По платам'!$B226,PCIe104_INF_E1N001INF1!L:L,0)),0)</f>
        <v>0</v>
      </c>
      <c r="K226">
        <f>IFERROR(INDEX(IB_2RS232_E1N002INF1!N:N,MATCH('По платам'!$B226,IB_2RS232_E1N002INF1!L:L,0)),0)</f>
        <v>0</v>
      </c>
      <c r="L226">
        <f>IFERROR(INDEX(IB_2CAN_E1N003INF1!N:N,MATCH('По платам'!$B226,IB_2CAN_E1N003INF1!L:L,0)),0)</f>
        <v>0</v>
      </c>
    </row>
    <row r="227" spans="2:12">
      <c r="B227" s="3" t="s">
        <v>737</v>
      </c>
      <c r="C227">
        <f>IFERROR(INDEX('C2B004CPU2'!N:N,MATCH('По платам'!B227,'C2B004CPU2'!L:L,0)),0)</f>
        <v>0</v>
      </c>
      <c r="D227">
        <f>IFERROR(INDEX(SBC_DIO_E1N004INF1!N:N,MATCH('По платам'!$B227,SBC_DIO_E1N004INF1!L:L,0)),0)</f>
        <v>0</v>
      </c>
      <c r="E227">
        <f>IFERROR(INDEX(SBC_35_2C3_1_E1E001CPU1E!N:N,MATCH('По платам'!$B227,SBC_35_2C3_1_E1E001CPU1E!L:L,0)),0)</f>
        <v>0</v>
      </c>
      <c r="F227">
        <f>IFERROR(INDEX(PCIe104_PSU_E1N001PWR1!N:N,MATCH('По платам'!$B227,PCIe104_PSU_E1N001PWR1!L:L,0)),0)</f>
        <v>2</v>
      </c>
      <c r="G227">
        <f>IFERROR(INDEX(PCIe104_INF2_E1N006INF1!N:N,MATCH('По платам'!$B227,PCIe104_INF2_E1N006INF1!L:L,0)),0)</f>
        <v>0</v>
      </c>
      <c r="H227">
        <f>IFERROR(INDEX(PCIe104_CON_E1N005INF1!N:N,MATCH('По платам'!$B227,PCIe104_CON_E1N005INF1!L:L,0)),0)</f>
        <v>0</v>
      </c>
      <c r="I227">
        <f>IFERROR(INDEX('EM-PCIE104-CPU_E1E001CPU1E'!N:N,MATCH('По платам'!$B227,'EM-PCIE104-CPU_E1E001CPU1E'!L:L,0)),0)</f>
        <v>1</v>
      </c>
      <c r="J227">
        <f>IFERROR(INDEX(PCIe104_INF_E1N001INF1!N:N,MATCH('По платам'!$B227,PCIe104_INF_E1N001INF1!L:L,0)),0)</f>
        <v>0</v>
      </c>
      <c r="K227">
        <f>IFERROR(INDEX(IB_2RS232_E1N002INF1!N:N,MATCH('По платам'!$B227,IB_2RS232_E1N002INF1!L:L,0)),0)</f>
        <v>0</v>
      </c>
      <c r="L227">
        <f>IFERROR(INDEX(IB_2CAN_E1N003INF1!N:N,MATCH('По платам'!$B227,IB_2CAN_E1N003INF1!L:L,0)),0)</f>
        <v>0</v>
      </c>
    </row>
    <row r="228" spans="2:12">
      <c r="B228" s="3" t="s">
        <v>1446</v>
      </c>
      <c r="C228">
        <f>IFERROR(INDEX('C2B004CPU2'!N:N,MATCH('По платам'!B228,'C2B004CPU2'!L:L,0)),0)</f>
        <v>0</v>
      </c>
      <c r="D228">
        <f>IFERROR(INDEX(SBC_DIO_E1N004INF1!N:N,MATCH('По платам'!$B228,SBC_DIO_E1N004INF1!L:L,0)),0)</f>
        <v>0</v>
      </c>
      <c r="E228">
        <f>IFERROR(INDEX(SBC_35_2C3_1_E1E001CPU1E!N:N,MATCH('По платам'!$B228,SBC_35_2C3_1_E1E001CPU1E!L:L,0)),0)</f>
        <v>0</v>
      </c>
      <c r="F228">
        <f>IFERROR(INDEX(PCIe104_PSU_E1N001PWR1!N:N,MATCH('По платам'!$B228,PCIe104_PSU_E1N001PWR1!L:L,0)),0)</f>
        <v>1</v>
      </c>
      <c r="G228">
        <f>IFERROR(INDEX(PCIe104_INF2_E1N006INF1!N:N,MATCH('По платам'!$B228,PCIe104_INF2_E1N006INF1!L:L,0)),0)</f>
        <v>0</v>
      </c>
      <c r="H228">
        <f>IFERROR(INDEX(PCIe104_CON_E1N005INF1!N:N,MATCH('По платам'!$B228,PCIe104_CON_E1N005INF1!L:L,0)),0)</f>
        <v>0</v>
      </c>
      <c r="I228">
        <f>IFERROR(INDEX('EM-PCIE104-CPU_E1E001CPU1E'!N:N,MATCH('По платам'!$B228,'EM-PCIE104-CPU_E1E001CPU1E'!L:L,0)),0)</f>
        <v>0</v>
      </c>
      <c r="J228">
        <f>IFERROR(INDEX(PCIe104_INF_E1N001INF1!N:N,MATCH('По платам'!$B228,PCIe104_INF_E1N001INF1!L:L,0)),0)</f>
        <v>0</v>
      </c>
      <c r="K228">
        <f>IFERROR(INDEX(IB_2RS232_E1N002INF1!N:N,MATCH('По платам'!$B228,IB_2RS232_E1N002INF1!L:L,0)),0)</f>
        <v>0</v>
      </c>
      <c r="L228">
        <f>IFERROR(INDEX(IB_2CAN_E1N003INF1!N:N,MATCH('По платам'!$B228,IB_2CAN_E1N003INF1!L:L,0)),0)</f>
        <v>0</v>
      </c>
    </row>
    <row r="229" spans="2:12">
      <c r="B229" s="3" t="s">
        <v>501</v>
      </c>
      <c r="C229">
        <f>IFERROR(INDEX('C2B004CPU2'!N:N,MATCH('По платам'!B229,'C2B004CPU2'!L:L,0)),0)</f>
        <v>0</v>
      </c>
      <c r="D229">
        <f>IFERROR(INDEX(SBC_DIO_E1N004INF1!N:N,MATCH('По платам'!$B229,SBC_DIO_E1N004INF1!L:L,0)),0)</f>
        <v>0</v>
      </c>
      <c r="E229">
        <f>IFERROR(INDEX(SBC_35_2C3_1_E1E001CPU1E!N:N,MATCH('По платам'!$B229,SBC_35_2C3_1_E1E001CPU1E!L:L,0)),0)</f>
        <v>0</v>
      </c>
      <c r="F229">
        <f>IFERROR(INDEX(PCIe104_PSU_E1N001PWR1!N:N,MATCH('По платам'!$B229,PCIe104_PSU_E1N001PWR1!L:L,0)),0)</f>
        <v>0</v>
      </c>
      <c r="G229">
        <f>IFERROR(INDEX(PCIe104_INF2_E1N006INF1!N:N,MATCH('По платам'!$B229,PCIe104_INF2_E1N006INF1!L:L,0)),0)</f>
        <v>0</v>
      </c>
      <c r="H229">
        <f>IFERROR(INDEX(PCIe104_CON_E1N005INF1!N:N,MATCH('По платам'!$B229,PCIe104_CON_E1N005INF1!L:L,0)),0)</f>
        <v>0</v>
      </c>
      <c r="I229">
        <f>IFERROR(INDEX('EM-PCIE104-CPU_E1E001CPU1E'!N:N,MATCH('По платам'!$B229,'EM-PCIE104-CPU_E1E001CPU1E'!L:L,0)),0)</f>
        <v>0</v>
      </c>
      <c r="J229">
        <f>IFERROR(INDEX(PCIe104_INF_E1N001INF1!N:N,MATCH('По платам'!$B229,PCIe104_INF_E1N001INF1!L:L,0)),0)</f>
        <v>3</v>
      </c>
      <c r="K229">
        <f>IFERROR(INDEX(IB_2RS232_E1N002INF1!N:N,MATCH('По платам'!$B229,IB_2RS232_E1N002INF1!L:L,0)),0)</f>
        <v>0</v>
      </c>
      <c r="L229">
        <f>IFERROR(INDEX(IB_2CAN_E1N003INF1!N:N,MATCH('По платам'!$B229,IB_2CAN_E1N003INF1!L:L,0)),0)</f>
        <v>0</v>
      </c>
    </row>
    <row r="230" spans="2:12">
      <c r="B230" s="3" t="s">
        <v>1648</v>
      </c>
      <c r="C230">
        <f>IFERROR(INDEX('C2B004CPU2'!N:N,MATCH('По платам'!B230,'C2B004CPU2'!L:L,0)),0)</f>
        <v>0</v>
      </c>
      <c r="D230">
        <f>IFERROR(INDEX(SBC_DIO_E1N004INF1!N:N,MATCH('По платам'!$B230,SBC_DIO_E1N004INF1!L:L,0)),0)</f>
        <v>0</v>
      </c>
      <c r="E230">
        <f>IFERROR(INDEX(SBC_35_2C3_1_E1E001CPU1E!N:N,MATCH('По платам'!$B230,SBC_35_2C3_1_E1E001CPU1E!L:L,0)),0)</f>
        <v>1</v>
      </c>
      <c r="F230">
        <f>IFERROR(INDEX(PCIe104_PSU_E1N001PWR1!N:N,MATCH('По платам'!$B230,PCIe104_PSU_E1N001PWR1!L:L,0)),0)</f>
        <v>0</v>
      </c>
      <c r="G230">
        <f>IFERROR(INDEX(PCIe104_INF2_E1N006INF1!N:N,MATCH('По платам'!$B230,PCIe104_INF2_E1N006INF1!L:L,0)),0)</f>
        <v>0</v>
      </c>
      <c r="H230">
        <f>IFERROR(INDEX(PCIe104_CON_E1N005INF1!N:N,MATCH('По платам'!$B230,PCIe104_CON_E1N005INF1!L:L,0)),0)</f>
        <v>0</v>
      </c>
      <c r="I230">
        <f>IFERROR(INDEX('EM-PCIE104-CPU_E1E001CPU1E'!N:N,MATCH('По платам'!$B230,'EM-PCIE104-CPU_E1E001CPU1E'!L:L,0)),0)</f>
        <v>0</v>
      </c>
      <c r="J230">
        <f>IFERROR(INDEX(PCIe104_INF_E1N001INF1!N:N,MATCH('По платам'!$B230,PCIe104_INF_E1N001INF1!L:L,0)),0)</f>
        <v>0</v>
      </c>
      <c r="K230">
        <f>IFERROR(INDEX(IB_2RS232_E1N002INF1!N:N,MATCH('По платам'!$B230,IB_2RS232_E1N002INF1!L:L,0)),0)</f>
        <v>0</v>
      </c>
      <c r="L230">
        <f>IFERROR(INDEX(IB_2CAN_E1N003INF1!N:N,MATCH('По платам'!$B230,IB_2CAN_E1N003INF1!L:L,0)),0)</f>
        <v>0</v>
      </c>
    </row>
    <row r="231" spans="2:12">
      <c r="B231" s="3" t="s">
        <v>1036</v>
      </c>
      <c r="C231">
        <f>IFERROR(INDEX('C2B004CPU2'!N:N,MATCH('По платам'!B231,'C2B004CPU2'!L:L,0)),0)</f>
        <v>0</v>
      </c>
      <c r="D231">
        <f>IFERROR(INDEX(SBC_DIO_E1N004INF1!N:N,MATCH('По платам'!$B231,SBC_DIO_E1N004INF1!L:L,0)),0)</f>
        <v>0</v>
      </c>
      <c r="E231">
        <f>IFERROR(INDEX(SBC_35_2C3_1_E1E001CPU1E!N:N,MATCH('По платам'!$B231,SBC_35_2C3_1_E1E001CPU1E!L:L,0)),0)</f>
        <v>4</v>
      </c>
      <c r="F231">
        <f>IFERROR(INDEX(PCIe104_PSU_E1N001PWR1!N:N,MATCH('По платам'!$B231,PCIe104_PSU_E1N001PWR1!L:L,0)),0)</f>
        <v>0</v>
      </c>
      <c r="G231">
        <f>IFERROR(INDEX(PCIe104_INF2_E1N006INF1!N:N,MATCH('По платам'!$B231,PCIe104_INF2_E1N006INF1!L:L,0)),0)</f>
        <v>0</v>
      </c>
      <c r="H231">
        <f>IFERROR(INDEX(PCIe104_CON_E1N005INF1!N:N,MATCH('По платам'!$B231,PCIe104_CON_E1N005INF1!L:L,0)),0)</f>
        <v>0</v>
      </c>
      <c r="I231">
        <f>IFERROR(INDEX('EM-PCIE104-CPU_E1E001CPU1E'!N:N,MATCH('По платам'!$B231,'EM-PCIE104-CPU_E1E001CPU1E'!L:L,0)),0)</f>
        <v>2</v>
      </c>
      <c r="J231">
        <f>IFERROR(INDEX(PCIe104_INF_E1N001INF1!N:N,MATCH('По платам'!$B231,PCIe104_INF_E1N001INF1!L:L,0)),0)</f>
        <v>0</v>
      </c>
      <c r="K231">
        <f>IFERROR(INDEX(IB_2RS232_E1N002INF1!N:N,MATCH('По платам'!$B231,IB_2RS232_E1N002INF1!L:L,0)),0)</f>
        <v>0</v>
      </c>
      <c r="L231">
        <f>IFERROR(INDEX(IB_2CAN_E1N003INF1!N:N,MATCH('По платам'!$B231,IB_2CAN_E1N003INF1!L:L,0)),0)</f>
        <v>0</v>
      </c>
    </row>
    <row r="232" spans="2:12">
      <c r="B232" s="3" t="s">
        <v>500</v>
      </c>
      <c r="C232">
        <f>IFERROR(INDEX('C2B004CPU2'!N:N,MATCH('По платам'!B232,'C2B004CPU2'!L:L,0)),0)</f>
        <v>0</v>
      </c>
      <c r="D232">
        <f>IFERROR(INDEX(SBC_DIO_E1N004INF1!N:N,MATCH('По платам'!$B232,SBC_DIO_E1N004INF1!L:L,0)),0)</f>
        <v>0</v>
      </c>
      <c r="E232">
        <f>IFERROR(INDEX(SBC_35_2C3_1_E1E001CPU1E!N:N,MATCH('По платам'!$B232,SBC_35_2C3_1_E1E001CPU1E!L:L,0)),0)</f>
        <v>0</v>
      </c>
      <c r="F232">
        <f>IFERROR(INDEX(PCIe104_PSU_E1N001PWR1!N:N,MATCH('По платам'!$B232,PCIe104_PSU_E1N001PWR1!L:L,0)),0)</f>
        <v>0</v>
      </c>
      <c r="G232">
        <f>IFERROR(INDEX(PCIe104_INF2_E1N006INF1!N:N,MATCH('По платам'!$B232,PCIe104_INF2_E1N006INF1!L:L,0)),0)</f>
        <v>0</v>
      </c>
      <c r="H232">
        <f>IFERROR(INDEX(PCIe104_CON_E1N005INF1!N:N,MATCH('По платам'!$B232,PCIe104_CON_E1N005INF1!L:L,0)),0)</f>
        <v>0</v>
      </c>
      <c r="I232">
        <f>IFERROR(INDEX('EM-PCIE104-CPU_E1E001CPU1E'!N:N,MATCH('По платам'!$B232,'EM-PCIE104-CPU_E1E001CPU1E'!L:L,0)),0)</f>
        <v>2</v>
      </c>
      <c r="J232">
        <f>IFERROR(INDEX(PCIe104_INF_E1N001INF1!N:N,MATCH('По платам'!$B232,PCIe104_INF_E1N001INF1!L:L,0)),0)</f>
        <v>1</v>
      </c>
      <c r="K232">
        <f>IFERROR(INDEX(IB_2RS232_E1N002INF1!N:N,MATCH('По платам'!$B232,IB_2RS232_E1N002INF1!L:L,0)),0)</f>
        <v>0</v>
      </c>
      <c r="L232">
        <f>IFERROR(INDEX(IB_2CAN_E1N003INF1!N:N,MATCH('По платам'!$B232,IB_2CAN_E1N003INF1!L:L,0)),0)</f>
        <v>0</v>
      </c>
    </row>
    <row r="233" spans="2:12">
      <c r="B233" s="3" t="s">
        <v>1634</v>
      </c>
      <c r="C233">
        <f>IFERROR(INDEX('C2B004CPU2'!N:N,MATCH('По платам'!B233,'C2B004CPU2'!L:L,0)),0)</f>
        <v>0</v>
      </c>
      <c r="D233">
        <f>IFERROR(INDEX(SBC_DIO_E1N004INF1!N:N,MATCH('По платам'!$B233,SBC_DIO_E1N004INF1!L:L,0)),0)</f>
        <v>0</v>
      </c>
      <c r="E233">
        <f>IFERROR(INDEX(SBC_35_2C3_1_E1E001CPU1E!N:N,MATCH('По платам'!$B233,SBC_35_2C3_1_E1E001CPU1E!L:L,0)),0)</f>
        <v>1</v>
      </c>
      <c r="F233">
        <f>IFERROR(INDEX(PCIe104_PSU_E1N001PWR1!N:N,MATCH('По платам'!$B233,PCIe104_PSU_E1N001PWR1!L:L,0)),0)</f>
        <v>0</v>
      </c>
      <c r="G233">
        <f>IFERROR(INDEX(PCIe104_INF2_E1N006INF1!N:N,MATCH('По платам'!$B233,PCIe104_INF2_E1N006INF1!L:L,0)),0)</f>
        <v>0</v>
      </c>
      <c r="H233">
        <f>IFERROR(INDEX(PCIe104_CON_E1N005INF1!N:N,MATCH('По платам'!$B233,PCIe104_CON_E1N005INF1!L:L,0)),0)</f>
        <v>0</v>
      </c>
      <c r="I233">
        <f>IFERROR(INDEX('EM-PCIE104-CPU_E1E001CPU1E'!N:N,MATCH('По платам'!$B233,'EM-PCIE104-CPU_E1E001CPU1E'!L:L,0)),0)</f>
        <v>0</v>
      </c>
      <c r="J233">
        <f>IFERROR(INDEX(PCIe104_INF_E1N001INF1!N:N,MATCH('По платам'!$B233,PCIe104_INF_E1N001INF1!L:L,0)),0)</f>
        <v>0</v>
      </c>
      <c r="K233">
        <f>IFERROR(INDEX(IB_2RS232_E1N002INF1!N:N,MATCH('По платам'!$B233,IB_2RS232_E1N002INF1!L:L,0)),0)</f>
        <v>0</v>
      </c>
      <c r="L233">
        <f>IFERROR(INDEX(IB_2CAN_E1N003INF1!N:N,MATCH('По платам'!$B233,IB_2CAN_E1N003INF1!L:L,0)),0)</f>
        <v>0</v>
      </c>
    </row>
    <row r="234" spans="2:12">
      <c r="B234" s="3" t="s">
        <v>2241</v>
      </c>
      <c r="C234">
        <f>IFERROR(INDEX('C2B004CPU2'!N:N,MATCH('По платам'!B234,'C2B004CPU2'!L:L,0)),0)</f>
        <v>1</v>
      </c>
      <c r="D234">
        <f>IFERROR(INDEX(SBC_DIO_E1N004INF1!N:N,MATCH('По платам'!$B234,SBC_DIO_E1N004INF1!L:L,0)),0)</f>
        <v>0</v>
      </c>
      <c r="E234">
        <f>IFERROR(INDEX(SBC_35_2C3_1_E1E001CPU1E!N:N,MATCH('По платам'!$B234,SBC_35_2C3_1_E1E001CPU1E!L:L,0)),0)</f>
        <v>0</v>
      </c>
      <c r="F234">
        <f>IFERROR(INDEX(PCIe104_PSU_E1N001PWR1!N:N,MATCH('По платам'!$B234,PCIe104_PSU_E1N001PWR1!L:L,0)),0)</f>
        <v>0</v>
      </c>
      <c r="G234">
        <f>IFERROR(INDEX(PCIe104_INF2_E1N006INF1!N:N,MATCH('По платам'!$B234,PCIe104_INF2_E1N006INF1!L:L,0)),0)</f>
        <v>0</v>
      </c>
      <c r="H234">
        <f>IFERROR(INDEX(PCIe104_CON_E1N005INF1!N:N,MATCH('По платам'!$B234,PCIe104_CON_E1N005INF1!L:L,0)),0)</f>
        <v>0</v>
      </c>
      <c r="I234">
        <f>IFERROR(INDEX('EM-PCIE104-CPU_E1E001CPU1E'!N:N,MATCH('По платам'!$B234,'EM-PCIE104-CPU_E1E001CPU1E'!L:L,0)),0)</f>
        <v>0</v>
      </c>
      <c r="J234">
        <f>IFERROR(INDEX(PCIe104_INF_E1N001INF1!N:N,MATCH('По платам'!$B234,PCIe104_INF_E1N001INF1!L:L,0)),0)</f>
        <v>0</v>
      </c>
      <c r="K234">
        <f>IFERROR(INDEX(IB_2RS232_E1N002INF1!N:N,MATCH('По платам'!$B234,IB_2RS232_E1N002INF1!L:L,0)),0)</f>
        <v>0</v>
      </c>
      <c r="L234">
        <f>IFERROR(INDEX(IB_2CAN_E1N003INF1!N:N,MATCH('По платам'!$B234,IB_2CAN_E1N003INF1!L:L,0)),0)</f>
        <v>0</v>
      </c>
    </row>
    <row r="235" spans="2:12">
      <c r="B235" s="3" t="s">
        <v>183</v>
      </c>
      <c r="C235">
        <f>IFERROR(INDEX('C2B004CPU2'!N:N,MATCH('По платам'!B235,'C2B004CPU2'!L:L,0)),0)</f>
        <v>0</v>
      </c>
      <c r="D235">
        <f>IFERROR(INDEX(SBC_DIO_E1N004INF1!N:N,MATCH('По платам'!$B235,SBC_DIO_E1N004INF1!L:L,0)),0)</f>
        <v>0</v>
      </c>
      <c r="E235">
        <f>IFERROR(INDEX(SBC_35_2C3_1_E1E001CPU1E!N:N,MATCH('По платам'!$B235,SBC_35_2C3_1_E1E001CPU1E!L:L,0)),0)</f>
        <v>1</v>
      </c>
      <c r="F235">
        <f>IFERROR(INDEX(PCIe104_PSU_E1N001PWR1!N:N,MATCH('По платам'!$B235,PCIe104_PSU_E1N001PWR1!L:L,0)),0)</f>
        <v>0</v>
      </c>
      <c r="G235">
        <f>IFERROR(INDEX(PCIe104_INF2_E1N006INF1!N:N,MATCH('По платам'!$B235,PCIe104_INF2_E1N006INF1!L:L,0)),0)</f>
        <v>0</v>
      </c>
      <c r="H235">
        <f>IFERROR(INDEX(PCIe104_CON_E1N005INF1!N:N,MATCH('По платам'!$B235,PCIe104_CON_E1N005INF1!L:L,0)),0)</f>
        <v>0</v>
      </c>
      <c r="I235">
        <f>IFERROR(INDEX('EM-PCIE104-CPU_E1E001CPU1E'!N:N,MATCH('По платам'!$B235,'EM-PCIE104-CPU_E1E001CPU1E'!L:L,0)),0)</f>
        <v>0</v>
      </c>
      <c r="J235">
        <f>IFERROR(INDEX(PCIe104_INF_E1N001INF1!N:N,MATCH('По платам'!$B235,PCIe104_INF_E1N001INF1!L:L,0)),0)</f>
        <v>0</v>
      </c>
      <c r="K235">
        <f>IFERROR(INDEX(IB_2RS232_E1N002INF1!N:N,MATCH('По платам'!$B235,IB_2RS232_E1N002INF1!L:L,0)),0)</f>
        <v>2</v>
      </c>
      <c r="L235">
        <f>IFERROR(INDEX(IB_2CAN_E1N003INF1!N:N,MATCH('По платам'!$B235,IB_2CAN_E1N003INF1!L:L,0)),0)</f>
        <v>0</v>
      </c>
    </row>
    <row r="236" spans="2:12">
      <c r="B236" s="3" t="s">
        <v>2298</v>
      </c>
      <c r="C236">
        <f>IFERROR(INDEX('C2B004CPU2'!N:N,MATCH('По платам'!B236,'C2B004CPU2'!L:L,0)),0)</f>
        <v>2</v>
      </c>
      <c r="D236">
        <f>IFERROR(INDEX(SBC_DIO_E1N004INF1!N:N,MATCH('По платам'!$B236,SBC_DIO_E1N004INF1!L:L,0)),0)</f>
        <v>0</v>
      </c>
      <c r="E236">
        <f>IFERROR(INDEX(SBC_35_2C3_1_E1E001CPU1E!N:N,MATCH('По платам'!$B236,SBC_35_2C3_1_E1E001CPU1E!L:L,0)),0)</f>
        <v>0</v>
      </c>
      <c r="F236">
        <f>IFERROR(INDEX(PCIe104_PSU_E1N001PWR1!N:N,MATCH('По платам'!$B236,PCIe104_PSU_E1N001PWR1!L:L,0)),0)</f>
        <v>0</v>
      </c>
      <c r="G236">
        <f>IFERROR(INDEX(PCIe104_INF2_E1N006INF1!N:N,MATCH('По платам'!$B236,PCIe104_INF2_E1N006INF1!L:L,0)),0)</f>
        <v>0</v>
      </c>
      <c r="H236">
        <f>IFERROR(INDEX(PCIe104_CON_E1N005INF1!N:N,MATCH('По платам'!$B236,PCIe104_CON_E1N005INF1!L:L,0)),0)</f>
        <v>0</v>
      </c>
      <c r="I236">
        <f>IFERROR(INDEX('EM-PCIE104-CPU_E1E001CPU1E'!N:N,MATCH('По платам'!$B236,'EM-PCIE104-CPU_E1E001CPU1E'!L:L,0)),0)</f>
        <v>0</v>
      </c>
      <c r="J236">
        <f>IFERROR(INDEX(PCIe104_INF_E1N001INF1!N:N,MATCH('По платам'!$B236,PCIe104_INF_E1N001INF1!L:L,0)),0)</f>
        <v>0</v>
      </c>
      <c r="K236">
        <f>IFERROR(INDEX(IB_2RS232_E1N002INF1!N:N,MATCH('По платам'!$B236,IB_2RS232_E1N002INF1!L:L,0)),0)</f>
        <v>0</v>
      </c>
      <c r="L236">
        <f>IFERROR(INDEX(IB_2CAN_E1N003INF1!N:N,MATCH('По платам'!$B236,IB_2CAN_E1N003INF1!L:L,0)),0)</f>
        <v>0</v>
      </c>
    </row>
    <row r="237" spans="2:12">
      <c r="B237" s="3" t="s">
        <v>2249</v>
      </c>
      <c r="C237">
        <f>IFERROR(INDEX('C2B004CPU2'!N:N,MATCH('По платам'!B237,'C2B004CPU2'!L:L,0)),0)</f>
        <v>1</v>
      </c>
      <c r="D237">
        <f>IFERROR(INDEX(SBC_DIO_E1N004INF1!N:N,MATCH('По платам'!$B237,SBC_DIO_E1N004INF1!L:L,0)),0)</f>
        <v>0</v>
      </c>
      <c r="E237">
        <f>IFERROR(INDEX(SBC_35_2C3_1_E1E001CPU1E!N:N,MATCH('По платам'!$B237,SBC_35_2C3_1_E1E001CPU1E!L:L,0)),0)</f>
        <v>0</v>
      </c>
      <c r="F237">
        <f>IFERROR(INDEX(PCIe104_PSU_E1N001PWR1!N:N,MATCH('По платам'!$B237,PCIe104_PSU_E1N001PWR1!L:L,0)),0)</f>
        <v>0</v>
      </c>
      <c r="G237">
        <f>IFERROR(INDEX(PCIe104_INF2_E1N006INF1!N:N,MATCH('По платам'!$B237,PCIe104_INF2_E1N006INF1!L:L,0)),0)</f>
        <v>0</v>
      </c>
      <c r="H237">
        <f>IFERROR(INDEX(PCIe104_CON_E1N005INF1!N:N,MATCH('По платам'!$B237,PCIe104_CON_E1N005INF1!L:L,0)),0)</f>
        <v>0</v>
      </c>
      <c r="I237">
        <f>IFERROR(INDEX('EM-PCIE104-CPU_E1E001CPU1E'!N:N,MATCH('По платам'!$B237,'EM-PCIE104-CPU_E1E001CPU1E'!L:L,0)),0)</f>
        <v>0</v>
      </c>
      <c r="J237">
        <f>IFERROR(INDEX(PCIe104_INF_E1N001INF1!N:N,MATCH('По платам'!$B237,PCIe104_INF_E1N001INF1!L:L,0)),0)</f>
        <v>0</v>
      </c>
      <c r="K237">
        <f>IFERROR(INDEX(IB_2RS232_E1N002INF1!N:N,MATCH('По платам'!$B237,IB_2RS232_E1N002INF1!L:L,0)),0)</f>
        <v>0</v>
      </c>
      <c r="L237">
        <f>IFERROR(INDEX(IB_2CAN_E1N003INF1!N:N,MATCH('По платам'!$B237,IB_2CAN_E1N003INF1!L:L,0)),0)</f>
        <v>0</v>
      </c>
    </row>
    <row r="238" spans="2:12">
      <c r="B238" s="3" t="s">
        <v>385</v>
      </c>
      <c r="C238">
        <f>IFERROR(INDEX('C2B004CPU2'!N:N,MATCH('По платам'!B238,'C2B004CPU2'!L:L,0)),0)</f>
        <v>0</v>
      </c>
      <c r="D238">
        <f>IFERROR(INDEX(SBC_DIO_E1N004INF1!N:N,MATCH('По платам'!$B238,SBC_DIO_E1N004INF1!L:L,0)),0)</f>
        <v>0</v>
      </c>
      <c r="E238">
        <f>IFERROR(INDEX(SBC_35_2C3_1_E1E001CPU1E!N:N,MATCH('По платам'!$B238,SBC_35_2C3_1_E1E001CPU1E!L:L,0)),0)</f>
        <v>0</v>
      </c>
      <c r="F238">
        <f>IFERROR(INDEX(PCIe104_PSU_E1N001PWR1!N:N,MATCH('По платам'!$B238,PCIe104_PSU_E1N001PWR1!L:L,0)),0)</f>
        <v>0</v>
      </c>
      <c r="G238">
        <f>IFERROR(INDEX(PCIe104_INF2_E1N006INF1!N:N,MATCH('По платам'!$B238,PCIe104_INF2_E1N006INF1!L:L,0)),0)</f>
        <v>0</v>
      </c>
      <c r="H238">
        <f>IFERROR(INDEX(PCIe104_CON_E1N005INF1!N:N,MATCH('По платам'!$B238,PCIe104_CON_E1N005INF1!L:L,0)),0)</f>
        <v>0</v>
      </c>
      <c r="I238">
        <f>IFERROR(INDEX('EM-PCIE104-CPU_E1E001CPU1E'!N:N,MATCH('По платам'!$B238,'EM-PCIE104-CPU_E1E001CPU1E'!L:L,0)),0)</f>
        <v>0</v>
      </c>
      <c r="J238">
        <f>IFERROR(INDEX(PCIe104_INF_E1N001INF1!N:N,MATCH('По платам'!$B238,PCIe104_INF_E1N001INF1!L:L,0)),0)</f>
        <v>1</v>
      </c>
      <c r="K238">
        <f>IFERROR(INDEX(IB_2RS232_E1N002INF1!N:N,MATCH('По платам'!$B238,IB_2RS232_E1N002INF1!L:L,0)),0)</f>
        <v>0</v>
      </c>
      <c r="L238">
        <f>IFERROR(INDEX(IB_2CAN_E1N003INF1!N:N,MATCH('По платам'!$B238,IB_2CAN_E1N003INF1!L:L,0)),0)</f>
        <v>0</v>
      </c>
    </row>
    <row r="239" spans="2:12">
      <c r="B239" s="3" t="s">
        <v>2202</v>
      </c>
      <c r="C239">
        <f>IFERROR(INDEX('C2B004CPU2'!N:N,MATCH('По платам'!B239,'C2B004CPU2'!L:L,0)),0)</f>
        <v>1</v>
      </c>
      <c r="D239">
        <f>IFERROR(INDEX(SBC_DIO_E1N004INF1!N:N,MATCH('По платам'!$B239,SBC_DIO_E1N004INF1!L:L,0)),0)</f>
        <v>0</v>
      </c>
      <c r="E239">
        <f>IFERROR(INDEX(SBC_35_2C3_1_E1E001CPU1E!N:N,MATCH('По платам'!$B239,SBC_35_2C3_1_E1E001CPU1E!L:L,0)),0)</f>
        <v>0</v>
      </c>
      <c r="F239">
        <f>IFERROR(INDEX(PCIe104_PSU_E1N001PWR1!N:N,MATCH('По платам'!$B239,PCIe104_PSU_E1N001PWR1!L:L,0)),0)</f>
        <v>0</v>
      </c>
      <c r="G239">
        <f>IFERROR(INDEX(PCIe104_INF2_E1N006INF1!N:N,MATCH('По платам'!$B239,PCIe104_INF2_E1N006INF1!L:L,0)),0)</f>
        <v>0</v>
      </c>
      <c r="H239">
        <f>IFERROR(INDEX(PCIe104_CON_E1N005INF1!N:N,MATCH('По платам'!$B239,PCIe104_CON_E1N005INF1!L:L,0)),0)</f>
        <v>0</v>
      </c>
      <c r="I239">
        <f>IFERROR(INDEX('EM-PCIE104-CPU_E1E001CPU1E'!N:N,MATCH('По платам'!$B239,'EM-PCIE104-CPU_E1E001CPU1E'!L:L,0)),0)</f>
        <v>0</v>
      </c>
      <c r="J239">
        <f>IFERROR(INDEX(PCIe104_INF_E1N001INF1!N:N,MATCH('По платам'!$B239,PCIe104_INF_E1N001INF1!L:L,0)),0)</f>
        <v>0</v>
      </c>
      <c r="K239">
        <f>IFERROR(INDEX(IB_2RS232_E1N002INF1!N:N,MATCH('По платам'!$B239,IB_2RS232_E1N002INF1!L:L,0)),0)</f>
        <v>0</v>
      </c>
      <c r="L239">
        <f>IFERROR(INDEX(IB_2CAN_E1N003INF1!N:N,MATCH('По платам'!$B239,IB_2CAN_E1N003INF1!L:L,0)),0)</f>
        <v>0</v>
      </c>
    </row>
    <row r="240" spans="2:12">
      <c r="B240" s="3" t="s">
        <v>123</v>
      </c>
      <c r="C240">
        <f>IFERROR(INDEX('C2B004CPU2'!N:N,MATCH('По платам'!B240,'C2B004CPU2'!L:L,0)),0)</f>
        <v>0</v>
      </c>
      <c r="D240">
        <f>IFERROR(INDEX(SBC_DIO_E1N004INF1!N:N,MATCH('По платам'!$B240,SBC_DIO_E1N004INF1!L:L,0)),0)</f>
        <v>0</v>
      </c>
      <c r="E240">
        <f>IFERROR(INDEX(SBC_35_2C3_1_E1E001CPU1E!N:N,MATCH('По платам'!$B240,SBC_35_2C3_1_E1E001CPU1E!L:L,0)),0)</f>
        <v>10</v>
      </c>
      <c r="F240">
        <f>IFERROR(INDEX(PCIe104_PSU_E1N001PWR1!N:N,MATCH('По платам'!$B240,PCIe104_PSU_E1N001PWR1!L:L,0)),0)</f>
        <v>1</v>
      </c>
      <c r="G240">
        <f>IFERROR(INDEX(PCIe104_INF2_E1N006INF1!N:N,MATCH('По платам'!$B240,PCIe104_INF2_E1N006INF1!L:L,0)),0)</f>
        <v>4</v>
      </c>
      <c r="H240">
        <f>IFERROR(INDEX(PCIe104_CON_E1N005INF1!N:N,MATCH('По платам'!$B240,PCIe104_CON_E1N005INF1!L:L,0)),0)</f>
        <v>5</v>
      </c>
      <c r="I240">
        <f>IFERROR(INDEX('EM-PCIE104-CPU_E1E001CPU1E'!N:N,MATCH('По платам'!$B240,'EM-PCIE104-CPU_E1E001CPU1E'!L:L,0)),0)</f>
        <v>7</v>
      </c>
      <c r="J240">
        <f>IFERROR(INDEX(PCIe104_INF_E1N001INF1!N:N,MATCH('По платам'!$B240,PCIe104_INF_E1N001INF1!L:L,0)),0)</f>
        <v>7</v>
      </c>
      <c r="K240">
        <f>IFERROR(INDEX(IB_2RS232_E1N002INF1!N:N,MATCH('По платам'!$B240,IB_2RS232_E1N002INF1!L:L,0)),0)</f>
        <v>3</v>
      </c>
      <c r="L240">
        <f>IFERROR(INDEX(IB_2CAN_E1N003INF1!N:N,MATCH('По платам'!$B240,IB_2CAN_E1N003INF1!L:L,0)),0)</f>
        <v>2</v>
      </c>
    </row>
    <row r="241" spans="2:12">
      <c r="B241" s="3" t="s">
        <v>2605</v>
      </c>
      <c r="C241">
        <f>IFERROR(INDEX('C2B004CPU2'!N:N,MATCH('По платам'!B241,'C2B004CPU2'!L:L,0)),0)</f>
        <v>12</v>
      </c>
      <c r="D241">
        <f>IFERROR(INDEX(SBC_DIO_E1N004INF1!N:N,MATCH('По платам'!$B241,SBC_DIO_E1N004INF1!L:L,0)),0)</f>
        <v>0</v>
      </c>
      <c r="E241">
        <f>IFERROR(INDEX(SBC_35_2C3_1_E1E001CPU1E!N:N,MATCH('По платам'!$B241,SBC_35_2C3_1_E1E001CPU1E!L:L,0)),0)</f>
        <v>0</v>
      </c>
      <c r="F241">
        <f>IFERROR(INDEX(PCIe104_PSU_E1N001PWR1!N:N,MATCH('По платам'!$B241,PCIe104_PSU_E1N001PWR1!L:L,0)),0)</f>
        <v>0</v>
      </c>
      <c r="G241">
        <f>IFERROR(INDEX(PCIe104_INF2_E1N006INF1!N:N,MATCH('По платам'!$B241,PCIe104_INF2_E1N006INF1!L:L,0)),0)</f>
        <v>0</v>
      </c>
      <c r="H241">
        <f>IFERROR(INDEX(PCIe104_CON_E1N005INF1!N:N,MATCH('По платам'!$B241,PCIe104_CON_E1N005INF1!L:L,0)),0)</f>
        <v>0</v>
      </c>
      <c r="I241">
        <f>IFERROR(INDEX('EM-PCIE104-CPU_E1E001CPU1E'!N:N,MATCH('По платам'!$B241,'EM-PCIE104-CPU_E1E001CPU1E'!L:L,0)),0)</f>
        <v>0</v>
      </c>
      <c r="J241">
        <f>IFERROR(INDEX(PCIe104_INF_E1N001INF1!N:N,MATCH('По платам'!$B241,PCIe104_INF_E1N001INF1!L:L,0)),0)</f>
        <v>0</v>
      </c>
      <c r="K241">
        <f>IFERROR(INDEX(IB_2RS232_E1N002INF1!N:N,MATCH('По платам'!$B241,IB_2RS232_E1N002INF1!L:L,0)),0)</f>
        <v>0</v>
      </c>
      <c r="L241">
        <f>IFERROR(INDEX(IB_2CAN_E1N003INF1!N:N,MATCH('По платам'!$B241,IB_2CAN_E1N003INF1!L:L,0)),0)</f>
        <v>0</v>
      </c>
    </row>
    <row r="242" spans="2:12">
      <c r="B242" s="3" t="s">
        <v>2647</v>
      </c>
      <c r="C242">
        <f>IFERROR(INDEX('C2B004CPU2'!N:N,MATCH('По платам'!B242,'C2B004CPU2'!L:L,0)),0)</f>
        <v>1</v>
      </c>
      <c r="D242">
        <f>IFERROR(INDEX(SBC_DIO_E1N004INF1!N:N,MATCH('По платам'!$B242,SBC_DIO_E1N004INF1!L:L,0)),0)</f>
        <v>0</v>
      </c>
      <c r="E242">
        <f>IFERROR(INDEX(SBC_35_2C3_1_E1E001CPU1E!N:N,MATCH('По платам'!$B242,SBC_35_2C3_1_E1E001CPU1E!L:L,0)),0)</f>
        <v>0</v>
      </c>
      <c r="F242">
        <f>IFERROR(INDEX(PCIe104_PSU_E1N001PWR1!N:N,MATCH('По платам'!$B242,PCIe104_PSU_E1N001PWR1!L:L,0)),0)</f>
        <v>0</v>
      </c>
      <c r="G242">
        <f>IFERROR(INDEX(PCIe104_INF2_E1N006INF1!N:N,MATCH('По платам'!$B242,PCIe104_INF2_E1N006INF1!L:L,0)),0)</f>
        <v>0</v>
      </c>
      <c r="H242">
        <f>IFERROR(INDEX(PCIe104_CON_E1N005INF1!N:N,MATCH('По платам'!$B242,PCIe104_CON_E1N005INF1!L:L,0)),0)</f>
        <v>0</v>
      </c>
      <c r="I242">
        <f>IFERROR(INDEX('EM-PCIE104-CPU_E1E001CPU1E'!N:N,MATCH('По платам'!$B242,'EM-PCIE104-CPU_E1E001CPU1E'!L:L,0)),0)</f>
        <v>0</v>
      </c>
      <c r="J242">
        <f>IFERROR(INDEX(PCIe104_INF_E1N001INF1!N:N,MATCH('По платам'!$B242,PCIe104_INF_E1N001INF1!L:L,0)),0)</f>
        <v>0</v>
      </c>
      <c r="K242">
        <f>IFERROR(INDEX(IB_2RS232_E1N002INF1!N:N,MATCH('По платам'!$B242,IB_2RS232_E1N002INF1!L:L,0)),0)</f>
        <v>0</v>
      </c>
      <c r="L242">
        <f>IFERROR(INDEX(IB_2CAN_E1N003INF1!N:N,MATCH('По платам'!$B242,IB_2CAN_E1N003INF1!L:L,0)),0)</f>
        <v>0</v>
      </c>
    </row>
    <row r="243" spans="2:12">
      <c r="B243" s="3" t="s">
        <v>2253</v>
      </c>
      <c r="C243">
        <f>IFERROR(INDEX('C2B004CPU2'!N:N,MATCH('По платам'!B243,'C2B004CPU2'!L:L,0)),0)</f>
        <v>2</v>
      </c>
      <c r="D243">
        <f>IFERROR(INDEX(SBC_DIO_E1N004INF1!N:N,MATCH('По платам'!$B243,SBC_DIO_E1N004INF1!L:L,0)),0)</f>
        <v>0</v>
      </c>
      <c r="E243">
        <f>IFERROR(INDEX(SBC_35_2C3_1_E1E001CPU1E!N:N,MATCH('По платам'!$B243,SBC_35_2C3_1_E1E001CPU1E!L:L,0)),0)</f>
        <v>0</v>
      </c>
      <c r="F243">
        <f>IFERROR(INDEX(PCIe104_PSU_E1N001PWR1!N:N,MATCH('По платам'!$B243,PCIe104_PSU_E1N001PWR1!L:L,0)),0)</f>
        <v>0</v>
      </c>
      <c r="G243">
        <f>IFERROR(INDEX(PCIe104_INF2_E1N006INF1!N:N,MATCH('По платам'!$B243,PCIe104_INF2_E1N006INF1!L:L,0)),0)</f>
        <v>0</v>
      </c>
      <c r="H243">
        <f>IFERROR(INDEX(PCIe104_CON_E1N005INF1!N:N,MATCH('По платам'!$B243,PCIe104_CON_E1N005INF1!L:L,0)),0)</f>
        <v>0</v>
      </c>
      <c r="I243">
        <f>IFERROR(INDEX('EM-PCIE104-CPU_E1E001CPU1E'!N:N,MATCH('По платам'!$B243,'EM-PCIE104-CPU_E1E001CPU1E'!L:L,0)),0)</f>
        <v>0</v>
      </c>
      <c r="J243">
        <f>IFERROR(INDEX(PCIe104_INF_E1N001INF1!N:N,MATCH('По платам'!$B243,PCIe104_INF_E1N001INF1!L:L,0)),0)</f>
        <v>0</v>
      </c>
      <c r="K243">
        <f>IFERROR(INDEX(IB_2RS232_E1N002INF1!N:N,MATCH('По платам'!$B243,IB_2RS232_E1N002INF1!L:L,0)),0)</f>
        <v>0</v>
      </c>
      <c r="L243">
        <f>IFERROR(INDEX(IB_2CAN_E1N003INF1!N:N,MATCH('По платам'!$B243,IB_2CAN_E1N003INF1!L:L,0)),0)</f>
        <v>0</v>
      </c>
    </row>
    <row r="244" spans="2:12">
      <c r="B244" s="3" t="s">
        <v>2218</v>
      </c>
      <c r="C244">
        <f>IFERROR(INDEX('C2B004CPU2'!N:N,MATCH('По платам'!B244,'C2B004CPU2'!L:L,0)),0)</f>
        <v>1</v>
      </c>
      <c r="D244">
        <f>IFERROR(INDEX(SBC_DIO_E1N004INF1!N:N,MATCH('По платам'!$B244,SBC_DIO_E1N004INF1!L:L,0)),0)</f>
        <v>0</v>
      </c>
      <c r="E244">
        <f>IFERROR(INDEX(SBC_35_2C3_1_E1E001CPU1E!N:N,MATCH('По платам'!$B244,SBC_35_2C3_1_E1E001CPU1E!L:L,0)),0)</f>
        <v>0</v>
      </c>
      <c r="F244">
        <f>IFERROR(INDEX(PCIe104_PSU_E1N001PWR1!N:N,MATCH('По платам'!$B244,PCIe104_PSU_E1N001PWR1!L:L,0)),0)</f>
        <v>0</v>
      </c>
      <c r="G244">
        <f>IFERROR(INDEX(PCIe104_INF2_E1N006INF1!N:N,MATCH('По платам'!$B244,PCIe104_INF2_E1N006INF1!L:L,0)),0)</f>
        <v>0</v>
      </c>
      <c r="H244">
        <f>IFERROR(INDEX(PCIe104_CON_E1N005INF1!N:N,MATCH('По платам'!$B244,PCIe104_CON_E1N005INF1!L:L,0)),0)</f>
        <v>0</v>
      </c>
      <c r="I244">
        <f>IFERROR(INDEX('EM-PCIE104-CPU_E1E001CPU1E'!N:N,MATCH('По платам'!$B244,'EM-PCIE104-CPU_E1E001CPU1E'!L:L,0)),0)</f>
        <v>0</v>
      </c>
      <c r="J244">
        <f>IFERROR(INDEX(PCIe104_INF_E1N001INF1!N:N,MATCH('По платам'!$B244,PCIe104_INF_E1N001INF1!L:L,0)),0)</f>
        <v>0</v>
      </c>
      <c r="K244">
        <f>IFERROR(INDEX(IB_2RS232_E1N002INF1!N:N,MATCH('По платам'!$B244,IB_2RS232_E1N002INF1!L:L,0)),0)</f>
        <v>0</v>
      </c>
      <c r="L244">
        <f>IFERROR(INDEX(IB_2CAN_E1N003INF1!N:N,MATCH('По платам'!$B244,IB_2CAN_E1N003INF1!L:L,0)),0)</f>
        <v>0</v>
      </c>
    </row>
    <row r="245" spans="2:12">
      <c r="B245" s="3" t="s">
        <v>2631</v>
      </c>
      <c r="C245">
        <f>IFERROR(INDEX('C2B004CPU2'!N:N,MATCH('По платам'!B245,'C2B004CPU2'!L:L,0)),0)</f>
        <v>5</v>
      </c>
      <c r="D245">
        <f>IFERROR(INDEX(SBC_DIO_E1N004INF1!N:N,MATCH('По платам'!$B245,SBC_DIO_E1N004INF1!L:L,0)),0)</f>
        <v>0</v>
      </c>
      <c r="E245">
        <f>IFERROR(INDEX(SBC_35_2C3_1_E1E001CPU1E!N:N,MATCH('По платам'!$B245,SBC_35_2C3_1_E1E001CPU1E!L:L,0)),0)</f>
        <v>0</v>
      </c>
      <c r="F245">
        <f>IFERROR(INDEX(PCIe104_PSU_E1N001PWR1!N:N,MATCH('По платам'!$B245,PCIe104_PSU_E1N001PWR1!L:L,0)),0)</f>
        <v>0</v>
      </c>
      <c r="G245">
        <f>IFERROR(INDEX(PCIe104_INF2_E1N006INF1!N:N,MATCH('По платам'!$B245,PCIe104_INF2_E1N006INF1!L:L,0)),0)</f>
        <v>0</v>
      </c>
      <c r="H245">
        <f>IFERROR(INDEX(PCIe104_CON_E1N005INF1!N:N,MATCH('По платам'!$B245,PCIe104_CON_E1N005INF1!L:L,0)),0)</f>
        <v>0</v>
      </c>
      <c r="I245">
        <f>IFERROR(INDEX('EM-PCIE104-CPU_E1E001CPU1E'!N:N,MATCH('По платам'!$B245,'EM-PCIE104-CPU_E1E001CPU1E'!L:L,0)),0)</f>
        <v>0</v>
      </c>
      <c r="J245">
        <f>IFERROR(INDEX(PCIe104_INF_E1N001INF1!N:N,MATCH('По платам'!$B245,PCIe104_INF_E1N001INF1!L:L,0)),0)</f>
        <v>0</v>
      </c>
      <c r="K245">
        <f>IFERROR(INDEX(IB_2RS232_E1N002INF1!N:N,MATCH('По платам'!$B245,IB_2RS232_E1N002INF1!L:L,0)),0)</f>
        <v>0</v>
      </c>
      <c r="L245">
        <f>IFERROR(INDEX(IB_2CAN_E1N003INF1!N:N,MATCH('По платам'!$B245,IB_2CAN_E1N003INF1!L:L,0)),0)</f>
        <v>0</v>
      </c>
    </row>
    <row r="246" spans="2:12">
      <c r="B246" s="3" t="s">
        <v>722</v>
      </c>
      <c r="C246">
        <f>IFERROR(INDEX('C2B004CPU2'!N:N,MATCH('По платам'!B246,'C2B004CPU2'!L:L,0)),0)</f>
        <v>0</v>
      </c>
      <c r="D246">
        <f>IFERROR(INDEX(SBC_DIO_E1N004INF1!N:N,MATCH('По платам'!$B246,SBC_DIO_E1N004INF1!L:L,0)),0)</f>
        <v>0</v>
      </c>
      <c r="E246">
        <f>IFERROR(INDEX(SBC_35_2C3_1_E1E001CPU1E!N:N,MATCH('По платам'!$B246,SBC_35_2C3_1_E1E001CPU1E!L:L,0)),0)</f>
        <v>1</v>
      </c>
      <c r="F246">
        <f>IFERROR(INDEX(PCIe104_PSU_E1N001PWR1!N:N,MATCH('По платам'!$B246,PCIe104_PSU_E1N001PWR1!L:L,0)),0)</f>
        <v>0</v>
      </c>
      <c r="G246">
        <f>IFERROR(INDEX(PCIe104_INF2_E1N006INF1!N:N,MATCH('По платам'!$B246,PCIe104_INF2_E1N006INF1!L:L,0)),0)</f>
        <v>0</v>
      </c>
      <c r="H246">
        <f>IFERROR(INDEX(PCIe104_CON_E1N005INF1!N:N,MATCH('По платам'!$B246,PCIe104_CON_E1N005INF1!L:L,0)),0)</f>
        <v>0</v>
      </c>
      <c r="I246">
        <f>IFERROR(INDEX('EM-PCIE104-CPU_E1E001CPU1E'!N:N,MATCH('По платам'!$B246,'EM-PCIE104-CPU_E1E001CPU1E'!L:L,0)),0)</f>
        <v>1</v>
      </c>
      <c r="J246">
        <f>IFERROR(INDEX(PCIe104_INF_E1N001INF1!N:N,MATCH('По платам'!$B246,PCIe104_INF_E1N001INF1!L:L,0)),0)</f>
        <v>0</v>
      </c>
      <c r="K246">
        <f>IFERROR(INDEX(IB_2RS232_E1N002INF1!N:N,MATCH('По платам'!$B246,IB_2RS232_E1N002INF1!L:L,0)),0)</f>
        <v>0</v>
      </c>
      <c r="L246">
        <f>IFERROR(INDEX(IB_2CAN_E1N003INF1!N:N,MATCH('По платам'!$B246,IB_2CAN_E1N003INF1!L:L,0)),0)</f>
        <v>0</v>
      </c>
    </row>
    <row r="247" spans="2:12">
      <c r="B247" s="3" t="s">
        <v>747</v>
      </c>
      <c r="C247">
        <f>IFERROR(INDEX('C2B004CPU2'!N:N,MATCH('По платам'!B247,'C2B004CPU2'!L:L,0)),0)</f>
        <v>0</v>
      </c>
      <c r="D247">
        <f>IFERROR(INDEX(SBC_DIO_E1N004INF1!N:N,MATCH('По платам'!$B247,SBC_DIO_E1N004INF1!L:L,0)),0)</f>
        <v>0</v>
      </c>
      <c r="E247">
        <f>IFERROR(INDEX(SBC_35_2C3_1_E1E001CPU1E!N:N,MATCH('По платам'!$B247,SBC_35_2C3_1_E1E001CPU1E!L:L,0)),0)</f>
        <v>3</v>
      </c>
      <c r="F247">
        <f>IFERROR(INDEX(PCIe104_PSU_E1N001PWR1!N:N,MATCH('По платам'!$B247,PCIe104_PSU_E1N001PWR1!L:L,0)),0)</f>
        <v>0</v>
      </c>
      <c r="G247">
        <f>IFERROR(INDEX(PCIe104_INF2_E1N006INF1!N:N,MATCH('По платам'!$B247,PCIe104_INF2_E1N006INF1!L:L,0)),0)</f>
        <v>0</v>
      </c>
      <c r="H247">
        <f>IFERROR(INDEX(PCIe104_CON_E1N005INF1!N:N,MATCH('По платам'!$B247,PCIe104_CON_E1N005INF1!L:L,0)),0)</f>
        <v>0</v>
      </c>
      <c r="I247">
        <f>IFERROR(INDEX('EM-PCIE104-CPU_E1E001CPU1E'!N:N,MATCH('По платам'!$B247,'EM-PCIE104-CPU_E1E001CPU1E'!L:L,0)),0)</f>
        <v>1</v>
      </c>
      <c r="J247">
        <f>IFERROR(INDEX(PCIe104_INF_E1N001INF1!N:N,MATCH('По платам'!$B247,PCIe104_INF_E1N001INF1!L:L,0)),0)</f>
        <v>0</v>
      </c>
      <c r="K247">
        <f>IFERROR(INDEX(IB_2RS232_E1N002INF1!N:N,MATCH('По платам'!$B247,IB_2RS232_E1N002INF1!L:L,0)),0)</f>
        <v>0</v>
      </c>
      <c r="L247">
        <f>IFERROR(INDEX(IB_2CAN_E1N003INF1!N:N,MATCH('По платам'!$B247,IB_2CAN_E1N003INF1!L:L,0)),0)</f>
        <v>0</v>
      </c>
    </row>
    <row r="248" spans="2:12">
      <c r="B248" s="3" t="s">
        <v>2282</v>
      </c>
      <c r="C248">
        <f>IFERROR(INDEX('C2B004CPU2'!N:N,MATCH('По платам'!B248,'C2B004CPU2'!L:L,0)),0)</f>
        <v>1</v>
      </c>
      <c r="D248">
        <f>IFERROR(INDEX(SBC_DIO_E1N004INF1!N:N,MATCH('По платам'!$B248,SBC_DIO_E1N004INF1!L:L,0)),0)</f>
        <v>0</v>
      </c>
      <c r="E248">
        <f>IFERROR(INDEX(SBC_35_2C3_1_E1E001CPU1E!N:N,MATCH('По платам'!$B248,SBC_35_2C3_1_E1E001CPU1E!L:L,0)),0)</f>
        <v>0</v>
      </c>
      <c r="F248">
        <f>IFERROR(INDEX(PCIe104_PSU_E1N001PWR1!N:N,MATCH('По платам'!$B248,PCIe104_PSU_E1N001PWR1!L:L,0)),0)</f>
        <v>0</v>
      </c>
      <c r="G248">
        <f>IFERROR(INDEX(PCIe104_INF2_E1N006INF1!N:N,MATCH('По платам'!$B248,PCIe104_INF2_E1N006INF1!L:L,0)),0)</f>
        <v>0</v>
      </c>
      <c r="H248">
        <f>IFERROR(INDEX(PCIe104_CON_E1N005INF1!N:N,MATCH('По платам'!$B248,PCIe104_CON_E1N005INF1!L:L,0)),0)</f>
        <v>0</v>
      </c>
      <c r="I248">
        <f>IFERROR(INDEX('EM-PCIE104-CPU_E1E001CPU1E'!N:N,MATCH('По платам'!$B248,'EM-PCIE104-CPU_E1E001CPU1E'!L:L,0)),0)</f>
        <v>0</v>
      </c>
      <c r="J248">
        <f>IFERROR(INDEX(PCIe104_INF_E1N001INF1!N:N,MATCH('По платам'!$B248,PCIe104_INF_E1N001INF1!L:L,0)),0)</f>
        <v>0</v>
      </c>
      <c r="K248">
        <f>IFERROR(INDEX(IB_2RS232_E1N002INF1!N:N,MATCH('По платам'!$B248,IB_2RS232_E1N002INF1!L:L,0)),0)</f>
        <v>0</v>
      </c>
      <c r="L248">
        <f>IFERROR(INDEX(IB_2CAN_E1N003INF1!N:N,MATCH('По платам'!$B248,IB_2CAN_E1N003INF1!L:L,0)),0)</f>
        <v>0</v>
      </c>
    </row>
    <row r="249" spans="2:12">
      <c r="B249" s="3" t="s">
        <v>2294</v>
      </c>
      <c r="C249">
        <f>IFERROR(INDEX('C2B004CPU2'!N:N,MATCH('По платам'!B249,'C2B004CPU2'!L:L,0)),0)</f>
        <v>1</v>
      </c>
      <c r="D249">
        <f>IFERROR(INDEX(SBC_DIO_E1N004INF1!N:N,MATCH('По платам'!$B249,SBC_DIO_E1N004INF1!L:L,0)),0)</f>
        <v>0</v>
      </c>
      <c r="E249">
        <f>IFERROR(INDEX(SBC_35_2C3_1_E1E001CPU1E!N:N,MATCH('По платам'!$B249,SBC_35_2C3_1_E1E001CPU1E!L:L,0)),0)</f>
        <v>0</v>
      </c>
      <c r="F249">
        <f>IFERROR(INDEX(PCIe104_PSU_E1N001PWR1!N:N,MATCH('По платам'!$B249,PCIe104_PSU_E1N001PWR1!L:L,0)),0)</f>
        <v>0</v>
      </c>
      <c r="G249">
        <f>IFERROR(INDEX(PCIe104_INF2_E1N006INF1!N:N,MATCH('По платам'!$B249,PCIe104_INF2_E1N006INF1!L:L,0)),0)</f>
        <v>0</v>
      </c>
      <c r="H249">
        <f>IFERROR(INDEX(PCIe104_CON_E1N005INF1!N:N,MATCH('По платам'!$B249,PCIe104_CON_E1N005INF1!L:L,0)),0)</f>
        <v>0</v>
      </c>
      <c r="I249">
        <f>IFERROR(INDEX('EM-PCIE104-CPU_E1E001CPU1E'!N:N,MATCH('По платам'!$B249,'EM-PCIE104-CPU_E1E001CPU1E'!L:L,0)),0)</f>
        <v>0</v>
      </c>
      <c r="J249">
        <f>IFERROR(INDEX(PCIe104_INF_E1N001INF1!N:N,MATCH('По платам'!$B249,PCIe104_INF_E1N001INF1!L:L,0)),0)</f>
        <v>0</v>
      </c>
      <c r="K249">
        <f>IFERROR(INDEX(IB_2RS232_E1N002INF1!N:N,MATCH('По платам'!$B249,IB_2RS232_E1N002INF1!L:L,0)),0)</f>
        <v>0</v>
      </c>
      <c r="L249">
        <f>IFERROR(INDEX(IB_2CAN_E1N003INF1!N:N,MATCH('По платам'!$B249,IB_2CAN_E1N003INF1!L:L,0)),0)</f>
        <v>0</v>
      </c>
    </row>
    <row r="250" spans="2:12">
      <c r="B250" s="3" t="s">
        <v>2290</v>
      </c>
      <c r="C250">
        <f>IFERROR(INDEX('C2B004CPU2'!N:N,MATCH('По платам'!B250,'C2B004CPU2'!L:L,0)),0)</f>
        <v>5</v>
      </c>
      <c r="D250">
        <f>IFERROR(INDEX(SBC_DIO_E1N004INF1!N:N,MATCH('По платам'!$B250,SBC_DIO_E1N004INF1!L:L,0)),0)</f>
        <v>0</v>
      </c>
      <c r="E250">
        <f>IFERROR(INDEX(SBC_35_2C3_1_E1E001CPU1E!N:N,MATCH('По платам'!$B250,SBC_35_2C3_1_E1E001CPU1E!L:L,0)),0)</f>
        <v>0</v>
      </c>
      <c r="F250">
        <f>IFERROR(INDEX(PCIe104_PSU_E1N001PWR1!N:N,MATCH('По платам'!$B250,PCIe104_PSU_E1N001PWR1!L:L,0)),0)</f>
        <v>0</v>
      </c>
      <c r="G250">
        <f>IFERROR(INDEX(PCIe104_INF2_E1N006INF1!N:N,MATCH('По платам'!$B250,PCIe104_INF2_E1N006INF1!L:L,0)),0)</f>
        <v>0</v>
      </c>
      <c r="H250">
        <f>IFERROR(INDEX(PCIe104_CON_E1N005INF1!N:N,MATCH('По платам'!$B250,PCIe104_CON_E1N005INF1!L:L,0)),0)</f>
        <v>0</v>
      </c>
      <c r="I250">
        <f>IFERROR(INDEX('EM-PCIE104-CPU_E1E001CPU1E'!N:N,MATCH('По платам'!$B250,'EM-PCIE104-CPU_E1E001CPU1E'!L:L,0)),0)</f>
        <v>0</v>
      </c>
      <c r="J250">
        <f>IFERROR(INDEX(PCIe104_INF_E1N001INF1!N:N,MATCH('По платам'!$B250,PCIe104_INF_E1N001INF1!L:L,0)),0)</f>
        <v>0</v>
      </c>
      <c r="K250">
        <f>IFERROR(INDEX(IB_2RS232_E1N002INF1!N:N,MATCH('По платам'!$B250,IB_2RS232_E1N002INF1!L:L,0)),0)</f>
        <v>0</v>
      </c>
      <c r="L250">
        <f>IFERROR(INDEX(IB_2CAN_E1N003INF1!N:N,MATCH('По платам'!$B250,IB_2CAN_E1N003INF1!L:L,0)),0)</f>
        <v>0</v>
      </c>
    </row>
    <row r="251" spans="2:12">
      <c r="B251" s="3" t="s">
        <v>2286</v>
      </c>
      <c r="C251">
        <f>IFERROR(INDEX('C2B004CPU2'!N:N,MATCH('По платам'!B251,'C2B004CPU2'!L:L,0)),0)</f>
        <v>2</v>
      </c>
      <c r="D251">
        <f>IFERROR(INDEX(SBC_DIO_E1N004INF1!N:N,MATCH('По платам'!$B251,SBC_DIO_E1N004INF1!L:L,0)),0)</f>
        <v>0</v>
      </c>
      <c r="E251">
        <f>IFERROR(INDEX(SBC_35_2C3_1_E1E001CPU1E!N:N,MATCH('По платам'!$B251,SBC_35_2C3_1_E1E001CPU1E!L:L,0)),0)</f>
        <v>0</v>
      </c>
      <c r="F251">
        <f>IFERROR(INDEX(PCIe104_PSU_E1N001PWR1!N:N,MATCH('По платам'!$B251,PCIe104_PSU_E1N001PWR1!L:L,0)),0)</f>
        <v>0</v>
      </c>
      <c r="G251">
        <f>IFERROR(INDEX(PCIe104_INF2_E1N006INF1!N:N,MATCH('По платам'!$B251,PCIe104_INF2_E1N006INF1!L:L,0)),0)</f>
        <v>0</v>
      </c>
      <c r="H251">
        <f>IFERROR(INDEX(PCIe104_CON_E1N005INF1!N:N,MATCH('По платам'!$B251,PCIe104_CON_E1N005INF1!L:L,0)),0)</f>
        <v>0</v>
      </c>
      <c r="I251">
        <f>IFERROR(INDEX('EM-PCIE104-CPU_E1E001CPU1E'!N:N,MATCH('По платам'!$B251,'EM-PCIE104-CPU_E1E001CPU1E'!L:L,0)),0)</f>
        <v>0</v>
      </c>
      <c r="J251">
        <f>IFERROR(INDEX(PCIe104_INF_E1N001INF1!N:N,MATCH('По платам'!$B251,PCIe104_INF_E1N001INF1!L:L,0)),0)</f>
        <v>0</v>
      </c>
      <c r="K251">
        <f>IFERROR(INDEX(IB_2RS232_E1N002INF1!N:N,MATCH('По платам'!$B251,IB_2RS232_E1N002INF1!L:L,0)),0)</f>
        <v>0</v>
      </c>
      <c r="L251">
        <f>IFERROR(INDEX(IB_2CAN_E1N003INF1!N:N,MATCH('По платам'!$B251,IB_2CAN_E1N003INF1!L:L,0)),0)</f>
        <v>0</v>
      </c>
    </row>
    <row r="252" spans="2:12">
      <c r="B252" s="3" t="s">
        <v>2270</v>
      </c>
      <c r="C252">
        <f>IFERROR(INDEX('C2B004CPU2'!N:N,MATCH('По платам'!B252,'C2B004CPU2'!L:L,0)),0)</f>
        <v>1</v>
      </c>
      <c r="D252">
        <f>IFERROR(INDEX(SBC_DIO_E1N004INF1!N:N,MATCH('По платам'!$B252,SBC_DIO_E1N004INF1!L:L,0)),0)</f>
        <v>0</v>
      </c>
      <c r="E252">
        <f>IFERROR(INDEX(SBC_35_2C3_1_E1E001CPU1E!N:N,MATCH('По платам'!$B252,SBC_35_2C3_1_E1E001CPU1E!L:L,0)),0)</f>
        <v>0</v>
      </c>
      <c r="F252">
        <f>IFERROR(INDEX(PCIe104_PSU_E1N001PWR1!N:N,MATCH('По платам'!$B252,PCIe104_PSU_E1N001PWR1!L:L,0)),0)</f>
        <v>0</v>
      </c>
      <c r="G252">
        <f>IFERROR(INDEX(PCIe104_INF2_E1N006INF1!N:N,MATCH('По платам'!$B252,PCIe104_INF2_E1N006INF1!L:L,0)),0)</f>
        <v>0</v>
      </c>
      <c r="H252">
        <f>IFERROR(INDEX(PCIe104_CON_E1N005INF1!N:N,MATCH('По платам'!$B252,PCIe104_CON_E1N005INF1!L:L,0)),0)</f>
        <v>0</v>
      </c>
      <c r="I252">
        <f>IFERROR(INDEX('EM-PCIE104-CPU_E1E001CPU1E'!N:N,MATCH('По платам'!$B252,'EM-PCIE104-CPU_E1E001CPU1E'!L:L,0)),0)</f>
        <v>0</v>
      </c>
      <c r="J252">
        <f>IFERROR(INDEX(PCIe104_INF_E1N001INF1!N:N,MATCH('По платам'!$B252,PCIe104_INF_E1N001INF1!L:L,0)),0)</f>
        <v>0</v>
      </c>
      <c r="K252">
        <f>IFERROR(INDEX(IB_2RS232_E1N002INF1!N:N,MATCH('По платам'!$B252,IB_2RS232_E1N002INF1!L:L,0)),0)</f>
        <v>0</v>
      </c>
      <c r="L252">
        <f>IFERROR(INDEX(IB_2CAN_E1N003INF1!N:N,MATCH('По платам'!$B252,IB_2CAN_E1N003INF1!L:L,0)),0)</f>
        <v>0</v>
      </c>
    </row>
    <row r="253" spans="2:12">
      <c r="B253" s="3" t="s">
        <v>1045</v>
      </c>
      <c r="C253">
        <f>IFERROR(INDEX('C2B004CPU2'!N:N,MATCH('По платам'!B253,'C2B004CPU2'!L:L,0)),0)</f>
        <v>0</v>
      </c>
      <c r="D253">
        <f>IFERROR(INDEX(SBC_DIO_E1N004INF1!N:N,MATCH('По платам'!$B253,SBC_DIO_E1N004INF1!L:L,0)),0)</f>
        <v>0</v>
      </c>
      <c r="E253">
        <f>IFERROR(INDEX(SBC_35_2C3_1_E1E001CPU1E!N:N,MATCH('По платам'!$B253,SBC_35_2C3_1_E1E001CPU1E!L:L,0)),0)</f>
        <v>8</v>
      </c>
      <c r="F253">
        <f>IFERROR(INDEX(PCIe104_PSU_E1N001PWR1!N:N,MATCH('По платам'!$B253,PCIe104_PSU_E1N001PWR1!L:L,0)),0)</f>
        <v>0</v>
      </c>
      <c r="G253">
        <f>IFERROR(INDEX(PCIe104_INF2_E1N006INF1!N:N,MATCH('По платам'!$B253,PCIe104_INF2_E1N006INF1!L:L,0)),0)</f>
        <v>0</v>
      </c>
      <c r="H253">
        <f>IFERROR(INDEX(PCIe104_CON_E1N005INF1!N:N,MATCH('По платам'!$B253,PCIe104_CON_E1N005INF1!L:L,0)),0)</f>
        <v>0</v>
      </c>
      <c r="I253">
        <f>IFERROR(INDEX('EM-PCIE104-CPU_E1E001CPU1E'!N:N,MATCH('По платам'!$B253,'EM-PCIE104-CPU_E1E001CPU1E'!L:L,0)),0)</f>
        <v>4</v>
      </c>
      <c r="J253">
        <f>IFERROR(INDEX(PCIe104_INF_E1N001INF1!N:N,MATCH('По платам'!$B253,PCIe104_INF_E1N001INF1!L:L,0)),0)</f>
        <v>0</v>
      </c>
      <c r="K253">
        <f>IFERROR(INDEX(IB_2RS232_E1N002INF1!N:N,MATCH('По платам'!$B253,IB_2RS232_E1N002INF1!L:L,0)),0)</f>
        <v>0</v>
      </c>
      <c r="L253">
        <f>IFERROR(INDEX(IB_2CAN_E1N003INF1!N:N,MATCH('По платам'!$B253,IB_2CAN_E1N003INF1!L:L,0)),0)</f>
        <v>0</v>
      </c>
    </row>
    <row r="254" spans="2:12">
      <c r="B254" s="3" t="s">
        <v>2601</v>
      </c>
      <c r="C254">
        <f>IFERROR(INDEX('C2B004CPU2'!N:N,MATCH('По платам'!B254,'C2B004CPU2'!L:L,0)),0)</f>
        <v>26</v>
      </c>
      <c r="D254">
        <f>IFERROR(INDEX(SBC_DIO_E1N004INF1!N:N,MATCH('По платам'!$B254,SBC_DIO_E1N004INF1!L:L,0)),0)</f>
        <v>0</v>
      </c>
      <c r="E254">
        <f>IFERROR(INDEX(SBC_35_2C3_1_E1E001CPU1E!N:N,MATCH('По платам'!$B254,SBC_35_2C3_1_E1E001CPU1E!L:L,0)),0)</f>
        <v>0</v>
      </c>
      <c r="F254">
        <f>IFERROR(INDEX(PCIe104_PSU_E1N001PWR1!N:N,MATCH('По платам'!$B254,PCIe104_PSU_E1N001PWR1!L:L,0)),0)</f>
        <v>0</v>
      </c>
      <c r="G254">
        <f>IFERROR(INDEX(PCIe104_INF2_E1N006INF1!N:N,MATCH('По платам'!$B254,PCIe104_INF2_E1N006INF1!L:L,0)),0)</f>
        <v>0</v>
      </c>
      <c r="H254">
        <f>IFERROR(INDEX(PCIe104_CON_E1N005INF1!N:N,MATCH('По платам'!$B254,PCIe104_CON_E1N005INF1!L:L,0)),0)</f>
        <v>0</v>
      </c>
      <c r="I254">
        <f>IFERROR(INDEX('EM-PCIE104-CPU_E1E001CPU1E'!N:N,MATCH('По платам'!$B254,'EM-PCIE104-CPU_E1E001CPU1E'!L:L,0)),0)</f>
        <v>0</v>
      </c>
      <c r="J254">
        <f>IFERROR(INDEX(PCIe104_INF_E1N001INF1!N:N,MATCH('По платам'!$B254,PCIe104_INF_E1N001INF1!L:L,0)),0)</f>
        <v>0</v>
      </c>
      <c r="K254">
        <f>IFERROR(INDEX(IB_2RS232_E1N002INF1!N:N,MATCH('По платам'!$B254,IB_2RS232_E1N002INF1!L:L,0)),0)</f>
        <v>0</v>
      </c>
      <c r="L254">
        <f>IFERROR(INDEX(IB_2CAN_E1N003INF1!N:N,MATCH('По платам'!$B254,IB_2CAN_E1N003INF1!L:L,0)),0)</f>
        <v>0</v>
      </c>
    </row>
    <row r="255" spans="2:12">
      <c r="B255" s="3" t="s">
        <v>2643</v>
      </c>
      <c r="C255">
        <f>IFERROR(INDEX('C2B004CPU2'!N:N,MATCH('По платам'!B255,'C2B004CPU2'!L:L,0)),0)</f>
        <v>1</v>
      </c>
      <c r="D255">
        <f>IFERROR(INDEX(SBC_DIO_E1N004INF1!N:N,MATCH('По платам'!$B255,SBC_DIO_E1N004INF1!L:L,0)),0)</f>
        <v>0</v>
      </c>
      <c r="E255">
        <f>IFERROR(INDEX(SBC_35_2C3_1_E1E001CPU1E!N:N,MATCH('По платам'!$B255,SBC_35_2C3_1_E1E001CPU1E!L:L,0)),0)</f>
        <v>0</v>
      </c>
      <c r="F255">
        <f>IFERROR(INDEX(PCIe104_PSU_E1N001PWR1!N:N,MATCH('По платам'!$B255,PCIe104_PSU_E1N001PWR1!L:L,0)),0)</f>
        <v>0</v>
      </c>
      <c r="G255">
        <f>IFERROR(INDEX(PCIe104_INF2_E1N006INF1!N:N,MATCH('По платам'!$B255,PCIe104_INF2_E1N006INF1!L:L,0)),0)</f>
        <v>0</v>
      </c>
      <c r="H255">
        <f>IFERROR(INDEX(PCIe104_CON_E1N005INF1!N:N,MATCH('По платам'!$B255,PCIe104_CON_E1N005INF1!L:L,0)),0)</f>
        <v>0</v>
      </c>
      <c r="I255">
        <f>IFERROR(INDEX('EM-PCIE104-CPU_E1E001CPU1E'!N:N,MATCH('По платам'!$B255,'EM-PCIE104-CPU_E1E001CPU1E'!L:L,0)),0)</f>
        <v>0</v>
      </c>
      <c r="J255">
        <f>IFERROR(INDEX(PCIe104_INF_E1N001INF1!N:N,MATCH('По платам'!$B255,PCIe104_INF_E1N001INF1!L:L,0)),0)</f>
        <v>0</v>
      </c>
      <c r="K255">
        <f>IFERROR(INDEX(IB_2RS232_E1N002INF1!N:N,MATCH('По платам'!$B255,IB_2RS232_E1N002INF1!L:L,0)),0)</f>
        <v>0</v>
      </c>
      <c r="L255">
        <f>IFERROR(INDEX(IB_2CAN_E1N003INF1!N:N,MATCH('По платам'!$B255,IB_2CAN_E1N003INF1!L:L,0)),0)</f>
        <v>0</v>
      </c>
    </row>
    <row r="256" spans="2:12">
      <c r="B256" s="3" t="s">
        <v>1946</v>
      </c>
      <c r="C256">
        <f>IFERROR(INDEX('C2B004CPU2'!N:N,MATCH('По платам'!B256,'C2B004CPU2'!L:L,0)),0)</f>
        <v>0</v>
      </c>
      <c r="D256">
        <f>IFERROR(INDEX(SBC_DIO_E1N004INF1!N:N,MATCH('По платам'!$B256,SBC_DIO_E1N004INF1!L:L,0)),0)</f>
        <v>0</v>
      </c>
      <c r="E256">
        <f>IFERROR(INDEX(SBC_35_2C3_1_E1E001CPU1E!N:N,MATCH('По платам'!$B256,SBC_35_2C3_1_E1E001CPU1E!L:L,0)),0)</f>
        <v>4</v>
      </c>
      <c r="F256">
        <f>IFERROR(INDEX(PCIe104_PSU_E1N001PWR1!N:N,MATCH('По платам'!$B256,PCIe104_PSU_E1N001PWR1!L:L,0)),0)</f>
        <v>0</v>
      </c>
      <c r="G256">
        <f>IFERROR(INDEX(PCIe104_INF2_E1N006INF1!N:N,MATCH('По платам'!$B256,PCIe104_INF2_E1N006INF1!L:L,0)),0)</f>
        <v>0</v>
      </c>
      <c r="H256">
        <f>IFERROR(INDEX(PCIe104_CON_E1N005INF1!N:N,MATCH('По платам'!$B256,PCIe104_CON_E1N005INF1!L:L,0)),0)</f>
        <v>0</v>
      </c>
      <c r="I256">
        <f>IFERROR(INDEX('EM-PCIE104-CPU_E1E001CPU1E'!N:N,MATCH('По платам'!$B256,'EM-PCIE104-CPU_E1E001CPU1E'!L:L,0)),0)</f>
        <v>0</v>
      </c>
      <c r="J256">
        <f>IFERROR(INDEX(PCIe104_INF_E1N001INF1!N:N,MATCH('По платам'!$B256,PCIe104_INF_E1N001INF1!L:L,0)),0)</f>
        <v>0</v>
      </c>
      <c r="K256">
        <f>IFERROR(INDEX(IB_2RS232_E1N002INF1!N:N,MATCH('По платам'!$B256,IB_2RS232_E1N002INF1!L:L,0)),0)</f>
        <v>0</v>
      </c>
      <c r="L256">
        <f>IFERROR(INDEX(IB_2CAN_E1N003INF1!N:N,MATCH('По платам'!$B256,IB_2CAN_E1N003INF1!L:L,0)),0)</f>
        <v>0</v>
      </c>
    </row>
    <row r="257" spans="2:12">
      <c r="B257" s="3" t="s">
        <v>2655</v>
      </c>
      <c r="C257">
        <f>IFERROR(INDEX('C2B004CPU2'!N:N,MATCH('По платам'!B257,'C2B004CPU2'!L:L,0)),0)</f>
        <v>5</v>
      </c>
      <c r="D257">
        <f>IFERROR(INDEX(SBC_DIO_E1N004INF1!N:N,MATCH('По платам'!$B257,SBC_DIO_E1N004INF1!L:L,0)),0)</f>
        <v>0</v>
      </c>
      <c r="E257">
        <f>IFERROR(INDEX(SBC_35_2C3_1_E1E001CPU1E!N:N,MATCH('По платам'!$B257,SBC_35_2C3_1_E1E001CPU1E!L:L,0)),0)</f>
        <v>0</v>
      </c>
      <c r="F257">
        <f>IFERROR(INDEX(PCIe104_PSU_E1N001PWR1!N:N,MATCH('По платам'!$B257,PCIe104_PSU_E1N001PWR1!L:L,0)),0)</f>
        <v>0</v>
      </c>
      <c r="G257">
        <f>IFERROR(INDEX(PCIe104_INF2_E1N006INF1!N:N,MATCH('По платам'!$B257,PCIe104_INF2_E1N006INF1!L:L,0)),0)</f>
        <v>0</v>
      </c>
      <c r="H257">
        <f>IFERROR(INDEX(PCIe104_CON_E1N005INF1!N:N,MATCH('По платам'!$B257,PCIe104_CON_E1N005INF1!L:L,0)),0)</f>
        <v>0</v>
      </c>
      <c r="I257">
        <f>IFERROR(INDEX('EM-PCIE104-CPU_E1E001CPU1E'!N:N,MATCH('По платам'!$B257,'EM-PCIE104-CPU_E1E001CPU1E'!L:L,0)),0)</f>
        <v>0</v>
      </c>
      <c r="J257">
        <f>IFERROR(INDEX(PCIe104_INF_E1N001INF1!N:N,MATCH('По платам'!$B257,PCIe104_INF_E1N001INF1!L:L,0)),0)</f>
        <v>0</v>
      </c>
      <c r="K257">
        <f>IFERROR(INDEX(IB_2RS232_E1N002INF1!N:N,MATCH('По платам'!$B257,IB_2RS232_E1N002INF1!L:L,0)),0)</f>
        <v>0</v>
      </c>
      <c r="L257">
        <f>IFERROR(INDEX(IB_2CAN_E1N003INF1!N:N,MATCH('По платам'!$B257,IB_2CAN_E1N003INF1!L:L,0)),0)</f>
        <v>0</v>
      </c>
    </row>
    <row r="258" spans="2:12">
      <c r="B258" s="3" t="s">
        <v>2635</v>
      </c>
      <c r="C258">
        <f>IFERROR(INDEX('C2B004CPU2'!N:N,MATCH('По платам'!B258,'C2B004CPU2'!L:L,0)),0)</f>
        <v>33</v>
      </c>
      <c r="D258">
        <f>IFERROR(INDEX(SBC_DIO_E1N004INF1!N:N,MATCH('По платам'!$B258,SBC_DIO_E1N004INF1!L:L,0)),0)</f>
        <v>0</v>
      </c>
      <c r="E258">
        <f>IFERROR(INDEX(SBC_35_2C3_1_E1E001CPU1E!N:N,MATCH('По платам'!$B258,SBC_35_2C3_1_E1E001CPU1E!L:L,0)),0)</f>
        <v>0</v>
      </c>
      <c r="F258">
        <f>IFERROR(INDEX(PCIe104_PSU_E1N001PWR1!N:N,MATCH('По платам'!$B258,PCIe104_PSU_E1N001PWR1!L:L,0)),0)</f>
        <v>0</v>
      </c>
      <c r="G258">
        <f>IFERROR(INDEX(PCIe104_INF2_E1N006INF1!N:N,MATCH('По платам'!$B258,PCIe104_INF2_E1N006INF1!L:L,0)),0)</f>
        <v>0</v>
      </c>
      <c r="H258">
        <f>IFERROR(INDEX(PCIe104_CON_E1N005INF1!N:N,MATCH('По платам'!$B258,PCIe104_CON_E1N005INF1!L:L,0)),0)</f>
        <v>0</v>
      </c>
      <c r="I258">
        <f>IFERROR(INDEX('EM-PCIE104-CPU_E1E001CPU1E'!N:N,MATCH('По платам'!$B258,'EM-PCIE104-CPU_E1E001CPU1E'!L:L,0)),0)</f>
        <v>0</v>
      </c>
      <c r="J258">
        <f>IFERROR(INDEX(PCIe104_INF_E1N001INF1!N:N,MATCH('По платам'!$B258,PCIe104_INF_E1N001INF1!L:L,0)),0)</f>
        <v>0</v>
      </c>
      <c r="K258">
        <f>IFERROR(INDEX(IB_2RS232_E1N002INF1!N:N,MATCH('По платам'!$B258,IB_2RS232_E1N002INF1!L:L,0)),0)</f>
        <v>0</v>
      </c>
      <c r="L258">
        <f>IFERROR(INDEX(IB_2CAN_E1N003INF1!N:N,MATCH('По платам'!$B258,IB_2CAN_E1N003INF1!L:L,0)),0)</f>
        <v>0</v>
      </c>
    </row>
    <row r="259" spans="2:12">
      <c r="B259" s="3" t="s">
        <v>2614</v>
      </c>
      <c r="C259">
        <f>IFERROR(INDEX('C2B004CPU2'!N:N,MATCH('По платам'!B259,'C2B004CPU2'!L:L,0)),0)</f>
        <v>6</v>
      </c>
      <c r="D259">
        <f>IFERROR(INDEX(SBC_DIO_E1N004INF1!N:N,MATCH('По платам'!$B259,SBC_DIO_E1N004INF1!L:L,0)),0)</f>
        <v>0</v>
      </c>
      <c r="E259">
        <f>IFERROR(INDEX(SBC_35_2C3_1_E1E001CPU1E!N:N,MATCH('По платам'!$B259,SBC_35_2C3_1_E1E001CPU1E!L:L,0)),0)</f>
        <v>0</v>
      </c>
      <c r="F259">
        <f>IFERROR(INDEX(PCIe104_PSU_E1N001PWR1!N:N,MATCH('По платам'!$B259,PCIe104_PSU_E1N001PWR1!L:L,0)),0)</f>
        <v>0</v>
      </c>
      <c r="G259">
        <f>IFERROR(INDEX(PCIe104_INF2_E1N006INF1!N:N,MATCH('По платам'!$B259,PCIe104_INF2_E1N006INF1!L:L,0)),0)</f>
        <v>0</v>
      </c>
      <c r="H259">
        <f>IFERROR(INDEX(PCIe104_CON_E1N005INF1!N:N,MATCH('По платам'!$B259,PCIe104_CON_E1N005INF1!L:L,0)),0)</f>
        <v>0</v>
      </c>
      <c r="I259">
        <f>IFERROR(INDEX('EM-PCIE104-CPU_E1E001CPU1E'!N:N,MATCH('По платам'!$B259,'EM-PCIE104-CPU_E1E001CPU1E'!L:L,0)),0)</f>
        <v>0</v>
      </c>
      <c r="J259">
        <f>IFERROR(INDEX(PCIe104_INF_E1N001INF1!N:N,MATCH('По платам'!$B259,PCIe104_INF_E1N001INF1!L:L,0)),0)</f>
        <v>0</v>
      </c>
      <c r="K259">
        <f>IFERROR(INDEX(IB_2RS232_E1N002INF1!N:N,MATCH('По платам'!$B259,IB_2RS232_E1N002INF1!L:L,0)),0)</f>
        <v>0</v>
      </c>
      <c r="L259">
        <f>IFERROR(INDEX(IB_2CAN_E1N003INF1!N:N,MATCH('По платам'!$B259,IB_2CAN_E1N003INF1!L:L,0)),0)</f>
        <v>0</v>
      </c>
    </row>
    <row r="260" spans="2:12">
      <c r="B260" s="3" t="s">
        <v>2639</v>
      </c>
      <c r="C260">
        <f>IFERROR(INDEX('C2B004CPU2'!N:N,MATCH('По платам'!B260,'C2B004CPU2'!L:L,0)),0)</f>
        <v>5</v>
      </c>
      <c r="D260">
        <f>IFERROR(INDEX(SBC_DIO_E1N004INF1!N:N,MATCH('По платам'!$B260,SBC_DIO_E1N004INF1!L:L,0)),0)</f>
        <v>0</v>
      </c>
      <c r="E260">
        <f>IFERROR(INDEX(SBC_35_2C3_1_E1E001CPU1E!N:N,MATCH('По платам'!$B260,SBC_35_2C3_1_E1E001CPU1E!L:L,0)),0)</f>
        <v>0</v>
      </c>
      <c r="F260">
        <f>IFERROR(INDEX(PCIe104_PSU_E1N001PWR1!N:N,MATCH('По платам'!$B260,PCIe104_PSU_E1N001PWR1!L:L,0)),0)</f>
        <v>0</v>
      </c>
      <c r="G260">
        <f>IFERROR(INDEX(PCIe104_INF2_E1N006INF1!N:N,MATCH('По платам'!$B260,PCIe104_INF2_E1N006INF1!L:L,0)),0)</f>
        <v>0</v>
      </c>
      <c r="H260">
        <f>IFERROR(INDEX(PCIe104_CON_E1N005INF1!N:N,MATCH('По платам'!$B260,PCIe104_CON_E1N005INF1!L:L,0)),0)</f>
        <v>0</v>
      </c>
      <c r="I260">
        <f>IFERROR(INDEX('EM-PCIE104-CPU_E1E001CPU1E'!N:N,MATCH('По платам'!$B260,'EM-PCIE104-CPU_E1E001CPU1E'!L:L,0)),0)</f>
        <v>0</v>
      </c>
      <c r="J260">
        <f>IFERROR(INDEX(PCIe104_INF_E1N001INF1!N:N,MATCH('По платам'!$B260,PCIe104_INF_E1N001INF1!L:L,0)),0)</f>
        <v>0</v>
      </c>
      <c r="K260">
        <f>IFERROR(INDEX(IB_2RS232_E1N002INF1!N:N,MATCH('По платам'!$B260,IB_2RS232_E1N002INF1!L:L,0)),0)</f>
        <v>0</v>
      </c>
      <c r="L260">
        <f>IFERROR(INDEX(IB_2CAN_E1N003INF1!N:N,MATCH('По платам'!$B260,IB_2CAN_E1N003INF1!L:L,0)),0)</f>
        <v>0</v>
      </c>
    </row>
    <row r="261" spans="2:12">
      <c r="B261" s="3" t="s">
        <v>2651</v>
      </c>
      <c r="C261">
        <f>IFERROR(INDEX('C2B004CPU2'!N:N,MATCH('По платам'!B261,'C2B004CPU2'!L:L,0)),0)</f>
        <v>5</v>
      </c>
      <c r="D261">
        <f>IFERROR(INDEX(SBC_DIO_E1N004INF1!N:N,MATCH('По платам'!$B261,SBC_DIO_E1N004INF1!L:L,0)),0)</f>
        <v>0</v>
      </c>
      <c r="E261">
        <f>IFERROR(INDEX(SBC_35_2C3_1_E1E001CPU1E!N:N,MATCH('По платам'!$B261,SBC_35_2C3_1_E1E001CPU1E!L:L,0)),0)</f>
        <v>0</v>
      </c>
      <c r="F261">
        <f>IFERROR(INDEX(PCIe104_PSU_E1N001PWR1!N:N,MATCH('По платам'!$B261,PCIe104_PSU_E1N001PWR1!L:L,0)),0)</f>
        <v>0</v>
      </c>
      <c r="G261">
        <f>IFERROR(INDEX(PCIe104_INF2_E1N006INF1!N:N,MATCH('По платам'!$B261,PCIe104_INF2_E1N006INF1!L:L,0)),0)</f>
        <v>0</v>
      </c>
      <c r="H261">
        <f>IFERROR(INDEX(PCIe104_CON_E1N005INF1!N:N,MATCH('По платам'!$B261,PCIe104_CON_E1N005INF1!L:L,0)),0)</f>
        <v>0</v>
      </c>
      <c r="I261">
        <f>IFERROR(INDEX('EM-PCIE104-CPU_E1E001CPU1E'!N:N,MATCH('По платам'!$B261,'EM-PCIE104-CPU_E1E001CPU1E'!L:L,0)),0)</f>
        <v>0</v>
      </c>
      <c r="J261">
        <f>IFERROR(INDEX(PCIe104_INF_E1N001INF1!N:N,MATCH('По платам'!$B261,PCIe104_INF_E1N001INF1!L:L,0)),0)</f>
        <v>0</v>
      </c>
      <c r="K261">
        <f>IFERROR(INDEX(IB_2RS232_E1N002INF1!N:N,MATCH('По платам'!$B261,IB_2RS232_E1N002INF1!L:L,0)),0)</f>
        <v>0</v>
      </c>
      <c r="L261">
        <f>IFERROR(INDEX(IB_2CAN_E1N003INF1!N:N,MATCH('По платам'!$B261,IB_2CAN_E1N003INF1!L:L,0)),0)</f>
        <v>0</v>
      </c>
    </row>
    <row r="262" spans="2:12">
      <c r="B262" s="3" t="s">
        <v>2627</v>
      </c>
      <c r="C262">
        <f>IFERROR(INDEX('C2B004CPU2'!N:N,MATCH('По платам'!B262,'C2B004CPU2'!L:L,0)),0)</f>
        <v>1</v>
      </c>
      <c r="D262">
        <f>IFERROR(INDEX(SBC_DIO_E1N004INF1!N:N,MATCH('По платам'!$B262,SBC_DIO_E1N004INF1!L:L,0)),0)</f>
        <v>0</v>
      </c>
      <c r="E262">
        <f>IFERROR(INDEX(SBC_35_2C3_1_E1E001CPU1E!N:N,MATCH('По платам'!$B262,SBC_35_2C3_1_E1E001CPU1E!L:L,0)),0)</f>
        <v>0</v>
      </c>
      <c r="F262">
        <f>IFERROR(INDEX(PCIe104_PSU_E1N001PWR1!N:N,MATCH('По платам'!$B262,PCIe104_PSU_E1N001PWR1!L:L,0)),0)</f>
        <v>0</v>
      </c>
      <c r="G262">
        <f>IFERROR(INDEX(PCIe104_INF2_E1N006INF1!N:N,MATCH('По платам'!$B262,PCIe104_INF2_E1N006INF1!L:L,0)),0)</f>
        <v>0</v>
      </c>
      <c r="H262">
        <f>IFERROR(INDEX(PCIe104_CON_E1N005INF1!N:N,MATCH('По платам'!$B262,PCIe104_CON_E1N005INF1!L:L,0)),0)</f>
        <v>0</v>
      </c>
      <c r="I262">
        <f>IFERROR(INDEX('EM-PCIE104-CPU_E1E001CPU1E'!N:N,MATCH('По платам'!$B262,'EM-PCIE104-CPU_E1E001CPU1E'!L:L,0)),0)</f>
        <v>0</v>
      </c>
      <c r="J262">
        <f>IFERROR(INDEX(PCIe104_INF_E1N001INF1!N:N,MATCH('По платам'!$B262,PCIe104_INF_E1N001INF1!L:L,0)),0)</f>
        <v>0</v>
      </c>
      <c r="K262">
        <f>IFERROR(INDEX(IB_2RS232_E1N002INF1!N:N,MATCH('По платам'!$B262,IB_2RS232_E1N002INF1!L:L,0)),0)</f>
        <v>0</v>
      </c>
      <c r="L262">
        <f>IFERROR(INDEX(IB_2CAN_E1N003INF1!N:N,MATCH('По платам'!$B262,IB_2CAN_E1N003INF1!L:L,0)),0)</f>
        <v>0</v>
      </c>
    </row>
    <row r="263" spans="2:12">
      <c r="B263" s="3" t="s">
        <v>452</v>
      </c>
      <c r="C263">
        <f>IFERROR(INDEX('C2B004CPU2'!N:N,MATCH('По платам'!B263,'C2B004CPU2'!L:L,0)),0)</f>
        <v>0</v>
      </c>
      <c r="D263">
        <f>IFERROR(INDEX(SBC_DIO_E1N004INF1!N:N,MATCH('По платам'!$B263,SBC_DIO_E1N004INF1!L:L,0)),0)</f>
        <v>0</v>
      </c>
      <c r="E263">
        <f>IFERROR(INDEX(SBC_35_2C3_1_E1E001CPU1E!N:N,MATCH('По платам'!$B263,SBC_35_2C3_1_E1E001CPU1E!L:L,0)),0)</f>
        <v>0</v>
      </c>
      <c r="F263">
        <f>IFERROR(INDEX(PCIe104_PSU_E1N001PWR1!N:N,MATCH('По платам'!$B263,PCIe104_PSU_E1N001PWR1!L:L,0)),0)</f>
        <v>0</v>
      </c>
      <c r="G263">
        <f>IFERROR(INDEX(PCIe104_INF2_E1N006INF1!N:N,MATCH('По платам'!$B263,PCIe104_INF2_E1N006INF1!L:L,0)),0)</f>
        <v>0</v>
      </c>
      <c r="H263">
        <f>IFERROR(INDEX(PCIe104_CON_E1N005INF1!N:N,MATCH('По платам'!$B263,PCIe104_CON_E1N005INF1!L:L,0)),0)</f>
        <v>0</v>
      </c>
      <c r="I263">
        <f>IFERROR(INDEX('EM-PCIE104-CPU_E1E001CPU1E'!N:N,MATCH('По платам'!$B263,'EM-PCIE104-CPU_E1E001CPU1E'!L:L,0)),0)</f>
        <v>1</v>
      </c>
      <c r="J263">
        <f>IFERROR(INDEX(PCIe104_INF_E1N001INF1!N:N,MATCH('По платам'!$B263,PCIe104_INF_E1N001INF1!L:L,0)),0)</f>
        <v>2</v>
      </c>
      <c r="K263">
        <f>IFERROR(INDEX(IB_2RS232_E1N002INF1!N:N,MATCH('По платам'!$B263,IB_2RS232_E1N002INF1!L:L,0)),0)</f>
        <v>0</v>
      </c>
      <c r="L263">
        <f>IFERROR(INDEX(IB_2CAN_E1N003INF1!N:N,MATCH('По платам'!$B263,IB_2CAN_E1N003INF1!L:L,0)),0)</f>
        <v>0</v>
      </c>
    </row>
    <row r="264" spans="2:12">
      <c r="B264" s="3" t="s">
        <v>2459</v>
      </c>
      <c r="C264">
        <f>IFERROR(INDEX('C2B004CPU2'!N:N,MATCH('По платам'!B264,'C2B004CPU2'!L:L,0)),0)</f>
        <v>2</v>
      </c>
      <c r="D264">
        <f>IFERROR(INDEX(SBC_DIO_E1N004INF1!N:N,MATCH('По платам'!$B264,SBC_DIO_E1N004INF1!L:L,0)),0)</f>
        <v>0</v>
      </c>
      <c r="E264">
        <f>IFERROR(INDEX(SBC_35_2C3_1_E1E001CPU1E!N:N,MATCH('По платам'!$B264,SBC_35_2C3_1_E1E001CPU1E!L:L,0)),0)</f>
        <v>0</v>
      </c>
      <c r="F264">
        <f>IFERROR(INDEX(PCIe104_PSU_E1N001PWR1!N:N,MATCH('По платам'!$B264,PCIe104_PSU_E1N001PWR1!L:L,0)),0)</f>
        <v>0</v>
      </c>
      <c r="G264">
        <f>IFERROR(INDEX(PCIe104_INF2_E1N006INF1!N:N,MATCH('По платам'!$B264,PCIe104_INF2_E1N006INF1!L:L,0)),0)</f>
        <v>0</v>
      </c>
      <c r="H264">
        <f>IFERROR(INDEX(PCIe104_CON_E1N005INF1!N:N,MATCH('По платам'!$B264,PCIe104_CON_E1N005INF1!L:L,0)),0)</f>
        <v>0</v>
      </c>
      <c r="I264">
        <f>IFERROR(INDEX('EM-PCIE104-CPU_E1E001CPU1E'!N:N,MATCH('По платам'!$B264,'EM-PCIE104-CPU_E1E001CPU1E'!L:L,0)),0)</f>
        <v>0</v>
      </c>
      <c r="J264">
        <f>IFERROR(INDEX(PCIe104_INF_E1N001INF1!N:N,MATCH('По платам'!$B264,PCIe104_INF_E1N001INF1!L:L,0)),0)</f>
        <v>0</v>
      </c>
      <c r="K264">
        <f>IFERROR(INDEX(IB_2RS232_E1N002INF1!N:N,MATCH('По платам'!$B264,IB_2RS232_E1N002INF1!L:L,0)),0)</f>
        <v>0</v>
      </c>
      <c r="L264">
        <f>IFERROR(INDEX(IB_2CAN_E1N003INF1!N:N,MATCH('По платам'!$B264,IB_2CAN_E1N003INF1!L:L,0)),0)</f>
        <v>0</v>
      </c>
    </row>
    <row r="265" spans="2:12">
      <c r="B265" s="3" t="s">
        <v>814</v>
      </c>
      <c r="C265">
        <f>IFERROR(INDEX('C2B004CPU2'!N:N,MATCH('По платам'!B265,'C2B004CPU2'!L:L,0)),0)</f>
        <v>0</v>
      </c>
      <c r="D265">
        <f>IFERROR(INDEX(SBC_DIO_E1N004INF1!N:N,MATCH('По платам'!$B265,SBC_DIO_E1N004INF1!L:L,0)),0)</f>
        <v>0</v>
      </c>
      <c r="E265">
        <f>IFERROR(INDEX(SBC_35_2C3_1_E1E001CPU1E!N:N,MATCH('По платам'!$B265,SBC_35_2C3_1_E1E001CPU1E!L:L,0)),0)</f>
        <v>0</v>
      </c>
      <c r="F265">
        <f>IFERROR(INDEX(PCIe104_PSU_E1N001PWR1!N:N,MATCH('По платам'!$B265,PCIe104_PSU_E1N001PWR1!L:L,0)),0)</f>
        <v>0</v>
      </c>
      <c r="G265">
        <f>IFERROR(INDEX(PCIe104_INF2_E1N006INF1!N:N,MATCH('По платам'!$B265,PCIe104_INF2_E1N006INF1!L:L,0)),0)</f>
        <v>0</v>
      </c>
      <c r="H265">
        <f>IFERROR(INDEX(PCIe104_CON_E1N005INF1!N:N,MATCH('По платам'!$B265,PCIe104_CON_E1N005INF1!L:L,0)),0)</f>
        <v>0</v>
      </c>
      <c r="I265">
        <f>IFERROR(INDEX('EM-PCIE104-CPU_E1E001CPU1E'!N:N,MATCH('По платам'!$B265,'EM-PCIE104-CPU_E1E001CPU1E'!L:L,0)),0)</f>
        <v>1</v>
      </c>
      <c r="J265">
        <f>IFERROR(INDEX(PCIe104_INF_E1N001INF1!N:N,MATCH('По платам'!$B265,PCIe104_INF_E1N001INF1!L:L,0)),0)</f>
        <v>0</v>
      </c>
      <c r="K265">
        <f>IFERROR(INDEX(IB_2RS232_E1N002INF1!N:N,MATCH('По платам'!$B265,IB_2RS232_E1N002INF1!L:L,0)),0)</f>
        <v>0</v>
      </c>
      <c r="L265">
        <f>IFERROR(INDEX(IB_2CAN_E1N003INF1!N:N,MATCH('По платам'!$B265,IB_2CAN_E1N003INF1!L:L,0)),0)</f>
        <v>0</v>
      </c>
    </row>
    <row r="266" spans="2:12">
      <c r="B266" s="3" t="s">
        <v>543</v>
      </c>
      <c r="C266">
        <f>IFERROR(INDEX('C2B004CPU2'!N:N,MATCH('По платам'!B266,'C2B004CPU2'!L:L,0)),0)</f>
        <v>5</v>
      </c>
      <c r="D266">
        <f>IFERROR(INDEX(SBC_DIO_E1N004INF1!N:N,MATCH('По платам'!$B266,SBC_DIO_E1N004INF1!L:L,0)),0)</f>
        <v>0</v>
      </c>
      <c r="E266">
        <f>IFERROR(INDEX(SBC_35_2C3_1_E1E001CPU1E!N:N,MATCH('По платам'!$B266,SBC_35_2C3_1_E1E001CPU1E!L:L,0)),0)</f>
        <v>0</v>
      </c>
      <c r="F266">
        <f>IFERROR(INDEX(PCIe104_PSU_E1N001PWR1!N:N,MATCH('По платам'!$B266,PCIe104_PSU_E1N001PWR1!L:L,0)),0)</f>
        <v>0</v>
      </c>
      <c r="G266">
        <f>IFERROR(INDEX(PCIe104_INF2_E1N006INF1!N:N,MATCH('По платам'!$B266,PCIe104_INF2_E1N006INF1!L:L,0)),0)</f>
        <v>0</v>
      </c>
      <c r="H266">
        <f>IFERROR(INDEX(PCIe104_CON_E1N005INF1!N:N,MATCH('По платам'!$B266,PCIe104_CON_E1N005INF1!L:L,0)),0)</f>
        <v>1</v>
      </c>
      <c r="I266">
        <f>IFERROR(INDEX('EM-PCIE104-CPU_E1E001CPU1E'!N:N,MATCH('По платам'!$B266,'EM-PCIE104-CPU_E1E001CPU1E'!L:L,0)),0)</f>
        <v>0</v>
      </c>
      <c r="J266">
        <f>IFERROR(INDEX(PCIe104_INF_E1N001INF1!N:N,MATCH('По платам'!$B266,PCIe104_INF_E1N001INF1!L:L,0)),0)</f>
        <v>2</v>
      </c>
      <c r="K266">
        <f>IFERROR(INDEX(IB_2RS232_E1N002INF1!N:N,MATCH('По платам'!$B266,IB_2RS232_E1N002INF1!L:L,0)),0)</f>
        <v>0</v>
      </c>
      <c r="L266">
        <f>IFERROR(INDEX(IB_2CAN_E1N003INF1!N:N,MATCH('По платам'!$B266,IB_2CAN_E1N003INF1!L:L,0)),0)</f>
        <v>0</v>
      </c>
    </row>
    <row r="267" spans="2:12">
      <c r="B267" s="3" t="s">
        <v>703</v>
      </c>
      <c r="C267">
        <f>IFERROR(INDEX('C2B004CPU2'!N:N,MATCH('По платам'!B267,'C2B004CPU2'!L:L,0)),0)</f>
        <v>0</v>
      </c>
      <c r="D267">
        <f>IFERROR(INDEX(SBC_DIO_E1N004INF1!N:N,MATCH('По платам'!$B267,SBC_DIO_E1N004INF1!L:L,0)),0)</f>
        <v>0</v>
      </c>
      <c r="E267">
        <f>IFERROR(INDEX(SBC_35_2C3_1_E1E001CPU1E!N:N,MATCH('По платам'!$B267,SBC_35_2C3_1_E1E001CPU1E!L:L,0)),0)</f>
        <v>0</v>
      </c>
      <c r="F267">
        <f>IFERROR(INDEX(PCIe104_PSU_E1N001PWR1!N:N,MATCH('По платам'!$B267,PCIe104_PSU_E1N001PWR1!L:L,0)),0)</f>
        <v>0</v>
      </c>
      <c r="G267">
        <f>IFERROR(INDEX(PCIe104_INF2_E1N006INF1!N:N,MATCH('По платам'!$B267,PCIe104_INF2_E1N006INF1!L:L,0)),0)</f>
        <v>0</v>
      </c>
      <c r="H267">
        <f>IFERROR(INDEX(PCIe104_CON_E1N005INF1!N:N,MATCH('По платам'!$B267,PCIe104_CON_E1N005INF1!L:L,0)),0)</f>
        <v>0</v>
      </c>
      <c r="I267">
        <f>IFERROR(INDEX('EM-PCIE104-CPU_E1E001CPU1E'!N:N,MATCH('По платам'!$B267,'EM-PCIE104-CPU_E1E001CPU1E'!L:L,0)),0)</f>
        <v>1</v>
      </c>
      <c r="J267">
        <f>IFERROR(INDEX(PCIe104_INF_E1N001INF1!N:N,MATCH('По платам'!$B267,PCIe104_INF_E1N001INF1!L:L,0)),0)</f>
        <v>0</v>
      </c>
      <c r="K267">
        <f>IFERROR(INDEX(IB_2RS232_E1N002INF1!N:N,MATCH('По платам'!$B267,IB_2RS232_E1N002INF1!L:L,0)),0)</f>
        <v>0</v>
      </c>
      <c r="L267">
        <f>IFERROR(INDEX(IB_2CAN_E1N003INF1!N:N,MATCH('По платам'!$B267,IB_2CAN_E1N003INF1!L:L,0)),0)</f>
        <v>0</v>
      </c>
    </row>
    <row r="268" spans="2:12">
      <c r="B268" s="3" t="s">
        <v>1104</v>
      </c>
      <c r="C268">
        <f>IFERROR(INDEX('C2B004CPU2'!N:N,MATCH('По платам'!B268,'C2B004CPU2'!L:L,0)),0)</f>
        <v>0</v>
      </c>
      <c r="D268">
        <f>IFERROR(INDEX(SBC_DIO_E1N004INF1!N:N,MATCH('По платам'!$B268,SBC_DIO_E1N004INF1!L:L,0)),0)</f>
        <v>0</v>
      </c>
      <c r="E268">
        <f>IFERROR(INDEX(SBC_35_2C3_1_E1E001CPU1E!N:N,MATCH('По платам'!$B268,SBC_35_2C3_1_E1E001CPU1E!L:L,0)),0)</f>
        <v>0</v>
      </c>
      <c r="F268">
        <f>IFERROR(INDEX(PCIe104_PSU_E1N001PWR1!N:N,MATCH('По платам'!$B268,PCIe104_PSU_E1N001PWR1!L:L,0)),0)</f>
        <v>0</v>
      </c>
      <c r="G268">
        <f>IFERROR(INDEX(PCIe104_INF2_E1N006INF1!N:N,MATCH('По платам'!$B268,PCIe104_INF2_E1N006INF1!L:L,0)),0)</f>
        <v>0</v>
      </c>
      <c r="H268">
        <f>IFERROR(INDEX(PCIe104_CON_E1N005INF1!N:N,MATCH('По платам'!$B268,PCIe104_CON_E1N005INF1!L:L,0)),0)</f>
        <v>4</v>
      </c>
      <c r="I268">
        <f>IFERROR(INDEX('EM-PCIE104-CPU_E1E001CPU1E'!N:N,MATCH('По платам'!$B268,'EM-PCIE104-CPU_E1E001CPU1E'!L:L,0)),0)</f>
        <v>0</v>
      </c>
      <c r="J268">
        <f>IFERROR(INDEX(PCIe104_INF_E1N001INF1!N:N,MATCH('По платам'!$B268,PCIe104_INF_E1N001INF1!L:L,0)),0)</f>
        <v>0</v>
      </c>
      <c r="K268">
        <f>IFERROR(INDEX(IB_2RS232_E1N002INF1!N:N,MATCH('По платам'!$B268,IB_2RS232_E1N002INF1!L:L,0)),0)</f>
        <v>0</v>
      </c>
      <c r="L268">
        <f>IFERROR(INDEX(IB_2CAN_E1N003INF1!N:N,MATCH('По платам'!$B268,IB_2CAN_E1N003INF1!L:L,0)),0)</f>
        <v>0</v>
      </c>
    </row>
    <row r="269" spans="2:12">
      <c r="B269" s="3" t="s">
        <v>1294</v>
      </c>
      <c r="C269">
        <f>IFERROR(INDEX('C2B004CPU2'!N:N,MATCH('По платам'!B269,'C2B004CPU2'!L:L,0)),0)</f>
        <v>0</v>
      </c>
      <c r="D269">
        <f>IFERROR(INDEX(SBC_DIO_E1N004INF1!N:N,MATCH('По платам'!$B269,SBC_DIO_E1N004INF1!L:L,0)),0)</f>
        <v>0</v>
      </c>
      <c r="E269">
        <f>IFERROR(INDEX(SBC_35_2C3_1_E1E001CPU1E!N:N,MATCH('По платам'!$B269,SBC_35_2C3_1_E1E001CPU1E!L:L,0)),0)</f>
        <v>0</v>
      </c>
      <c r="F269">
        <f>IFERROR(INDEX(PCIe104_PSU_E1N001PWR1!N:N,MATCH('По платам'!$B269,PCIe104_PSU_E1N001PWR1!L:L,0)),0)</f>
        <v>4</v>
      </c>
      <c r="G269">
        <f>IFERROR(INDEX(PCIe104_INF2_E1N006INF1!N:N,MATCH('По платам'!$B269,PCIe104_INF2_E1N006INF1!L:L,0)),0)</f>
        <v>0</v>
      </c>
      <c r="H269">
        <f>IFERROR(INDEX(PCIe104_CON_E1N005INF1!N:N,MATCH('По платам'!$B269,PCIe104_CON_E1N005INF1!L:L,0)),0)</f>
        <v>0</v>
      </c>
      <c r="I269">
        <f>IFERROR(INDEX('EM-PCIE104-CPU_E1E001CPU1E'!N:N,MATCH('По платам'!$B269,'EM-PCIE104-CPU_E1E001CPU1E'!L:L,0)),0)</f>
        <v>0</v>
      </c>
      <c r="J269">
        <f>IFERROR(INDEX(PCIe104_INF_E1N001INF1!N:N,MATCH('По платам'!$B269,PCIe104_INF_E1N001INF1!L:L,0)),0)</f>
        <v>0</v>
      </c>
      <c r="K269">
        <f>IFERROR(INDEX(IB_2RS232_E1N002INF1!N:N,MATCH('По платам'!$B269,IB_2RS232_E1N002INF1!L:L,0)),0)</f>
        <v>0</v>
      </c>
      <c r="L269">
        <f>IFERROR(INDEX(IB_2CAN_E1N003INF1!N:N,MATCH('По платам'!$B269,IB_2CAN_E1N003INF1!L:L,0)),0)</f>
        <v>0</v>
      </c>
    </row>
    <row r="270" spans="2:12">
      <c r="B270" s="3" t="s">
        <v>1704</v>
      </c>
      <c r="C270">
        <f>IFERROR(INDEX('C2B004CPU2'!N:N,MATCH('По платам'!B270,'C2B004CPU2'!L:L,0)),0)</f>
        <v>0</v>
      </c>
      <c r="D270">
        <f>IFERROR(INDEX(SBC_DIO_E1N004INF1!N:N,MATCH('По платам'!$B270,SBC_DIO_E1N004INF1!L:L,0)),0)</f>
        <v>0</v>
      </c>
      <c r="E270">
        <f>IFERROR(INDEX(SBC_35_2C3_1_E1E001CPU1E!N:N,MATCH('По платам'!$B270,SBC_35_2C3_1_E1E001CPU1E!L:L,0)),0)</f>
        <v>1</v>
      </c>
      <c r="F270">
        <f>IFERROR(INDEX(PCIe104_PSU_E1N001PWR1!N:N,MATCH('По платам'!$B270,PCIe104_PSU_E1N001PWR1!L:L,0)),0)</f>
        <v>0</v>
      </c>
      <c r="G270">
        <f>IFERROR(INDEX(PCIe104_INF2_E1N006INF1!N:N,MATCH('По платам'!$B270,PCIe104_INF2_E1N006INF1!L:L,0)),0)</f>
        <v>0</v>
      </c>
      <c r="H270">
        <f>IFERROR(INDEX(PCIe104_CON_E1N005INF1!N:N,MATCH('По платам'!$B270,PCIe104_CON_E1N005INF1!L:L,0)),0)</f>
        <v>0</v>
      </c>
      <c r="I270">
        <f>IFERROR(INDEX('EM-PCIE104-CPU_E1E001CPU1E'!N:N,MATCH('По платам'!$B270,'EM-PCIE104-CPU_E1E001CPU1E'!L:L,0)),0)</f>
        <v>0</v>
      </c>
      <c r="J270">
        <f>IFERROR(INDEX(PCIe104_INF_E1N001INF1!N:N,MATCH('По платам'!$B270,PCIe104_INF_E1N001INF1!L:L,0)),0)</f>
        <v>0</v>
      </c>
      <c r="K270">
        <f>IFERROR(INDEX(IB_2RS232_E1N002INF1!N:N,MATCH('По платам'!$B270,IB_2RS232_E1N002INF1!L:L,0)),0)</f>
        <v>0</v>
      </c>
      <c r="L270">
        <f>IFERROR(INDEX(IB_2CAN_E1N003INF1!N:N,MATCH('По платам'!$B270,IB_2CAN_E1N003INF1!L:L,0)),0)</f>
        <v>0</v>
      </c>
    </row>
    <row r="271" spans="2:12">
      <c r="B271" s="3" t="s">
        <v>402</v>
      </c>
      <c r="C271">
        <f>IFERROR(INDEX('C2B004CPU2'!N:N,MATCH('По платам'!B271,'C2B004CPU2'!L:L,0)),0)</f>
        <v>0</v>
      </c>
      <c r="D271">
        <f>IFERROR(INDEX(SBC_DIO_E1N004INF1!N:N,MATCH('По платам'!$B271,SBC_DIO_E1N004INF1!L:L,0)),0)</f>
        <v>0</v>
      </c>
      <c r="E271">
        <f>IFERROR(INDEX(SBC_35_2C3_1_E1E001CPU1E!N:N,MATCH('По платам'!$B271,SBC_35_2C3_1_E1E001CPU1E!L:L,0)),0)</f>
        <v>0</v>
      </c>
      <c r="F271">
        <f>IFERROR(INDEX(PCIe104_PSU_E1N001PWR1!N:N,MATCH('По платам'!$B271,PCIe104_PSU_E1N001PWR1!L:L,0)),0)</f>
        <v>1</v>
      </c>
      <c r="G271">
        <f>IFERROR(INDEX(PCIe104_INF2_E1N006INF1!N:N,MATCH('По платам'!$B271,PCIe104_INF2_E1N006INF1!L:L,0)),0)</f>
        <v>0</v>
      </c>
      <c r="H271">
        <f>IFERROR(INDEX(PCIe104_CON_E1N005INF1!N:N,MATCH('По платам'!$B271,PCIe104_CON_E1N005INF1!L:L,0)),0)</f>
        <v>0</v>
      </c>
      <c r="I271">
        <f>IFERROR(INDEX('EM-PCIE104-CPU_E1E001CPU1E'!N:N,MATCH('По платам'!$B271,'EM-PCIE104-CPU_E1E001CPU1E'!L:L,0)),0)</f>
        <v>1</v>
      </c>
      <c r="J271">
        <f>IFERROR(INDEX(PCIe104_INF_E1N001INF1!N:N,MATCH('По платам'!$B271,PCIe104_INF_E1N001INF1!L:L,0)),0)</f>
        <v>1</v>
      </c>
      <c r="K271">
        <f>IFERROR(INDEX(IB_2RS232_E1N002INF1!N:N,MATCH('По платам'!$B271,IB_2RS232_E1N002INF1!L:L,0)),0)</f>
        <v>0</v>
      </c>
      <c r="L271">
        <f>IFERROR(INDEX(IB_2CAN_E1N003INF1!N:N,MATCH('По платам'!$B271,IB_2CAN_E1N003INF1!L:L,0)),0)</f>
        <v>0</v>
      </c>
    </row>
    <row r="272" spans="2:12">
      <c r="B272" s="3" t="s">
        <v>799</v>
      </c>
      <c r="C272">
        <f>IFERROR(INDEX('C2B004CPU2'!N:N,MATCH('По платам'!B272,'C2B004CPU2'!L:L,0)),0)</f>
        <v>0</v>
      </c>
      <c r="D272">
        <f>IFERROR(INDEX(SBC_DIO_E1N004INF1!N:N,MATCH('По платам'!$B272,SBC_DIO_E1N004INF1!L:L,0)),0)</f>
        <v>0</v>
      </c>
      <c r="E272">
        <f>IFERROR(INDEX(SBC_35_2C3_1_E1E001CPU1E!N:N,MATCH('По платам'!$B272,SBC_35_2C3_1_E1E001CPU1E!L:L,0)),0)</f>
        <v>0</v>
      </c>
      <c r="F272">
        <f>IFERROR(INDEX(PCIe104_PSU_E1N001PWR1!N:N,MATCH('По платам'!$B272,PCIe104_PSU_E1N001PWR1!L:L,0)),0)</f>
        <v>0</v>
      </c>
      <c r="G272">
        <f>IFERROR(INDEX(PCIe104_INF2_E1N006INF1!N:N,MATCH('По платам'!$B272,PCIe104_INF2_E1N006INF1!L:L,0)),0)</f>
        <v>0</v>
      </c>
      <c r="H272">
        <f>IFERROR(INDEX(PCIe104_CON_E1N005INF1!N:N,MATCH('По платам'!$B272,PCIe104_CON_E1N005INF1!L:L,0)),0)</f>
        <v>0</v>
      </c>
      <c r="I272">
        <f>IFERROR(INDEX('EM-PCIE104-CPU_E1E001CPU1E'!N:N,MATCH('По платам'!$B272,'EM-PCIE104-CPU_E1E001CPU1E'!L:L,0)),0)</f>
        <v>3</v>
      </c>
      <c r="J272">
        <f>IFERROR(INDEX(PCIe104_INF_E1N001INF1!N:N,MATCH('По платам'!$B272,PCIe104_INF_E1N001INF1!L:L,0)),0)</f>
        <v>0</v>
      </c>
      <c r="K272">
        <f>IFERROR(INDEX(IB_2RS232_E1N002INF1!N:N,MATCH('По платам'!$B272,IB_2RS232_E1N002INF1!L:L,0)),0)</f>
        <v>0</v>
      </c>
      <c r="L272">
        <f>IFERROR(INDEX(IB_2CAN_E1N003INF1!N:N,MATCH('По платам'!$B272,IB_2CAN_E1N003INF1!L:L,0)),0)</f>
        <v>0</v>
      </c>
    </row>
    <row r="273" spans="2:12">
      <c r="B273" s="3" t="s">
        <v>1708</v>
      </c>
      <c r="C273">
        <f>IFERROR(INDEX('C2B004CPU2'!N:N,MATCH('По платам'!B273,'C2B004CPU2'!L:L,0)),0)</f>
        <v>0</v>
      </c>
      <c r="D273">
        <f>IFERROR(INDEX(SBC_DIO_E1N004INF1!N:N,MATCH('По платам'!$B273,SBC_DIO_E1N004INF1!L:L,0)),0)</f>
        <v>0</v>
      </c>
      <c r="E273">
        <f>IFERROR(INDEX(SBC_35_2C3_1_E1E001CPU1E!N:N,MATCH('По платам'!$B273,SBC_35_2C3_1_E1E001CPU1E!L:L,0)),0)</f>
        <v>1</v>
      </c>
      <c r="F273">
        <f>IFERROR(INDEX(PCIe104_PSU_E1N001PWR1!N:N,MATCH('По платам'!$B273,PCIe104_PSU_E1N001PWR1!L:L,0)),0)</f>
        <v>0</v>
      </c>
      <c r="G273">
        <f>IFERROR(INDEX(PCIe104_INF2_E1N006INF1!N:N,MATCH('По платам'!$B273,PCIe104_INF2_E1N006INF1!L:L,0)),0)</f>
        <v>0</v>
      </c>
      <c r="H273">
        <f>IFERROR(INDEX(PCIe104_CON_E1N005INF1!N:N,MATCH('По платам'!$B273,PCIe104_CON_E1N005INF1!L:L,0)),0)</f>
        <v>0</v>
      </c>
      <c r="I273">
        <f>IFERROR(INDEX('EM-PCIE104-CPU_E1E001CPU1E'!N:N,MATCH('По платам'!$B273,'EM-PCIE104-CPU_E1E001CPU1E'!L:L,0)),0)</f>
        <v>0</v>
      </c>
      <c r="J273">
        <f>IFERROR(INDEX(PCIe104_INF_E1N001INF1!N:N,MATCH('По платам'!$B273,PCIe104_INF_E1N001INF1!L:L,0)),0)</f>
        <v>0</v>
      </c>
      <c r="K273">
        <f>IFERROR(INDEX(IB_2RS232_E1N002INF1!N:N,MATCH('По платам'!$B273,IB_2RS232_E1N002INF1!L:L,0)),0)</f>
        <v>0</v>
      </c>
      <c r="L273">
        <f>IFERROR(INDEX(IB_2CAN_E1N003INF1!N:N,MATCH('По платам'!$B273,IB_2CAN_E1N003INF1!L:L,0)),0)</f>
        <v>0</v>
      </c>
    </row>
    <row r="274" spans="2:12">
      <c r="B274" s="3" t="s">
        <v>680</v>
      </c>
      <c r="C274">
        <f>IFERROR(INDEX('C2B004CPU2'!N:N,MATCH('По платам'!B274,'C2B004CPU2'!L:L,0)),0)</f>
        <v>0</v>
      </c>
      <c r="D274">
        <f>IFERROR(INDEX(SBC_DIO_E1N004INF1!N:N,MATCH('По платам'!$B274,SBC_DIO_E1N004INF1!L:L,0)),0)</f>
        <v>0</v>
      </c>
      <c r="E274">
        <f>IFERROR(INDEX(SBC_35_2C3_1_E1E001CPU1E!N:N,MATCH('По платам'!$B274,SBC_35_2C3_1_E1E001CPU1E!L:L,0)),0)</f>
        <v>1</v>
      </c>
      <c r="F274">
        <f>IFERROR(INDEX(PCIe104_PSU_E1N001PWR1!N:N,MATCH('По платам'!$B274,PCIe104_PSU_E1N001PWR1!L:L,0)),0)</f>
        <v>0</v>
      </c>
      <c r="G274">
        <f>IFERROR(INDEX(PCIe104_INF2_E1N006INF1!N:N,MATCH('По платам'!$B274,PCIe104_INF2_E1N006INF1!L:L,0)),0)</f>
        <v>0</v>
      </c>
      <c r="H274">
        <f>IFERROR(INDEX(PCIe104_CON_E1N005INF1!N:N,MATCH('По платам'!$B274,PCIe104_CON_E1N005INF1!L:L,0)),0)</f>
        <v>0</v>
      </c>
      <c r="I274">
        <f>IFERROR(INDEX('EM-PCIE104-CPU_E1E001CPU1E'!N:N,MATCH('По платам'!$B274,'EM-PCIE104-CPU_E1E001CPU1E'!L:L,0)),0)</f>
        <v>2</v>
      </c>
      <c r="J274">
        <f>IFERROR(INDEX(PCIe104_INF_E1N001INF1!N:N,MATCH('По платам'!$B274,PCIe104_INF_E1N001INF1!L:L,0)),0)</f>
        <v>0</v>
      </c>
      <c r="K274">
        <f>IFERROR(INDEX(IB_2RS232_E1N002INF1!N:N,MATCH('По платам'!$B274,IB_2RS232_E1N002INF1!L:L,0)),0)</f>
        <v>0</v>
      </c>
      <c r="L274">
        <f>IFERROR(INDEX(IB_2CAN_E1N003INF1!N:N,MATCH('По платам'!$B274,IB_2CAN_E1N003INF1!L:L,0)),0)</f>
        <v>0</v>
      </c>
    </row>
    <row r="275" spans="2:12">
      <c r="B275" s="3" t="s">
        <v>694</v>
      </c>
      <c r="C275">
        <f>IFERROR(INDEX('C2B004CPU2'!N:N,MATCH('По платам'!B275,'C2B004CPU2'!L:L,0)),0)</f>
        <v>0</v>
      </c>
      <c r="D275">
        <f>IFERROR(INDEX(SBC_DIO_E1N004INF1!N:N,MATCH('По платам'!$B275,SBC_DIO_E1N004INF1!L:L,0)),0)</f>
        <v>0</v>
      </c>
      <c r="E275">
        <f>IFERROR(INDEX(SBC_35_2C3_1_E1E001CPU1E!N:N,MATCH('По платам'!$B275,SBC_35_2C3_1_E1E001CPU1E!L:L,0)),0)</f>
        <v>1</v>
      </c>
      <c r="F275">
        <f>IFERROR(INDEX(PCIe104_PSU_E1N001PWR1!N:N,MATCH('По платам'!$B275,PCIe104_PSU_E1N001PWR1!L:L,0)),0)</f>
        <v>0</v>
      </c>
      <c r="G275">
        <f>IFERROR(INDEX(PCIe104_INF2_E1N006INF1!N:N,MATCH('По платам'!$B275,PCIe104_INF2_E1N006INF1!L:L,0)),0)</f>
        <v>0</v>
      </c>
      <c r="H275">
        <f>IFERROR(INDEX(PCIe104_CON_E1N005INF1!N:N,MATCH('По платам'!$B275,PCIe104_CON_E1N005INF1!L:L,0)),0)</f>
        <v>0</v>
      </c>
      <c r="I275">
        <f>IFERROR(INDEX('EM-PCIE104-CPU_E1E001CPU1E'!N:N,MATCH('По платам'!$B275,'EM-PCIE104-CPU_E1E001CPU1E'!L:L,0)),0)</f>
        <v>1</v>
      </c>
      <c r="J275">
        <f>IFERROR(INDEX(PCIe104_INF_E1N001INF1!N:N,MATCH('По платам'!$B275,PCIe104_INF_E1N001INF1!L:L,0)),0)</f>
        <v>0</v>
      </c>
      <c r="K275">
        <f>IFERROR(INDEX(IB_2RS232_E1N002INF1!N:N,MATCH('По платам'!$B275,IB_2RS232_E1N002INF1!L:L,0)),0)</f>
        <v>0</v>
      </c>
      <c r="L275">
        <f>IFERROR(INDEX(IB_2CAN_E1N003INF1!N:N,MATCH('По платам'!$B275,IB_2CAN_E1N003INF1!L:L,0)),0)</f>
        <v>0</v>
      </c>
    </row>
    <row r="276" spans="2:12">
      <c r="B276" s="3" t="s">
        <v>359</v>
      </c>
      <c r="C276">
        <f>IFERROR(INDEX('C2B004CPU2'!N:N,MATCH('По платам'!B276,'C2B004CPU2'!L:L,0)),0)</f>
        <v>0</v>
      </c>
      <c r="D276">
        <f>IFERROR(INDEX(SBC_DIO_E1N004INF1!N:N,MATCH('По платам'!$B276,SBC_DIO_E1N004INF1!L:L,0)),0)</f>
        <v>0</v>
      </c>
      <c r="E276">
        <f>IFERROR(INDEX(SBC_35_2C3_1_E1E001CPU1E!N:N,MATCH('По платам'!$B276,SBC_35_2C3_1_E1E001CPU1E!L:L,0)),0)</f>
        <v>0</v>
      </c>
      <c r="F276">
        <f>IFERROR(INDEX(PCIe104_PSU_E1N001PWR1!N:N,MATCH('По платам'!$B276,PCIe104_PSU_E1N001PWR1!L:L,0)),0)</f>
        <v>0</v>
      </c>
      <c r="G276">
        <f>IFERROR(INDEX(PCIe104_INF2_E1N006INF1!N:N,MATCH('По платам'!$B276,PCIe104_INF2_E1N006INF1!L:L,0)),0)</f>
        <v>0</v>
      </c>
      <c r="H276">
        <f>IFERROR(INDEX(PCIe104_CON_E1N005INF1!N:N,MATCH('По платам'!$B276,PCIe104_CON_E1N005INF1!L:L,0)),0)</f>
        <v>0</v>
      </c>
      <c r="I276">
        <f>IFERROR(INDEX('EM-PCIE104-CPU_E1E001CPU1E'!N:N,MATCH('По платам'!$B276,'EM-PCIE104-CPU_E1E001CPU1E'!L:L,0)),0)</f>
        <v>0</v>
      </c>
      <c r="J276">
        <f>IFERROR(INDEX(PCIe104_INF_E1N001INF1!N:N,MATCH('По платам'!$B276,PCIe104_INF_E1N001INF1!L:L,0)),0)</f>
        <v>4</v>
      </c>
      <c r="K276">
        <f>IFERROR(INDEX(IB_2RS232_E1N002INF1!N:N,MATCH('По платам'!$B276,IB_2RS232_E1N002INF1!L:L,0)),0)</f>
        <v>0</v>
      </c>
      <c r="L276">
        <f>IFERROR(INDEX(IB_2CAN_E1N003INF1!N:N,MATCH('По платам'!$B276,IB_2CAN_E1N003INF1!L:L,0)),0)</f>
        <v>0</v>
      </c>
    </row>
    <row r="277" spans="2:12">
      <c r="B277" s="3" t="s">
        <v>1603</v>
      </c>
      <c r="C277">
        <f>IFERROR(INDEX('C2B004CPU2'!N:N,MATCH('По платам'!B277,'C2B004CPU2'!L:L,0)),0)</f>
        <v>0</v>
      </c>
      <c r="D277">
        <f>IFERROR(INDEX(SBC_DIO_E1N004INF1!N:N,MATCH('По платам'!$B277,SBC_DIO_E1N004INF1!L:L,0)),0)</f>
        <v>0</v>
      </c>
      <c r="E277">
        <f>IFERROR(INDEX(SBC_35_2C3_1_E1E001CPU1E!N:N,MATCH('По платам'!$B277,SBC_35_2C3_1_E1E001CPU1E!L:L,0)),0)</f>
        <v>2</v>
      </c>
      <c r="F277">
        <f>IFERROR(INDEX(PCIe104_PSU_E1N001PWR1!N:N,MATCH('По платам'!$B277,PCIe104_PSU_E1N001PWR1!L:L,0)),0)</f>
        <v>0</v>
      </c>
      <c r="G277">
        <f>IFERROR(INDEX(PCIe104_INF2_E1N006INF1!N:N,MATCH('По платам'!$B277,PCIe104_INF2_E1N006INF1!L:L,0)),0)</f>
        <v>0</v>
      </c>
      <c r="H277">
        <f>IFERROR(INDEX(PCIe104_CON_E1N005INF1!N:N,MATCH('По платам'!$B277,PCIe104_CON_E1N005INF1!L:L,0)),0)</f>
        <v>0</v>
      </c>
      <c r="I277">
        <f>IFERROR(INDEX('EM-PCIE104-CPU_E1E001CPU1E'!N:N,MATCH('По платам'!$B277,'EM-PCIE104-CPU_E1E001CPU1E'!L:L,0)),0)</f>
        <v>0</v>
      </c>
      <c r="J277">
        <f>IFERROR(INDEX(PCIe104_INF_E1N001INF1!N:N,MATCH('По платам'!$B277,PCIe104_INF_E1N001INF1!L:L,0)),0)</f>
        <v>0</v>
      </c>
      <c r="K277">
        <f>IFERROR(INDEX(IB_2RS232_E1N002INF1!N:N,MATCH('По платам'!$B277,IB_2RS232_E1N002INF1!L:L,0)),0)</f>
        <v>0</v>
      </c>
      <c r="L277">
        <f>IFERROR(INDEX(IB_2CAN_E1N003INF1!N:N,MATCH('По платам'!$B277,IB_2CAN_E1N003INF1!L:L,0)),0)</f>
        <v>0</v>
      </c>
    </row>
    <row r="278" spans="2:12">
      <c r="B278" s="3" t="s">
        <v>2236</v>
      </c>
      <c r="C278">
        <f>IFERROR(INDEX('C2B004CPU2'!N:N,MATCH('По платам'!B278,'C2B004CPU2'!L:L,0)),0)</f>
        <v>1</v>
      </c>
      <c r="D278">
        <f>IFERROR(INDEX(SBC_DIO_E1N004INF1!N:N,MATCH('По платам'!$B278,SBC_DIO_E1N004INF1!L:L,0)),0)</f>
        <v>0</v>
      </c>
      <c r="E278">
        <f>IFERROR(INDEX(SBC_35_2C3_1_E1E001CPU1E!N:N,MATCH('По платам'!$B278,SBC_35_2C3_1_E1E001CPU1E!L:L,0)),0)</f>
        <v>0</v>
      </c>
      <c r="F278">
        <f>IFERROR(INDEX(PCIe104_PSU_E1N001PWR1!N:N,MATCH('По платам'!$B278,PCIe104_PSU_E1N001PWR1!L:L,0)),0)</f>
        <v>0</v>
      </c>
      <c r="G278">
        <f>IFERROR(INDEX(PCIe104_INF2_E1N006INF1!N:N,MATCH('По платам'!$B278,PCIe104_INF2_E1N006INF1!L:L,0)),0)</f>
        <v>0</v>
      </c>
      <c r="H278">
        <f>IFERROR(INDEX(PCIe104_CON_E1N005INF1!N:N,MATCH('По платам'!$B278,PCIe104_CON_E1N005INF1!L:L,0)),0)</f>
        <v>0</v>
      </c>
      <c r="I278">
        <f>IFERROR(INDEX('EM-PCIE104-CPU_E1E001CPU1E'!N:N,MATCH('По платам'!$B278,'EM-PCIE104-CPU_E1E001CPU1E'!L:L,0)),0)</f>
        <v>0</v>
      </c>
      <c r="J278">
        <f>IFERROR(INDEX(PCIe104_INF_E1N001INF1!N:N,MATCH('По платам'!$B278,PCIe104_INF_E1N001INF1!L:L,0)),0)</f>
        <v>0</v>
      </c>
      <c r="K278">
        <f>IFERROR(INDEX(IB_2RS232_E1N002INF1!N:N,MATCH('По платам'!$B278,IB_2RS232_E1N002INF1!L:L,0)),0)</f>
        <v>0</v>
      </c>
      <c r="L278">
        <f>IFERROR(INDEX(IB_2CAN_E1N003INF1!N:N,MATCH('По платам'!$B278,IB_2CAN_E1N003INF1!L:L,0)),0)</f>
        <v>0</v>
      </c>
    </row>
    <row r="279" spans="2:12">
      <c r="B279" s="3" t="s">
        <v>352</v>
      </c>
      <c r="C279">
        <f>IFERROR(INDEX('C2B004CPU2'!N:N,MATCH('По платам'!B279,'C2B004CPU2'!L:L,0)),0)</f>
        <v>0</v>
      </c>
      <c r="D279">
        <f>IFERROR(INDEX(SBC_DIO_E1N004INF1!N:N,MATCH('По платам'!$B279,SBC_DIO_E1N004INF1!L:L,0)),0)</f>
        <v>0</v>
      </c>
      <c r="E279">
        <f>IFERROR(INDEX(SBC_35_2C3_1_E1E001CPU1E!N:N,MATCH('По платам'!$B279,SBC_35_2C3_1_E1E001CPU1E!L:L,0)),0)</f>
        <v>0</v>
      </c>
      <c r="F279">
        <f>IFERROR(INDEX(PCIe104_PSU_E1N001PWR1!N:N,MATCH('По платам'!$B279,PCIe104_PSU_E1N001PWR1!L:L,0)),0)</f>
        <v>0</v>
      </c>
      <c r="G279">
        <f>IFERROR(INDEX(PCIe104_INF2_E1N006INF1!N:N,MATCH('По платам'!$B279,PCIe104_INF2_E1N006INF1!L:L,0)),0)</f>
        <v>0</v>
      </c>
      <c r="H279">
        <f>IFERROR(INDEX(PCIe104_CON_E1N005INF1!N:N,MATCH('По платам'!$B279,PCIe104_CON_E1N005INF1!L:L,0)),0)</f>
        <v>0</v>
      </c>
      <c r="I279">
        <f>IFERROR(INDEX('EM-PCIE104-CPU_E1E001CPU1E'!N:N,MATCH('По платам'!$B279,'EM-PCIE104-CPU_E1E001CPU1E'!L:L,0)),0)</f>
        <v>0</v>
      </c>
      <c r="J279">
        <f>IFERROR(INDEX(PCIe104_INF_E1N001INF1!N:N,MATCH('По платам'!$B279,PCIe104_INF_E1N001INF1!L:L,0)),0)</f>
        <v>1</v>
      </c>
      <c r="K279">
        <f>IFERROR(INDEX(IB_2RS232_E1N002INF1!N:N,MATCH('По платам'!$B279,IB_2RS232_E1N002INF1!L:L,0)),0)</f>
        <v>0</v>
      </c>
      <c r="L279">
        <f>IFERROR(INDEX(IB_2CAN_E1N003INF1!N:N,MATCH('По платам'!$B279,IB_2CAN_E1N003INF1!L:L,0)),0)</f>
        <v>0</v>
      </c>
    </row>
    <row r="280" spans="2:12">
      <c r="B280" s="3" t="s">
        <v>757</v>
      </c>
      <c r="C280">
        <f>IFERROR(INDEX('C2B004CPU2'!N:N,MATCH('По платам'!B280,'C2B004CPU2'!L:L,0)),0)</f>
        <v>0</v>
      </c>
      <c r="D280">
        <f>IFERROR(INDEX(SBC_DIO_E1N004INF1!N:N,MATCH('По платам'!$B280,SBC_DIO_E1N004INF1!L:L,0)),0)</f>
        <v>0</v>
      </c>
      <c r="E280">
        <f>IFERROR(INDEX(SBC_35_2C3_1_E1E001CPU1E!N:N,MATCH('По платам'!$B280,SBC_35_2C3_1_E1E001CPU1E!L:L,0)),0)</f>
        <v>1</v>
      </c>
      <c r="F280">
        <f>IFERROR(INDEX(PCIe104_PSU_E1N001PWR1!N:N,MATCH('По платам'!$B280,PCIe104_PSU_E1N001PWR1!L:L,0)),0)</f>
        <v>0</v>
      </c>
      <c r="G280">
        <f>IFERROR(INDEX(PCIe104_INF2_E1N006INF1!N:N,MATCH('По платам'!$B280,PCIe104_INF2_E1N006INF1!L:L,0)),0)</f>
        <v>0</v>
      </c>
      <c r="H280">
        <f>IFERROR(INDEX(PCIe104_CON_E1N005INF1!N:N,MATCH('По платам'!$B280,PCIe104_CON_E1N005INF1!L:L,0)),0)</f>
        <v>0</v>
      </c>
      <c r="I280">
        <f>IFERROR(INDEX('EM-PCIE104-CPU_E1E001CPU1E'!N:N,MATCH('По платам'!$B280,'EM-PCIE104-CPU_E1E001CPU1E'!L:L,0)),0)</f>
        <v>1</v>
      </c>
      <c r="J280">
        <f>IFERROR(INDEX(PCIe104_INF_E1N001INF1!N:N,MATCH('По платам'!$B280,PCIe104_INF_E1N001INF1!L:L,0)),0)</f>
        <v>0</v>
      </c>
      <c r="K280">
        <f>IFERROR(INDEX(IB_2RS232_E1N002INF1!N:N,MATCH('По платам'!$B280,IB_2RS232_E1N002INF1!L:L,0)),0)</f>
        <v>0</v>
      </c>
      <c r="L280">
        <f>IFERROR(INDEX(IB_2CAN_E1N003INF1!N:N,MATCH('По платам'!$B280,IB_2CAN_E1N003INF1!L:L,0)),0)</f>
        <v>0</v>
      </c>
    </row>
    <row r="281" spans="2:12">
      <c r="B281" s="3" t="s">
        <v>1589</v>
      </c>
      <c r="C281">
        <f>IFERROR(INDEX('C2B004CPU2'!N:N,MATCH('По платам'!B281,'C2B004CPU2'!L:L,0)),0)</f>
        <v>0</v>
      </c>
      <c r="D281">
        <f>IFERROR(INDEX(SBC_DIO_E1N004INF1!N:N,MATCH('По платам'!$B281,SBC_DIO_E1N004INF1!L:L,0)),0)</f>
        <v>0</v>
      </c>
      <c r="E281">
        <f>IFERROR(INDEX(SBC_35_2C3_1_E1E001CPU1E!N:N,MATCH('По платам'!$B281,SBC_35_2C3_1_E1E001CPU1E!L:L,0)),0)</f>
        <v>2</v>
      </c>
      <c r="F281">
        <f>IFERROR(INDEX(PCIe104_PSU_E1N001PWR1!N:N,MATCH('По платам'!$B281,PCIe104_PSU_E1N001PWR1!L:L,0)),0)</f>
        <v>0</v>
      </c>
      <c r="G281">
        <f>IFERROR(INDEX(PCIe104_INF2_E1N006INF1!N:N,MATCH('По платам'!$B281,PCIe104_INF2_E1N006INF1!L:L,0)),0)</f>
        <v>0</v>
      </c>
      <c r="H281">
        <f>IFERROR(INDEX(PCIe104_CON_E1N005INF1!N:N,MATCH('По платам'!$B281,PCIe104_CON_E1N005INF1!L:L,0)),0)</f>
        <v>0</v>
      </c>
      <c r="I281">
        <f>IFERROR(INDEX('EM-PCIE104-CPU_E1E001CPU1E'!N:N,MATCH('По платам'!$B281,'EM-PCIE104-CPU_E1E001CPU1E'!L:L,0)),0)</f>
        <v>0</v>
      </c>
      <c r="J281">
        <f>IFERROR(INDEX(PCIe104_INF_E1N001INF1!N:N,MATCH('По платам'!$B281,PCIe104_INF_E1N001INF1!L:L,0)),0)</f>
        <v>0</v>
      </c>
      <c r="K281">
        <f>IFERROR(INDEX(IB_2RS232_E1N002INF1!N:N,MATCH('По платам'!$B281,IB_2RS232_E1N002INF1!L:L,0)),0)</f>
        <v>0</v>
      </c>
      <c r="L281">
        <f>IFERROR(INDEX(IB_2CAN_E1N003INF1!N:N,MATCH('По платам'!$B281,IB_2CAN_E1N003INF1!L:L,0)),0)</f>
        <v>0</v>
      </c>
    </row>
    <row r="282" spans="2:12">
      <c r="B282" s="3" t="s">
        <v>685</v>
      </c>
      <c r="C282">
        <f>IFERROR(INDEX('C2B004CPU2'!N:N,MATCH('По платам'!B282,'C2B004CPU2'!L:L,0)),0)</f>
        <v>0</v>
      </c>
      <c r="D282">
        <f>IFERROR(INDEX(SBC_DIO_E1N004INF1!N:N,MATCH('По платам'!$B282,SBC_DIO_E1N004INF1!L:L,0)),0)</f>
        <v>0</v>
      </c>
      <c r="E282">
        <f>IFERROR(INDEX(SBC_35_2C3_1_E1E001CPU1E!N:N,MATCH('По платам'!$B282,SBC_35_2C3_1_E1E001CPU1E!L:L,0)),0)</f>
        <v>8</v>
      </c>
      <c r="F282">
        <f>IFERROR(INDEX(PCIe104_PSU_E1N001PWR1!N:N,MATCH('По платам'!$B282,PCIe104_PSU_E1N001PWR1!L:L,0)),0)</f>
        <v>0</v>
      </c>
      <c r="G282">
        <f>IFERROR(INDEX(PCIe104_INF2_E1N006INF1!N:N,MATCH('По платам'!$B282,PCIe104_INF2_E1N006INF1!L:L,0)),0)</f>
        <v>0</v>
      </c>
      <c r="H282">
        <f>IFERROR(INDEX(PCIe104_CON_E1N005INF1!N:N,MATCH('По платам'!$B282,PCIe104_CON_E1N005INF1!L:L,0)),0)</f>
        <v>0</v>
      </c>
      <c r="I282">
        <f>IFERROR(INDEX('EM-PCIE104-CPU_E1E001CPU1E'!N:N,MATCH('По платам'!$B282,'EM-PCIE104-CPU_E1E001CPU1E'!L:L,0)),0)</f>
        <v>8</v>
      </c>
      <c r="J282">
        <f>IFERROR(INDEX(PCIe104_INF_E1N001INF1!N:N,MATCH('По платам'!$B282,PCIe104_INF_E1N001INF1!L:L,0)),0)</f>
        <v>0</v>
      </c>
      <c r="K282">
        <f>IFERROR(INDEX(IB_2RS232_E1N002INF1!N:N,MATCH('По платам'!$B282,IB_2RS232_E1N002INF1!L:L,0)),0)</f>
        <v>0</v>
      </c>
      <c r="L282">
        <f>IFERROR(INDEX(IB_2CAN_E1N003INF1!N:N,MATCH('По платам'!$B282,IB_2CAN_E1N003INF1!L:L,0)),0)</f>
        <v>0</v>
      </c>
    </row>
    <row r="283" spans="2:12">
      <c r="B283" s="3" t="s">
        <v>363</v>
      </c>
      <c r="C283">
        <f>IFERROR(INDEX('C2B004CPU2'!N:N,MATCH('По платам'!B283,'C2B004CPU2'!L:L,0)),0)</f>
        <v>0</v>
      </c>
      <c r="D283">
        <f>IFERROR(INDEX(SBC_DIO_E1N004INF1!N:N,MATCH('По платам'!$B283,SBC_DIO_E1N004INF1!L:L,0)),0)</f>
        <v>0</v>
      </c>
      <c r="E283">
        <f>IFERROR(INDEX(SBC_35_2C3_1_E1E001CPU1E!N:N,MATCH('По платам'!$B283,SBC_35_2C3_1_E1E001CPU1E!L:L,0)),0)</f>
        <v>2</v>
      </c>
      <c r="F283">
        <f>IFERROR(INDEX(PCIe104_PSU_E1N001PWR1!N:N,MATCH('По платам'!$B283,PCIe104_PSU_E1N001PWR1!L:L,0)),0)</f>
        <v>0</v>
      </c>
      <c r="G283">
        <f>IFERROR(INDEX(PCIe104_INF2_E1N006INF1!N:N,MATCH('По платам'!$B283,PCIe104_INF2_E1N006INF1!L:L,0)),0)</f>
        <v>0</v>
      </c>
      <c r="H283">
        <f>IFERROR(INDEX(PCIe104_CON_E1N005INF1!N:N,MATCH('По платам'!$B283,PCIe104_CON_E1N005INF1!L:L,0)),0)</f>
        <v>0</v>
      </c>
      <c r="I283">
        <f>IFERROR(INDEX('EM-PCIE104-CPU_E1E001CPU1E'!N:N,MATCH('По платам'!$B283,'EM-PCIE104-CPU_E1E001CPU1E'!L:L,0)),0)</f>
        <v>2</v>
      </c>
      <c r="J283">
        <f>IFERROR(INDEX(PCIe104_INF_E1N001INF1!N:N,MATCH('По платам'!$B283,PCIe104_INF_E1N001INF1!L:L,0)),0)</f>
        <v>1</v>
      </c>
      <c r="K283">
        <f>IFERROR(INDEX(IB_2RS232_E1N002INF1!N:N,MATCH('По платам'!$B283,IB_2RS232_E1N002INF1!L:L,0)),0)</f>
        <v>0</v>
      </c>
      <c r="L283">
        <f>IFERROR(INDEX(IB_2CAN_E1N003INF1!N:N,MATCH('По платам'!$B283,IB_2CAN_E1N003INF1!L:L,0)),0)</f>
        <v>0</v>
      </c>
    </row>
    <row r="284" spans="2:12">
      <c r="B284" s="3" t="s">
        <v>172</v>
      </c>
      <c r="C284">
        <f>IFERROR(INDEX('C2B004CPU2'!N:N,MATCH('По платам'!B284,'C2B004CPU2'!L:L,0)),0)</f>
        <v>0</v>
      </c>
      <c r="D284">
        <f>IFERROR(INDEX(SBC_DIO_E1N004INF1!N:N,MATCH('По платам'!$B284,SBC_DIO_E1N004INF1!L:L,0)),0)</f>
        <v>0</v>
      </c>
      <c r="E284">
        <f>IFERROR(INDEX(SBC_35_2C3_1_E1E001CPU1E!N:N,MATCH('По платам'!$B284,SBC_35_2C3_1_E1E001CPU1E!L:L,0)),0)</f>
        <v>0</v>
      </c>
      <c r="F284">
        <f>IFERROR(INDEX(PCIe104_PSU_E1N001PWR1!N:N,MATCH('По платам'!$B284,PCIe104_PSU_E1N001PWR1!L:L,0)),0)</f>
        <v>0</v>
      </c>
      <c r="G284">
        <f>IFERROR(INDEX(PCIe104_INF2_E1N006INF1!N:N,MATCH('По платам'!$B284,PCIe104_INF2_E1N006INF1!L:L,0)),0)</f>
        <v>1</v>
      </c>
      <c r="H284">
        <f>IFERROR(INDEX(PCIe104_CON_E1N005INF1!N:N,MATCH('По платам'!$B284,PCIe104_CON_E1N005INF1!L:L,0)),0)</f>
        <v>0</v>
      </c>
      <c r="I284">
        <f>IFERROR(INDEX('EM-PCIE104-CPU_E1E001CPU1E'!N:N,MATCH('По платам'!$B284,'EM-PCIE104-CPU_E1E001CPU1E'!L:L,0)),0)</f>
        <v>0</v>
      </c>
      <c r="J284">
        <f>IFERROR(INDEX(PCIe104_INF_E1N001INF1!N:N,MATCH('По платам'!$B284,PCIe104_INF_E1N001INF1!L:L,0)),0)</f>
        <v>0</v>
      </c>
      <c r="K284">
        <f>IFERROR(INDEX(IB_2RS232_E1N002INF1!N:N,MATCH('По платам'!$B284,IB_2RS232_E1N002INF1!L:L,0)),0)</f>
        <v>1</v>
      </c>
      <c r="L284">
        <f>IFERROR(INDEX(IB_2CAN_E1N003INF1!N:N,MATCH('По платам'!$B284,IB_2CAN_E1N003INF1!L:L,0)),0)</f>
        <v>0</v>
      </c>
    </row>
    <row r="285" spans="2:12">
      <c r="B285" s="3" t="s">
        <v>668</v>
      </c>
      <c r="C285">
        <f>IFERROR(INDEX('C2B004CPU2'!N:N,MATCH('По платам'!B285,'C2B004CPU2'!L:L,0)),0)</f>
        <v>0</v>
      </c>
      <c r="D285">
        <f>IFERROR(INDEX(SBC_DIO_E1N004INF1!N:N,MATCH('По платам'!$B285,SBC_DIO_E1N004INF1!L:L,0)),0)</f>
        <v>0</v>
      </c>
      <c r="E285">
        <f>IFERROR(INDEX(SBC_35_2C3_1_E1E001CPU1E!N:N,MATCH('По платам'!$B285,SBC_35_2C3_1_E1E001CPU1E!L:L,0)),0)</f>
        <v>5</v>
      </c>
      <c r="F285">
        <f>IFERROR(INDEX(PCIe104_PSU_E1N001PWR1!N:N,MATCH('По платам'!$B285,PCIe104_PSU_E1N001PWR1!L:L,0)),0)</f>
        <v>0</v>
      </c>
      <c r="G285">
        <f>IFERROR(INDEX(PCIe104_INF2_E1N006INF1!N:N,MATCH('По платам'!$B285,PCIe104_INF2_E1N006INF1!L:L,0)),0)</f>
        <v>0</v>
      </c>
      <c r="H285">
        <f>IFERROR(INDEX(PCIe104_CON_E1N005INF1!N:N,MATCH('По платам'!$B285,PCIe104_CON_E1N005INF1!L:L,0)),0)</f>
        <v>0</v>
      </c>
      <c r="I285">
        <f>IFERROR(INDEX('EM-PCIE104-CPU_E1E001CPU1E'!N:N,MATCH('По платам'!$B285,'EM-PCIE104-CPU_E1E001CPU1E'!L:L,0)),0)</f>
        <v>4</v>
      </c>
      <c r="J285">
        <f>IFERROR(INDEX(PCIe104_INF_E1N001INF1!N:N,MATCH('По платам'!$B285,PCIe104_INF_E1N001INF1!L:L,0)),0)</f>
        <v>0</v>
      </c>
      <c r="K285">
        <f>IFERROR(INDEX(IB_2RS232_E1N002INF1!N:N,MATCH('По платам'!$B285,IB_2RS232_E1N002INF1!L:L,0)),0)</f>
        <v>0</v>
      </c>
      <c r="L285">
        <f>IFERROR(INDEX(IB_2CAN_E1N003INF1!N:N,MATCH('По платам'!$B285,IB_2CAN_E1N003INF1!L:L,0)),0)</f>
        <v>0</v>
      </c>
    </row>
    <row r="286" spans="2:12">
      <c r="B286" s="3" t="s">
        <v>2717</v>
      </c>
      <c r="C286">
        <f>IFERROR(INDEX('C2B004CPU2'!N:N,MATCH('По платам'!B286,'C2B004CPU2'!L:L,0)),0)</f>
        <v>1</v>
      </c>
      <c r="D286">
        <f>IFERROR(INDEX(SBC_DIO_E1N004INF1!N:N,MATCH('По платам'!$B286,SBC_DIO_E1N004INF1!L:L,0)),0)</f>
        <v>0</v>
      </c>
      <c r="E286">
        <f>IFERROR(INDEX(SBC_35_2C3_1_E1E001CPU1E!N:N,MATCH('По платам'!$B286,SBC_35_2C3_1_E1E001CPU1E!L:L,0)),0)</f>
        <v>0</v>
      </c>
      <c r="F286">
        <f>IFERROR(INDEX(PCIe104_PSU_E1N001PWR1!N:N,MATCH('По платам'!$B286,PCIe104_PSU_E1N001PWR1!L:L,0)),0)</f>
        <v>0</v>
      </c>
      <c r="G286">
        <f>IFERROR(INDEX(PCIe104_INF2_E1N006INF1!N:N,MATCH('По платам'!$B286,PCIe104_INF2_E1N006INF1!L:L,0)),0)</f>
        <v>0</v>
      </c>
      <c r="H286">
        <f>IFERROR(INDEX(PCIe104_CON_E1N005INF1!N:N,MATCH('По платам'!$B286,PCIe104_CON_E1N005INF1!L:L,0)),0)</f>
        <v>0</v>
      </c>
      <c r="I286">
        <f>IFERROR(INDEX('EM-PCIE104-CPU_E1E001CPU1E'!N:N,MATCH('По платам'!$B286,'EM-PCIE104-CPU_E1E001CPU1E'!L:L,0)),0)</f>
        <v>0</v>
      </c>
      <c r="J286">
        <f>IFERROR(INDEX(PCIe104_INF_E1N001INF1!N:N,MATCH('По платам'!$B286,PCIe104_INF_E1N001INF1!L:L,0)),0)</f>
        <v>0</v>
      </c>
      <c r="K286">
        <f>IFERROR(INDEX(IB_2RS232_E1N002INF1!N:N,MATCH('По платам'!$B286,IB_2RS232_E1N002INF1!L:L,0)),0)</f>
        <v>0</v>
      </c>
      <c r="L286">
        <f>IFERROR(INDEX(IB_2CAN_E1N003INF1!N:N,MATCH('По платам'!$B286,IB_2CAN_E1N003INF1!L:L,0)),0)</f>
        <v>0</v>
      </c>
    </row>
    <row r="287" spans="2:12">
      <c r="B287" s="3" t="s">
        <v>2696</v>
      </c>
      <c r="C287">
        <f>IFERROR(INDEX('C2B004CPU2'!N:N,MATCH('По платам'!B287,'C2B004CPU2'!L:L,0)),0)</f>
        <v>1</v>
      </c>
      <c r="D287">
        <f>IFERROR(INDEX(SBC_DIO_E1N004INF1!N:N,MATCH('По платам'!$B287,SBC_DIO_E1N004INF1!L:L,0)),0)</f>
        <v>0</v>
      </c>
      <c r="E287">
        <f>IFERROR(INDEX(SBC_35_2C3_1_E1E001CPU1E!N:N,MATCH('По платам'!$B287,SBC_35_2C3_1_E1E001CPU1E!L:L,0)),0)</f>
        <v>0</v>
      </c>
      <c r="F287">
        <f>IFERROR(INDEX(PCIe104_PSU_E1N001PWR1!N:N,MATCH('По платам'!$B287,PCIe104_PSU_E1N001PWR1!L:L,0)),0)</f>
        <v>0</v>
      </c>
      <c r="G287">
        <f>IFERROR(INDEX(PCIe104_INF2_E1N006INF1!N:N,MATCH('По платам'!$B287,PCIe104_INF2_E1N006INF1!L:L,0)),0)</f>
        <v>0</v>
      </c>
      <c r="H287">
        <f>IFERROR(INDEX(PCIe104_CON_E1N005INF1!N:N,MATCH('По платам'!$B287,PCIe104_CON_E1N005INF1!L:L,0)),0)</f>
        <v>0</v>
      </c>
      <c r="I287">
        <f>IFERROR(INDEX('EM-PCIE104-CPU_E1E001CPU1E'!N:N,MATCH('По платам'!$B287,'EM-PCIE104-CPU_E1E001CPU1E'!L:L,0)),0)</f>
        <v>0</v>
      </c>
      <c r="J287">
        <f>IFERROR(INDEX(PCIe104_INF_E1N001INF1!N:N,MATCH('По платам'!$B287,PCIe104_INF_E1N001INF1!L:L,0)),0)</f>
        <v>0</v>
      </c>
      <c r="K287">
        <f>IFERROR(INDEX(IB_2RS232_E1N002INF1!N:N,MATCH('По платам'!$B287,IB_2RS232_E1N002INF1!L:L,0)),0)</f>
        <v>0</v>
      </c>
      <c r="L287">
        <f>IFERROR(INDEX(IB_2CAN_E1N003INF1!N:N,MATCH('По платам'!$B287,IB_2CAN_E1N003INF1!L:L,0)),0)</f>
        <v>0</v>
      </c>
    </row>
    <row r="288" spans="2:12">
      <c r="B288" s="3" t="s">
        <v>2122</v>
      </c>
      <c r="C288">
        <f>IFERROR(INDEX('C2B004CPU2'!N:N,MATCH('По платам'!B288,'C2B004CPU2'!L:L,0)),0)</f>
        <v>23</v>
      </c>
      <c r="D288">
        <f>IFERROR(INDEX(SBC_DIO_E1N004INF1!N:N,MATCH('По платам'!$B288,SBC_DIO_E1N004INF1!L:L,0)),0)</f>
        <v>0</v>
      </c>
      <c r="E288">
        <f>IFERROR(INDEX(SBC_35_2C3_1_E1E001CPU1E!N:N,MATCH('По платам'!$B288,SBC_35_2C3_1_E1E001CPU1E!L:L,0)),0)</f>
        <v>0</v>
      </c>
      <c r="F288">
        <f>IFERROR(INDEX(PCIe104_PSU_E1N001PWR1!N:N,MATCH('По платам'!$B288,PCIe104_PSU_E1N001PWR1!L:L,0)),0)</f>
        <v>0</v>
      </c>
      <c r="G288">
        <f>IFERROR(INDEX(PCIe104_INF2_E1N006INF1!N:N,MATCH('По платам'!$B288,PCIe104_INF2_E1N006INF1!L:L,0)),0)</f>
        <v>0</v>
      </c>
      <c r="H288">
        <f>IFERROR(INDEX(PCIe104_CON_E1N005INF1!N:N,MATCH('По платам'!$B288,PCIe104_CON_E1N005INF1!L:L,0)),0)</f>
        <v>0</v>
      </c>
      <c r="I288">
        <f>IFERROR(INDEX('EM-PCIE104-CPU_E1E001CPU1E'!N:N,MATCH('По платам'!$B288,'EM-PCIE104-CPU_E1E001CPU1E'!L:L,0)),0)</f>
        <v>0</v>
      </c>
      <c r="J288">
        <f>IFERROR(INDEX(PCIe104_INF_E1N001INF1!N:N,MATCH('По платам'!$B288,PCIe104_INF_E1N001INF1!L:L,0)),0)</f>
        <v>0</v>
      </c>
      <c r="K288">
        <f>IFERROR(INDEX(IB_2RS232_E1N002INF1!N:N,MATCH('По платам'!$B288,IB_2RS232_E1N002INF1!L:L,0)),0)</f>
        <v>0</v>
      </c>
      <c r="L288">
        <f>IFERROR(INDEX(IB_2CAN_E1N003INF1!N:N,MATCH('По платам'!$B288,IB_2CAN_E1N003INF1!L:L,0)),0)</f>
        <v>0</v>
      </c>
    </row>
    <row r="289" spans="2:12">
      <c r="B289" s="3" t="s">
        <v>296</v>
      </c>
      <c r="C289">
        <f>IFERROR(INDEX('C2B004CPU2'!N:N,MATCH('По платам'!B289,'C2B004CPU2'!L:L,0)),0)</f>
        <v>131</v>
      </c>
      <c r="D289">
        <f>IFERROR(INDEX(SBC_DIO_E1N004INF1!N:N,MATCH('По платам'!$B289,SBC_DIO_E1N004INF1!L:L,0)),0)</f>
        <v>0</v>
      </c>
      <c r="E289">
        <f>IFERROR(INDEX(SBC_35_2C3_1_E1E001CPU1E!N:N,MATCH('По платам'!$B289,SBC_35_2C3_1_E1E001CPU1E!L:L,0)),0)</f>
        <v>0</v>
      </c>
      <c r="F289">
        <f>IFERROR(INDEX(PCIe104_PSU_E1N001PWR1!N:N,MATCH('По платам'!$B289,PCIe104_PSU_E1N001PWR1!L:L,0)),0)</f>
        <v>0</v>
      </c>
      <c r="G289">
        <f>IFERROR(INDEX(PCIe104_INF2_E1N006INF1!N:N,MATCH('По платам'!$B289,PCIe104_INF2_E1N006INF1!L:L,0)),0)</f>
        <v>0</v>
      </c>
      <c r="H289">
        <f>IFERROR(INDEX(PCIe104_CON_E1N005INF1!N:N,MATCH('По платам'!$B289,PCIe104_CON_E1N005INF1!L:L,0)),0)</f>
        <v>0</v>
      </c>
      <c r="I289">
        <f>IFERROR(INDEX('EM-PCIE104-CPU_E1E001CPU1E'!N:N,MATCH('По платам'!$B289,'EM-PCIE104-CPU_E1E001CPU1E'!L:L,0)),0)</f>
        <v>0</v>
      </c>
      <c r="J289">
        <f>IFERROR(INDEX(PCIe104_INF_E1N001INF1!N:N,MATCH('По платам'!$B289,PCIe104_INF_E1N001INF1!L:L,0)),0)</f>
        <v>21</v>
      </c>
      <c r="K289">
        <f>IFERROR(INDEX(IB_2RS232_E1N002INF1!N:N,MATCH('По платам'!$B289,IB_2RS232_E1N002INF1!L:L,0)),0)</f>
        <v>0</v>
      </c>
      <c r="L289">
        <f>IFERROR(INDEX(IB_2CAN_E1N003INF1!N:N,MATCH('По платам'!$B289,IB_2CAN_E1N003INF1!L:L,0)),0)</f>
        <v>0</v>
      </c>
    </row>
    <row r="290" spans="2:12">
      <c r="B290" s="3" t="s">
        <v>2100</v>
      </c>
      <c r="C290">
        <f>IFERROR(INDEX('C2B004CPU2'!N:N,MATCH('По платам'!B290,'C2B004CPU2'!L:L,0)),0)</f>
        <v>73</v>
      </c>
      <c r="D290">
        <f>IFERROR(INDEX(SBC_DIO_E1N004INF1!N:N,MATCH('По платам'!$B290,SBC_DIO_E1N004INF1!L:L,0)),0)</f>
        <v>0</v>
      </c>
      <c r="E290">
        <f>IFERROR(INDEX(SBC_35_2C3_1_E1E001CPU1E!N:N,MATCH('По платам'!$B290,SBC_35_2C3_1_E1E001CPU1E!L:L,0)),0)</f>
        <v>0</v>
      </c>
      <c r="F290">
        <f>IFERROR(INDEX(PCIe104_PSU_E1N001PWR1!N:N,MATCH('По платам'!$B290,PCIe104_PSU_E1N001PWR1!L:L,0)),0)</f>
        <v>0</v>
      </c>
      <c r="G290">
        <f>IFERROR(INDEX(PCIe104_INF2_E1N006INF1!N:N,MATCH('По платам'!$B290,PCIe104_INF2_E1N006INF1!L:L,0)),0)</f>
        <v>0</v>
      </c>
      <c r="H290">
        <f>IFERROR(INDEX(PCIe104_CON_E1N005INF1!N:N,MATCH('По платам'!$B290,PCIe104_CON_E1N005INF1!L:L,0)),0)</f>
        <v>0</v>
      </c>
      <c r="I290">
        <f>IFERROR(INDEX('EM-PCIE104-CPU_E1E001CPU1E'!N:N,MATCH('По платам'!$B290,'EM-PCIE104-CPU_E1E001CPU1E'!L:L,0)),0)</f>
        <v>0</v>
      </c>
      <c r="J290">
        <f>IFERROR(INDEX(PCIe104_INF_E1N001INF1!N:N,MATCH('По платам'!$B290,PCIe104_INF_E1N001INF1!L:L,0)),0)</f>
        <v>0</v>
      </c>
      <c r="K290">
        <f>IFERROR(INDEX(IB_2RS232_E1N002INF1!N:N,MATCH('По платам'!$B290,IB_2RS232_E1N002INF1!L:L,0)),0)</f>
        <v>0</v>
      </c>
      <c r="L290">
        <f>IFERROR(INDEX(IB_2CAN_E1N003INF1!N:N,MATCH('По платам'!$B290,IB_2CAN_E1N003INF1!L:L,0)),0)</f>
        <v>0</v>
      </c>
    </row>
    <row r="291" spans="2:12">
      <c r="B291" s="3" t="s">
        <v>594</v>
      </c>
      <c r="C291">
        <f>IFERROR(INDEX('C2B004CPU2'!N:N,MATCH('По платам'!B291,'C2B004CPU2'!L:L,0)),0)</f>
        <v>0</v>
      </c>
      <c r="D291">
        <f>IFERROR(INDEX(SBC_DIO_E1N004INF1!N:N,MATCH('По платам'!$B291,SBC_DIO_E1N004INF1!L:L,0)),0)</f>
        <v>0</v>
      </c>
      <c r="E291">
        <f>IFERROR(INDEX(SBC_35_2C3_1_E1E001CPU1E!N:N,MATCH('По платам'!$B291,SBC_35_2C3_1_E1E001CPU1E!L:L,0)),0)</f>
        <v>0</v>
      </c>
      <c r="F291">
        <f>IFERROR(INDEX(PCIe104_PSU_E1N001PWR1!N:N,MATCH('По платам'!$B291,PCIe104_PSU_E1N001PWR1!L:L,0)),0)</f>
        <v>0</v>
      </c>
      <c r="G291">
        <f>IFERROR(INDEX(PCIe104_INF2_E1N006INF1!N:N,MATCH('По платам'!$B291,PCIe104_INF2_E1N006INF1!L:L,0)),0)</f>
        <v>0</v>
      </c>
      <c r="H291">
        <f>IFERROR(INDEX(PCIe104_CON_E1N005INF1!N:N,MATCH('По платам'!$B291,PCIe104_CON_E1N005INF1!L:L,0)),0)</f>
        <v>0</v>
      </c>
      <c r="I291">
        <f>IFERROR(INDEX('EM-PCIE104-CPU_E1E001CPU1E'!N:N,MATCH('По платам'!$B291,'EM-PCIE104-CPU_E1E001CPU1E'!L:L,0)),0)</f>
        <v>8</v>
      </c>
      <c r="J291">
        <f>IFERROR(INDEX(PCIe104_INF_E1N001INF1!N:N,MATCH('По платам'!$B291,PCIe104_INF_E1N001INF1!L:L,0)),0)</f>
        <v>0</v>
      </c>
      <c r="K291">
        <f>IFERROR(INDEX(IB_2RS232_E1N002INF1!N:N,MATCH('По платам'!$B291,IB_2RS232_E1N002INF1!L:L,0)),0)</f>
        <v>0</v>
      </c>
      <c r="L291">
        <f>IFERROR(INDEX(IB_2CAN_E1N003INF1!N:N,MATCH('По платам'!$B291,IB_2CAN_E1N003INF1!L:L,0)),0)</f>
        <v>0</v>
      </c>
    </row>
    <row r="292" spans="2:12">
      <c r="B292" s="3" t="s">
        <v>2126</v>
      </c>
      <c r="C292">
        <f>IFERROR(INDEX('C2B004CPU2'!N:N,MATCH('По платам'!B292,'C2B004CPU2'!L:L,0)),0)</f>
        <v>36</v>
      </c>
      <c r="D292">
        <f>IFERROR(INDEX(SBC_DIO_E1N004INF1!N:N,MATCH('По платам'!$B292,SBC_DIO_E1N004INF1!L:L,0)),0)</f>
        <v>0</v>
      </c>
      <c r="E292">
        <f>IFERROR(INDEX(SBC_35_2C3_1_E1E001CPU1E!N:N,MATCH('По платам'!$B292,SBC_35_2C3_1_E1E001CPU1E!L:L,0)),0)</f>
        <v>0</v>
      </c>
      <c r="F292">
        <f>IFERROR(INDEX(PCIe104_PSU_E1N001PWR1!N:N,MATCH('По платам'!$B292,PCIe104_PSU_E1N001PWR1!L:L,0)),0)</f>
        <v>0</v>
      </c>
      <c r="G292">
        <f>IFERROR(INDEX(PCIe104_INF2_E1N006INF1!N:N,MATCH('По платам'!$B292,PCIe104_INF2_E1N006INF1!L:L,0)),0)</f>
        <v>0</v>
      </c>
      <c r="H292">
        <f>IFERROR(INDEX(PCIe104_CON_E1N005INF1!N:N,MATCH('По платам'!$B292,PCIe104_CON_E1N005INF1!L:L,0)),0)</f>
        <v>0</v>
      </c>
      <c r="I292">
        <f>IFERROR(INDEX('EM-PCIE104-CPU_E1E001CPU1E'!N:N,MATCH('По платам'!$B292,'EM-PCIE104-CPU_E1E001CPU1E'!L:L,0)),0)</f>
        <v>0</v>
      </c>
      <c r="J292">
        <f>IFERROR(INDEX(PCIe104_INF_E1N001INF1!N:N,MATCH('По платам'!$B292,PCIe104_INF_E1N001INF1!L:L,0)),0)</f>
        <v>0</v>
      </c>
      <c r="K292">
        <f>IFERROR(INDEX(IB_2RS232_E1N002INF1!N:N,MATCH('По платам'!$B292,IB_2RS232_E1N002INF1!L:L,0)),0)</f>
        <v>0</v>
      </c>
      <c r="L292">
        <f>IFERROR(INDEX(IB_2CAN_E1N003INF1!N:N,MATCH('По платам'!$B292,IB_2CAN_E1N003INF1!L:L,0)),0)</f>
        <v>0</v>
      </c>
    </row>
    <row r="293" spans="2:12">
      <c r="B293" s="3" t="s">
        <v>304</v>
      </c>
      <c r="C293">
        <f>IFERROR(INDEX('C2B004CPU2'!N:N,MATCH('По платам'!B293,'C2B004CPU2'!L:L,0)),0)</f>
        <v>0</v>
      </c>
      <c r="D293">
        <f>IFERROR(INDEX(SBC_DIO_E1N004INF1!N:N,MATCH('По платам'!$B293,SBC_DIO_E1N004INF1!L:L,0)),0)</f>
        <v>0</v>
      </c>
      <c r="E293">
        <f>IFERROR(INDEX(SBC_35_2C3_1_E1E001CPU1E!N:N,MATCH('По платам'!$B293,SBC_35_2C3_1_E1E001CPU1E!L:L,0)),0)</f>
        <v>16</v>
      </c>
      <c r="F293">
        <f>IFERROR(INDEX(PCIe104_PSU_E1N001PWR1!N:N,MATCH('По платам'!$B293,PCIe104_PSU_E1N001PWR1!L:L,0)),0)</f>
        <v>0</v>
      </c>
      <c r="G293">
        <f>IFERROR(INDEX(PCIe104_INF2_E1N006INF1!N:N,MATCH('По платам'!$B293,PCIe104_INF2_E1N006INF1!L:L,0)),0)</f>
        <v>0</v>
      </c>
      <c r="H293">
        <f>IFERROR(INDEX(PCIe104_CON_E1N005INF1!N:N,MATCH('По платам'!$B293,PCIe104_CON_E1N005INF1!L:L,0)),0)</f>
        <v>0</v>
      </c>
      <c r="I293">
        <f>IFERROR(INDEX('EM-PCIE104-CPU_E1E001CPU1E'!N:N,MATCH('По платам'!$B293,'EM-PCIE104-CPU_E1E001CPU1E'!L:L,0)),0)</f>
        <v>0</v>
      </c>
      <c r="J293">
        <f>IFERROR(INDEX(PCIe104_INF_E1N001INF1!N:N,MATCH('По платам'!$B293,PCIe104_INF_E1N001INF1!L:L,0)),0)</f>
        <v>36</v>
      </c>
      <c r="K293">
        <f>IFERROR(INDEX(IB_2RS232_E1N002INF1!N:N,MATCH('По платам'!$B293,IB_2RS232_E1N002INF1!L:L,0)),0)</f>
        <v>0</v>
      </c>
      <c r="L293">
        <f>IFERROR(INDEX(IB_2CAN_E1N003INF1!N:N,MATCH('По платам'!$B293,IB_2CAN_E1N003INF1!L:L,0)),0)</f>
        <v>0</v>
      </c>
    </row>
    <row r="294" spans="2:12">
      <c r="B294" s="3" t="s">
        <v>2181</v>
      </c>
      <c r="C294">
        <f>IFERROR(INDEX('C2B004CPU2'!N:N,MATCH('По платам'!B294,'C2B004CPU2'!L:L,0)),0)</f>
        <v>2</v>
      </c>
      <c r="D294">
        <f>IFERROR(INDEX(SBC_DIO_E1N004INF1!N:N,MATCH('По платам'!$B294,SBC_DIO_E1N004INF1!L:L,0)),0)</f>
        <v>0</v>
      </c>
      <c r="E294">
        <f>IFERROR(INDEX(SBC_35_2C3_1_E1E001CPU1E!N:N,MATCH('По платам'!$B294,SBC_35_2C3_1_E1E001CPU1E!L:L,0)),0)</f>
        <v>0</v>
      </c>
      <c r="F294">
        <f>IFERROR(INDEX(PCIe104_PSU_E1N001PWR1!N:N,MATCH('По платам'!$B294,PCIe104_PSU_E1N001PWR1!L:L,0)),0)</f>
        <v>0</v>
      </c>
      <c r="G294">
        <f>IFERROR(INDEX(PCIe104_INF2_E1N006INF1!N:N,MATCH('По платам'!$B294,PCIe104_INF2_E1N006INF1!L:L,0)),0)</f>
        <v>0</v>
      </c>
      <c r="H294">
        <f>IFERROR(INDEX(PCIe104_CON_E1N005INF1!N:N,MATCH('По платам'!$B294,PCIe104_CON_E1N005INF1!L:L,0)),0)</f>
        <v>0</v>
      </c>
      <c r="I294">
        <f>IFERROR(INDEX('EM-PCIE104-CPU_E1E001CPU1E'!N:N,MATCH('По платам'!$B294,'EM-PCIE104-CPU_E1E001CPU1E'!L:L,0)),0)</f>
        <v>0</v>
      </c>
      <c r="J294">
        <f>IFERROR(INDEX(PCIe104_INF_E1N001INF1!N:N,MATCH('По платам'!$B294,PCIe104_INF_E1N001INF1!L:L,0)),0)</f>
        <v>0</v>
      </c>
      <c r="K294">
        <f>IFERROR(INDEX(IB_2RS232_E1N002INF1!N:N,MATCH('По платам'!$B294,IB_2RS232_E1N002INF1!L:L,0)),0)</f>
        <v>0</v>
      </c>
      <c r="L294">
        <f>IFERROR(INDEX(IB_2CAN_E1N003INF1!N:N,MATCH('По платам'!$B294,IB_2CAN_E1N003INF1!L:L,0)),0)</f>
        <v>0</v>
      </c>
    </row>
    <row r="295" spans="2:12">
      <c r="B295" s="3" t="s">
        <v>2112</v>
      </c>
      <c r="C295">
        <f>IFERROR(INDEX('C2B004CPU2'!N:N,MATCH('По платам'!B295,'C2B004CPU2'!L:L,0)),0)</f>
        <v>8</v>
      </c>
      <c r="D295">
        <f>IFERROR(INDEX(SBC_DIO_E1N004INF1!N:N,MATCH('По платам'!$B295,SBC_DIO_E1N004INF1!L:L,0)),0)</f>
        <v>0</v>
      </c>
      <c r="E295">
        <f>IFERROR(INDEX(SBC_35_2C3_1_E1E001CPU1E!N:N,MATCH('По платам'!$B295,SBC_35_2C3_1_E1E001CPU1E!L:L,0)),0)</f>
        <v>0</v>
      </c>
      <c r="F295">
        <f>IFERROR(INDEX(PCIe104_PSU_E1N001PWR1!N:N,MATCH('По платам'!$B295,PCIe104_PSU_E1N001PWR1!L:L,0)),0)</f>
        <v>0</v>
      </c>
      <c r="G295">
        <f>IFERROR(INDEX(PCIe104_INF2_E1N006INF1!N:N,MATCH('По платам'!$B295,PCIe104_INF2_E1N006INF1!L:L,0)),0)</f>
        <v>0</v>
      </c>
      <c r="H295">
        <f>IFERROR(INDEX(PCIe104_CON_E1N005INF1!N:N,MATCH('По платам'!$B295,PCIe104_CON_E1N005INF1!L:L,0)),0)</f>
        <v>0</v>
      </c>
      <c r="I295">
        <f>IFERROR(INDEX('EM-PCIE104-CPU_E1E001CPU1E'!N:N,MATCH('По платам'!$B295,'EM-PCIE104-CPU_E1E001CPU1E'!L:L,0)),0)</f>
        <v>0</v>
      </c>
      <c r="J295">
        <f>IFERROR(INDEX(PCIe104_INF_E1N001INF1!N:N,MATCH('По платам'!$B295,PCIe104_INF_E1N001INF1!L:L,0)),0)</f>
        <v>0</v>
      </c>
      <c r="K295">
        <f>IFERROR(INDEX(IB_2RS232_E1N002INF1!N:N,MATCH('По платам'!$B295,IB_2RS232_E1N002INF1!L:L,0)),0)</f>
        <v>0</v>
      </c>
      <c r="L295">
        <f>IFERROR(INDEX(IB_2CAN_E1N003INF1!N:N,MATCH('По платам'!$B295,IB_2CAN_E1N003INF1!L:L,0)),0)</f>
        <v>0</v>
      </c>
    </row>
    <row r="296" spans="2:12">
      <c r="B296" s="3" t="s">
        <v>613</v>
      </c>
      <c r="C296">
        <f>IFERROR(INDEX('C2B004CPU2'!N:N,MATCH('По платам'!B296,'C2B004CPU2'!L:L,0)),0)</f>
        <v>7</v>
      </c>
      <c r="D296">
        <f>IFERROR(INDEX(SBC_DIO_E1N004INF1!N:N,MATCH('По платам'!$B296,SBC_DIO_E1N004INF1!L:L,0)),0)</f>
        <v>0</v>
      </c>
      <c r="E296">
        <f>IFERROR(INDEX(SBC_35_2C3_1_E1E001CPU1E!N:N,MATCH('По платам'!$B296,SBC_35_2C3_1_E1E001CPU1E!L:L,0)),0)</f>
        <v>3</v>
      </c>
      <c r="F296">
        <f>IFERROR(INDEX(PCIe104_PSU_E1N001PWR1!N:N,MATCH('По платам'!$B296,PCIe104_PSU_E1N001PWR1!L:L,0)),0)</f>
        <v>0</v>
      </c>
      <c r="G296">
        <f>IFERROR(INDEX(PCIe104_INF2_E1N006INF1!N:N,MATCH('По платам'!$B296,PCIe104_INF2_E1N006INF1!L:L,0)),0)</f>
        <v>0</v>
      </c>
      <c r="H296">
        <f>IFERROR(INDEX(PCIe104_CON_E1N005INF1!N:N,MATCH('По платам'!$B296,PCIe104_CON_E1N005INF1!L:L,0)),0)</f>
        <v>0</v>
      </c>
      <c r="I296">
        <f>IFERROR(INDEX('EM-PCIE104-CPU_E1E001CPU1E'!N:N,MATCH('По платам'!$B296,'EM-PCIE104-CPU_E1E001CPU1E'!L:L,0)),0)</f>
        <v>1</v>
      </c>
      <c r="J296">
        <f>IFERROR(INDEX(PCIe104_INF_E1N001INF1!N:N,MATCH('По платам'!$B296,PCIe104_INF_E1N001INF1!L:L,0)),0)</f>
        <v>0</v>
      </c>
      <c r="K296">
        <f>IFERROR(INDEX(IB_2RS232_E1N002INF1!N:N,MATCH('По платам'!$B296,IB_2RS232_E1N002INF1!L:L,0)),0)</f>
        <v>0</v>
      </c>
      <c r="L296">
        <f>IFERROR(INDEX(IB_2CAN_E1N003INF1!N:N,MATCH('По платам'!$B296,IB_2CAN_E1N003INF1!L:L,0)),0)</f>
        <v>0</v>
      </c>
    </row>
    <row r="297" spans="2:12">
      <c r="B297" s="3" t="s">
        <v>2134</v>
      </c>
      <c r="C297">
        <f>IFERROR(INDEX('C2B004CPU2'!N:N,MATCH('По платам'!B297,'C2B004CPU2'!L:L,0)),0)</f>
        <v>73</v>
      </c>
      <c r="D297">
        <f>IFERROR(INDEX(SBC_DIO_E1N004INF1!N:N,MATCH('По платам'!$B297,SBC_DIO_E1N004INF1!L:L,0)),0)</f>
        <v>0</v>
      </c>
      <c r="E297">
        <f>IFERROR(INDEX(SBC_35_2C3_1_E1E001CPU1E!N:N,MATCH('По платам'!$B297,SBC_35_2C3_1_E1E001CPU1E!L:L,0)),0)</f>
        <v>0</v>
      </c>
      <c r="F297">
        <f>IFERROR(INDEX(PCIe104_PSU_E1N001PWR1!N:N,MATCH('По платам'!$B297,PCIe104_PSU_E1N001PWR1!L:L,0)),0)</f>
        <v>0</v>
      </c>
      <c r="G297">
        <f>IFERROR(INDEX(PCIe104_INF2_E1N006INF1!N:N,MATCH('По платам'!$B297,PCIe104_INF2_E1N006INF1!L:L,0)),0)</f>
        <v>0</v>
      </c>
      <c r="H297">
        <f>IFERROR(INDEX(PCIe104_CON_E1N005INF1!N:N,MATCH('По платам'!$B297,PCIe104_CON_E1N005INF1!L:L,0)),0)</f>
        <v>0</v>
      </c>
      <c r="I297">
        <f>IFERROR(INDEX('EM-PCIE104-CPU_E1E001CPU1E'!N:N,MATCH('По платам'!$B297,'EM-PCIE104-CPU_E1E001CPU1E'!L:L,0)),0)</f>
        <v>0</v>
      </c>
      <c r="J297">
        <f>IFERROR(INDEX(PCIe104_INF_E1N001INF1!N:N,MATCH('По платам'!$B297,PCIe104_INF_E1N001INF1!L:L,0)),0)</f>
        <v>0</v>
      </c>
      <c r="K297">
        <f>IFERROR(INDEX(IB_2RS232_E1N002INF1!N:N,MATCH('По платам'!$B297,IB_2RS232_E1N002INF1!L:L,0)),0)</f>
        <v>0</v>
      </c>
      <c r="L297">
        <f>IFERROR(INDEX(IB_2CAN_E1N003INF1!N:N,MATCH('По платам'!$B297,IB_2CAN_E1N003INF1!L:L,0)),0)</f>
        <v>0</v>
      </c>
    </row>
    <row r="298" spans="2:12">
      <c r="B298" s="3" t="s">
        <v>157</v>
      </c>
      <c r="C298">
        <f>IFERROR(INDEX('C2B004CPU2'!N:N,MATCH('По платам'!B298,'C2B004CPU2'!L:L,0)),0)</f>
        <v>69</v>
      </c>
      <c r="D298">
        <f>IFERROR(INDEX(SBC_DIO_E1N004INF1!N:N,MATCH('По платам'!$B298,SBC_DIO_E1N004INF1!L:L,0)),0)</f>
        <v>0</v>
      </c>
      <c r="E298">
        <f>IFERROR(INDEX(SBC_35_2C3_1_E1E001CPU1E!N:N,MATCH('По платам'!$B298,SBC_35_2C3_1_E1E001CPU1E!L:L,0)),0)</f>
        <v>0</v>
      </c>
      <c r="F298">
        <f>IFERROR(INDEX(PCIe104_PSU_E1N001PWR1!N:N,MATCH('По платам'!$B298,PCIe104_PSU_E1N001PWR1!L:L,0)),0)</f>
        <v>0</v>
      </c>
      <c r="G298">
        <f>IFERROR(INDEX(PCIe104_INF2_E1N006INF1!N:N,MATCH('По платам'!$B298,PCIe104_INF2_E1N006INF1!L:L,0)),0)</f>
        <v>0</v>
      </c>
      <c r="H298">
        <f>IFERROR(INDEX(PCIe104_CON_E1N005INF1!N:N,MATCH('По платам'!$B298,PCIe104_CON_E1N005INF1!L:L,0)),0)</f>
        <v>0</v>
      </c>
      <c r="I298">
        <f>IFERROR(INDEX('EM-PCIE104-CPU_E1E001CPU1E'!N:N,MATCH('По платам'!$B298,'EM-PCIE104-CPU_E1E001CPU1E'!L:L,0)),0)</f>
        <v>0</v>
      </c>
      <c r="J298">
        <f>IFERROR(INDEX(PCIe104_INF_E1N001INF1!N:N,MATCH('По платам'!$B298,PCIe104_INF_E1N001INF1!L:L,0)),0)</f>
        <v>0</v>
      </c>
      <c r="K298">
        <f>IFERROR(INDEX(IB_2RS232_E1N002INF1!N:N,MATCH('По платам'!$B298,IB_2RS232_E1N002INF1!L:L,0)),0)</f>
        <v>1</v>
      </c>
      <c r="L298">
        <f>IFERROR(INDEX(IB_2CAN_E1N003INF1!N:N,MATCH('По платам'!$B298,IB_2CAN_E1N003INF1!L:L,0)),0)</f>
        <v>0</v>
      </c>
    </row>
    <row r="299" spans="2:12">
      <c r="B299" s="3" t="s">
        <v>55</v>
      </c>
      <c r="C299">
        <f>IFERROR(INDEX('C2B004CPU2'!N:N,MATCH('По платам'!B299,'C2B004CPU2'!L:L,0)),0)</f>
        <v>3</v>
      </c>
      <c r="D299">
        <f>IFERROR(INDEX(SBC_DIO_E1N004INF1!N:N,MATCH('По платам'!$B299,SBC_DIO_E1N004INF1!L:L,0)),0)</f>
        <v>0</v>
      </c>
      <c r="E299">
        <f>IFERROR(INDEX(SBC_35_2C3_1_E1E001CPU1E!N:N,MATCH('По платам'!$B299,SBC_35_2C3_1_E1E001CPU1E!L:L,0)),0)</f>
        <v>0</v>
      </c>
      <c r="F299">
        <f>IFERROR(INDEX(PCIe104_PSU_E1N001PWR1!N:N,MATCH('По платам'!$B299,PCIe104_PSU_E1N001PWR1!L:L,0)),0)</f>
        <v>3</v>
      </c>
      <c r="G299">
        <f>IFERROR(INDEX(PCIe104_INF2_E1N006INF1!N:N,MATCH('По платам'!$B299,PCIe104_INF2_E1N006INF1!L:L,0)),0)</f>
        <v>0</v>
      </c>
      <c r="H299">
        <f>IFERROR(INDEX(PCIe104_CON_E1N005INF1!N:N,MATCH('По платам'!$B299,PCIe104_CON_E1N005INF1!L:L,0)),0)</f>
        <v>0</v>
      </c>
      <c r="I299">
        <f>IFERROR(INDEX('EM-PCIE104-CPU_E1E001CPU1E'!N:N,MATCH('По платам'!$B299,'EM-PCIE104-CPU_E1E001CPU1E'!L:L,0)),0)</f>
        <v>0</v>
      </c>
      <c r="J299">
        <f>IFERROR(INDEX(PCIe104_INF_E1N001INF1!N:N,MATCH('По платам'!$B299,PCIe104_INF_E1N001INF1!L:L,0)),0)</f>
        <v>0</v>
      </c>
      <c r="K299">
        <f>IFERROR(INDEX(IB_2RS232_E1N002INF1!N:N,MATCH('По платам'!$B299,IB_2RS232_E1N002INF1!L:L,0)),0)</f>
        <v>0</v>
      </c>
      <c r="L299">
        <f>IFERROR(INDEX(IB_2CAN_E1N003INF1!N:N,MATCH('По платам'!$B299,IB_2CAN_E1N003INF1!L:L,0)),0)</f>
        <v>1</v>
      </c>
    </row>
    <row r="300" spans="2:12">
      <c r="B300" s="3" t="s">
        <v>36</v>
      </c>
      <c r="C300">
        <f>IFERROR(INDEX('C2B004CPU2'!N:N,MATCH('По платам'!B300,'C2B004CPU2'!L:L,0)),0)</f>
        <v>15</v>
      </c>
      <c r="D300">
        <f>IFERROR(INDEX(SBC_DIO_E1N004INF1!N:N,MATCH('По платам'!$B300,SBC_DIO_E1N004INF1!L:L,0)),0)</f>
        <v>0</v>
      </c>
      <c r="E300">
        <f>IFERROR(INDEX(SBC_35_2C3_1_E1E001CPU1E!N:N,MATCH('По платам'!$B300,SBC_35_2C3_1_E1E001CPU1E!L:L,0)),0)</f>
        <v>5</v>
      </c>
      <c r="F300">
        <f>IFERROR(INDEX(PCIe104_PSU_E1N001PWR1!N:N,MATCH('По платам'!$B300,PCIe104_PSU_E1N001PWR1!L:L,0)),0)</f>
        <v>10</v>
      </c>
      <c r="G300">
        <f>IFERROR(INDEX(PCIe104_INF2_E1N006INF1!N:N,MATCH('По платам'!$B300,PCIe104_INF2_E1N006INF1!L:L,0)),0)</f>
        <v>0</v>
      </c>
      <c r="H300">
        <f>IFERROR(INDEX(PCIe104_CON_E1N005INF1!N:N,MATCH('По платам'!$B300,PCIe104_CON_E1N005INF1!L:L,0)),0)</f>
        <v>8</v>
      </c>
      <c r="I300">
        <f>IFERROR(INDEX('EM-PCIE104-CPU_E1E001CPU1E'!N:N,MATCH('По платам'!$B300,'EM-PCIE104-CPU_E1E001CPU1E'!L:L,0)),0)</f>
        <v>0</v>
      </c>
      <c r="J300">
        <f>IFERROR(INDEX(PCIe104_INF_E1N001INF1!N:N,MATCH('По платам'!$B300,PCIe104_INF_E1N001INF1!L:L,0)),0)</f>
        <v>0</v>
      </c>
      <c r="K300">
        <f>IFERROR(INDEX(IB_2RS232_E1N002INF1!N:N,MATCH('По платам'!$B300,IB_2RS232_E1N002INF1!L:L,0)),0)</f>
        <v>0</v>
      </c>
      <c r="L300">
        <f>IFERROR(INDEX(IB_2CAN_E1N003INF1!N:N,MATCH('По платам'!$B300,IB_2CAN_E1N003INF1!L:L,0)),0)</f>
        <v>1</v>
      </c>
    </row>
    <row r="301" spans="2:12">
      <c r="B301" s="3" t="s">
        <v>26</v>
      </c>
      <c r="C301">
        <f>IFERROR(INDEX('C2B004CPU2'!N:N,MATCH('По платам'!B301,'C2B004CPU2'!L:L,0)),0)</f>
        <v>232</v>
      </c>
      <c r="D301">
        <f>IFERROR(INDEX(SBC_DIO_E1N004INF1!N:N,MATCH('По платам'!$B301,SBC_DIO_E1N004INF1!L:L,0)),0)</f>
        <v>3</v>
      </c>
      <c r="E301">
        <f>IFERROR(INDEX(SBC_35_2C3_1_E1E001CPU1E!N:N,MATCH('По платам'!$B301,SBC_35_2C3_1_E1E001CPU1E!L:L,0)),0)</f>
        <v>23</v>
      </c>
      <c r="F301">
        <f>IFERROR(INDEX(PCIe104_PSU_E1N001PWR1!N:N,MATCH('По платам'!$B301,PCIe104_PSU_E1N001PWR1!L:L,0)),0)</f>
        <v>37</v>
      </c>
      <c r="G301">
        <f>IFERROR(INDEX(PCIe104_INF2_E1N006INF1!N:N,MATCH('По платам'!$B301,PCIe104_INF2_E1N006INF1!L:L,0)),0)</f>
        <v>4</v>
      </c>
      <c r="H301">
        <f>IFERROR(INDEX(PCIe104_CON_E1N005INF1!N:N,MATCH('По платам'!$B301,PCIe104_CON_E1N005INF1!L:L,0)),0)</f>
        <v>11</v>
      </c>
      <c r="I301">
        <f>IFERROR(INDEX('EM-PCIE104-CPU_E1E001CPU1E'!N:N,MATCH('По платам'!$B301,'EM-PCIE104-CPU_E1E001CPU1E'!L:L,0)),0)</f>
        <v>5</v>
      </c>
      <c r="J301">
        <f>IFERROR(INDEX(PCIe104_INF_E1N001INF1!N:N,MATCH('По платам'!$B301,PCIe104_INF_E1N001INF1!L:L,0)),0)</f>
        <v>5</v>
      </c>
      <c r="K301">
        <f>IFERROR(INDEX(IB_2RS232_E1N002INF1!N:N,MATCH('По платам'!$B301,IB_2RS232_E1N002INF1!L:L,0)),0)</f>
        <v>27</v>
      </c>
      <c r="L301">
        <f>IFERROR(INDEX(IB_2CAN_E1N003INF1!N:N,MATCH('По платам'!$B301,IB_2CAN_E1N003INF1!L:L,0)),0)</f>
        <v>20</v>
      </c>
    </row>
    <row r="302" spans="2:12">
      <c r="B302" s="3" t="s">
        <v>2165</v>
      </c>
      <c r="C302">
        <f>IFERROR(INDEX('C2B004CPU2'!N:N,MATCH('По платам'!B302,'C2B004CPU2'!L:L,0)),0)</f>
        <v>1</v>
      </c>
      <c r="D302">
        <f>IFERROR(INDEX(SBC_DIO_E1N004INF1!N:N,MATCH('По платам'!$B302,SBC_DIO_E1N004INF1!L:L,0)),0)</f>
        <v>0</v>
      </c>
      <c r="E302">
        <f>IFERROR(INDEX(SBC_35_2C3_1_E1E001CPU1E!N:N,MATCH('По платам'!$B302,SBC_35_2C3_1_E1E001CPU1E!L:L,0)),0)</f>
        <v>0</v>
      </c>
      <c r="F302">
        <f>IFERROR(INDEX(PCIe104_PSU_E1N001PWR1!N:N,MATCH('По платам'!$B302,PCIe104_PSU_E1N001PWR1!L:L,0)),0)</f>
        <v>0</v>
      </c>
      <c r="G302">
        <f>IFERROR(INDEX(PCIe104_INF2_E1N006INF1!N:N,MATCH('По платам'!$B302,PCIe104_INF2_E1N006INF1!L:L,0)),0)</f>
        <v>0</v>
      </c>
      <c r="H302">
        <f>IFERROR(INDEX(PCIe104_CON_E1N005INF1!N:N,MATCH('По платам'!$B302,PCIe104_CON_E1N005INF1!L:L,0)),0)</f>
        <v>0</v>
      </c>
      <c r="I302">
        <f>IFERROR(INDEX('EM-PCIE104-CPU_E1E001CPU1E'!N:N,MATCH('По платам'!$B302,'EM-PCIE104-CPU_E1E001CPU1E'!L:L,0)),0)</f>
        <v>0</v>
      </c>
      <c r="J302">
        <f>IFERROR(INDEX(PCIe104_INF_E1N001INF1!N:N,MATCH('По платам'!$B302,PCIe104_INF_E1N001INF1!L:L,0)),0)</f>
        <v>0</v>
      </c>
      <c r="K302">
        <f>IFERROR(INDEX(IB_2RS232_E1N002INF1!N:N,MATCH('По платам'!$B302,IB_2RS232_E1N002INF1!L:L,0)),0)</f>
        <v>0</v>
      </c>
      <c r="L302">
        <f>IFERROR(INDEX(IB_2CAN_E1N003INF1!N:N,MATCH('По платам'!$B302,IB_2CAN_E1N003INF1!L:L,0)),0)</f>
        <v>0</v>
      </c>
    </row>
    <row r="303" spans="2:12">
      <c r="B303" s="3" t="s">
        <v>1549</v>
      </c>
      <c r="C303">
        <f>IFERROR(INDEX('C2B004CPU2'!N:N,MATCH('По платам'!B303,'C2B004CPU2'!L:L,0)),0)</f>
        <v>0</v>
      </c>
      <c r="D303">
        <f>IFERROR(INDEX(SBC_DIO_E1N004INF1!N:N,MATCH('По платам'!$B303,SBC_DIO_E1N004INF1!L:L,0)),0)</f>
        <v>0</v>
      </c>
      <c r="E303">
        <f>IFERROR(INDEX(SBC_35_2C3_1_E1E001CPU1E!N:N,MATCH('По платам'!$B303,SBC_35_2C3_1_E1E001CPU1E!L:L,0)),0)</f>
        <v>1</v>
      </c>
      <c r="F303">
        <f>IFERROR(INDEX(PCIe104_PSU_E1N001PWR1!N:N,MATCH('По платам'!$B303,PCIe104_PSU_E1N001PWR1!L:L,0)),0)</f>
        <v>0</v>
      </c>
      <c r="G303">
        <f>IFERROR(INDEX(PCIe104_INF2_E1N006INF1!N:N,MATCH('По платам'!$B303,PCIe104_INF2_E1N006INF1!L:L,0)),0)</f>
        <v>0</v>
      </c>
      <c r="H303">
        <f>IFERROR(INDEX(PCIe104_CON_E1N005INF1!N:N,MATCH('По платам'!$B303,PCIe104_CON_E1N005INF1!L:L,0)),0)</f>
        <v>0</v>
      </c>
      <c r="I303">
        <f>IFERROR(INDEX('EM-PCIE104-CPU_E1E001CPU1E'!N:N,MATCH('По платам'!$B303,'EM-PCIE104-CPU_E1E001CPU1E'!L:L,0)),0)</f>
        <v>0</v>
      </c>
      <c r="J303">
        <f>IFERROR(INDEX(PCIe104_INF_E1N001INF1!N:N,MATCH('По платам'!$B303,PCIe104_INF_E1N001INF1!L:L,0)),0)</f>
        <v>0</v>
      </c>
      <c r="K303">
        <f>IFERROR(INDEX(IB_2RS232_E1N002INF1!N:N,MATCH('По платам'!$B303,IB_2RS232_E1N002INF1!L:L,0)),0)</f>
        <v>0</v>
      </c>
      <c r="L303">
        <f>IFERROR(INDEX(IB_2CAN_E1N003INF1!N:N,MATCH('По платам'!$B303,IB_2CAN_E1N003INF1!L:L,0)),0)</f>
        <v>0</v>
      </c>
    </row>
    <row r="304" spans="2:12">
      <c r="B304" s="3" t="s">
        <v>147</v>
      </c>
      <c r="C304">
        <f>IFERROR(INDEX('C2B004CPU2'!N:N,MATCH('По платам'!B304,'C2B004CPU2'!L:L,0)),0)</f>
        <v>0</v>
      </c>
      <c r="D304">
        <f>IFERROR(INDEX(SBC_DIO_E1N004INF1!N:N,MATCH('По платам'!$B304,SBC_DIO_E1N004INF1!L:L,0)),0)</f>
        <v>0</v>
      </c>
      <c r="E304">
        <f>IFERROR(INDEX(SBC_35_2C3_1_E1E001CPU1E!N:N,MATCH('По платам'!$B304,SBC_35_2C3_1_E1E001CPU1E!L:L,0)),0)</f>
        <v>9</v>
      </c>
      <c r="F304">
        <f>IFERROR(INDEX(PCIe104_PSU_E1N001PWR1!N:N,MATCH('По платам'!$B304,PCIe104_PSU_E1N001PWR1!L:L,0)),0)</f>
        <v>0</v>
      </c>
      <c r="G304">
        <f>IFERROR(INDEX(PCIe104_INF2_E1N006INF1!N:N,MATCH('По платам'!$B304,PCIe104_INF2_E1N006INF1!L:L,0)),0)</f>
        <v>6</v>
      </c>
      <c r="H304">
        <f>IFERROR(INDEX(PCIe104_CON_E1N005INF1!N:N,MATCH('По платам'!$B304,PCIe104_CON_E1N005INF1!L:L,0)),0)</f>
        <v>0</v>
      </c>
      <c r="I304">
        <f>IFERROR(INDEX('EM-PCIE104-CPU_E1E001CPU1E'!N:N,MATCH('По платам'!$B304,'EM-PCIE104-CPU_E1E001CPU1E'!L:L,0)),0)</f>
        <v>0</v>
      </c>
      <c r="J304">
        <f>IFERROR(INDEX(PCIe104_INF_E1N001INF1!N:N,MATCH('По платам'!$B304,PCIe104_INF_E1N001INF1!L:L,0)),0)</f>
        <v>3</v>
      </c>
      <c r="K304">
        <f>IFERROR(INDEX(IB_2RS232_E1N002INF1!N:N,MATCH('По платам'!$B304,IB_2RS232_E1N002INF1!L:L,0)),0)</f>
        <v>22</v>
      </c>
      <c r="L304">
        <f>IFERROR(INDEX(IB_2CAN_E1N003INF1!N:N,MATCH('По платам'!$B304,IB_2CAN_E1N003INF1!L:L,0)),0)</f>
        <v>0</v>
      </c>
    </row>
    <row r="305" spans="2:12">
      <c r="B305" s="3" t="s">
        <v>2173</v>
      </c>
      <c r="C305">
        <f>IFERROR(INDEX('C2B004CPU2'!N:N,MATCH('По платам'!B305,'C2B004CPU2'!L:L,0)),0)</f>
        <v>3</v>
      </c>
      <c r="D305">
        <f>IFERROR(INDEX(SBC_DIO_E1N004INF1!N:N,MATCH('По платам'!$B305,SBC_DIO_E1N004INF1!L:L,0)),0)</f>
        <v>0</v>
      </c>
      <c r="E305">
        <f>IFERROR(INDEX(SBC_35_2C3_1_E1E001CPU1E!N:N,MATCH('По платам'!$B305,SBC_35_2C3_1_E1E001CPU1E!L:L,0)),0)</f>
        <v>0</v>
      </c>
      <c r="F305">
        <f>IFERROR(INDEX(PCIe104_PSU_E1N001PWR1!N:N,MATCH('По платам'!$B305,PCIe104_PSU_E1N001PWR1!L:L,0)),0)</f>
        <v>0</v>
      </c>
      <c r="G305">
        <f>IFERROR(INDEX(PCIe104_INF2_E1N006INF1!N:N,MATCH('По платам'!$B305,PCIe104_INF2_E1N006INF1!L:L,0)),0)</f>
        <v>0</v>
      </c>
      <c r="H305">
        <f>IFERROR(INDEX(PCIe104_CON_E1N005INF1!N:N,MATCH('По платам'!$B305,PCIe104_CON_E1N005INF1!L:L,0)),0)</f>
        <v>0</v>
      </c>
      <c r="I305">
        <f>IFERROR(INDEX('EM-PCIE104-CPU_E1E001CPU1E'!N:N,MATCH('По платам'!$B305,'EM-PCIE104-CPU_E1E001CPU1E'!L:L,0)),0)</f>
        <v>0</v>
      </c>
      <c r="J305">
        <f>IFERROR(INDEX(PCIe104_INF_E1N001INF1!N:N,MATCH('По платам'!$B305,PCIe104_INF_E1N001INF1!L:L,0)),0)</f>
        <v>0</v>
      </c>
      <c r="K305">
        <f>IFERROR(INDEX(IB_2RS232_E1N002INF1!N:N,MATCH('По платам'!$B305,IB_2RS232_E1N002INF1!L:L,0)),0)</f>
        <v>0</v>
      </c>
      <c r="L305">
        <f>IFERROR(INDEX(IB_2CAN_E1N003INF1!N:N,MATCH('По платам'!$B305,IB_2CAN_E1N003INF1!L:L,0)),0)</f>
        <v>0</v>
      </c>
    </row>
    <row r="306" spans="2:12">
      <c r="B306" s="3" t="s">
        <v>2153</v>
      </c>
      <c r="C306">
        <f>IFERROR(INDEX('C2B004CPU2'!N:N,MATCH('По платам'!B306,'C2B004CPU2'!L:L,0)),0)</f>
        <v>1</v>
      </c>
      <c r="D306">
        <f>IFERROR(INDEX(SBC_DIO_E1N004INF1!N:N,MATCH('По платам'!$B306,SBC_DIO_E1N004INF1!L:L,0)),0)</f>
        <v>0</v>
      </c>
      <c r="E306">
        <f>IFERROR(INDEX(SBC_35_2C3_1_E1E001CPU1E!N:N,MATCH('По платам'!$B306,SBC_35_2C3_1_E1E001CPU1E!L:L,0)),0)</f>
        <v>0</v>
      </c>
      <c r="F306">
        <f>IFERROR(INDEX(PCIe104_PSU_E1N001PWR1!N:N,MATCH('По платам'!$B306,PCIe104_PSU_E1N001PWR1!L:L,0)),0)</f>
        <v>0</v>
      </c>
      <c r="G306">
        <f>IFERROR(INDEX(PCIe104_INF2_E1N006INF1!N:N,MATCH('По платам'!$B306,PCIe104_INF2_E1N006INF1!L:L,0)),0)</f>
        <v>0</v>
      </c>
      <c r="H306">
        <f>IFERROR(INDEX(PCIe104_CON_E1N005INF1!N:N,MATCH('По платам'!$B306,PCIe104_CON_E1N005INF1!L:L,0)),0)</f>
        <v>0</v>
      </c>
      <c r="I306">
        <f>IFERROR(INDEX('EM-PCIE104-CPU_E1E001CPU1E'!N:N,MATCH('По платам'!$B306,'EM-PCIE104-CPU_E1E001CPU1E'!L:L,0)),0)</f>
        <v>0</v>
      </c>
      <c r="J306">
        <f>IFERROR(INDEX(PCIe104_INF_E1N001INF1!N:N,MATCH('По платам'!$B306,PCIe104_INF_E1N001INF1!L:L,0)),0)</f>
        <v>0</v>
      </c>
      <c r="K306">
        <f>IFERROR(INDEX(IB_2RS232_E1N002INF1!N:N,MATCH('По платам'!$B306,IB_2RS232_E1N002INF1!L:L,0)),0)</f>
        <v>0</v>
      </c>
      <c r="L306">
        <f>IFERROR(INDEX(IB_2CAN_E1N003INF1!N:N,MATCH('По платам'!$B306,IB_2CAN_E1N003INF1!L:L,0)),0)</f>
        <v>0</v>
      </c>
    </row>
    <row r="307" spans="2:12">
      <c r="B307" s="3" t="s">
        <v>1290</v>
      </c>
      <c r="C307">
        <f>IFERROR(INDEX('C2B004CPU2'!N:N,MATCH('По платам'!B307,'C2B004CPU2'!L:L,0)),0)</f>
        <v>1</v>
      </c>
      <c r="D307">
        <f>IFERROR(INDEX(SBC_DIO_E1N004INF1!N:N,MATCH('По платам'!$B307,SBC_DIO_E1N004INF1!L:L,0)),0)</f>
        <v>0</v>
      </c>
      <c r="E307">
        <f>IFERROR(INDEX(SBC_35_2C3_1_E1E001CPU1E!N:N,MATCH('По платам'!$B307,SBC_35_2C3_1_E1E001CPU1E!L:L,0)),0)</f>
        <v>0</v>
      </c>
      <c r="F307">
        <f>IFERROR(INDEX(PCIe104_PSU_E1N001PWR1!N:N,MATCH('По платам'!$B307,PCIe104_PSU_E1N001PWR1!L:L,0)),0)</f>
        <v>3</v>
      </c>
      <c r="G307">
        <f>IFERROR(INDEX(PCIe104_INF2_E1N006INF1!N:N,MATCH('По платам'!$B307,PCIe104_INF2_E1N006INF1!L:L,0)),0)</f>
        <v>0</v>
      </c>
      <c r="H307">
        <f>IFERROR(INDEX(PCIe104_CON_E1N005INF1!N:N,MATCH('По платам'!$B307,PCIe104_CON_E1N005INF1!L:L,0)),0)</f>
        <v>0</v>
      </c>
      <c r="I307">
        <f>IFERROR(INDEX('EM-PCIE104-CPU_E1E001CPU1E'!N:N,MATCH('По платам'!$B307,'EM-PCIE104-CPU_E1E001CPU1E'!L:L,0)),0)</f>
        <v>0</v>
      </c>
      <c r="J307">
        <f>IFERROR(INDEX(PCIe104_INF_E1N001INF1!N:N,MATCH('По платам'!$B307,PCIe104_INF_E1N001INF1!L:L,0)),0)</f>
        <v>0</v>
      </c>
      <c r="K307">
        <f>IFERROR(INDEX(IB_2RS232_E1N002INF1!N:N,MATCH('По платам'!$B307,IB_2RS232_E1N002INF1!L:L,0)),0)</f>
        <v>0</v>
      </c>
      <c r="L307">
        <f>IFERROR(INDEX(IB_2CAN_E1N003INF1!N:N,MATCH('По платам'!$B307,IB_2CAN_E1N003INF1!L:L,0)),0)</f>
        <v>0</v>
      </c>
    </row>
    <row r="308" spans="2:12">
      <c r="B308" s="3" t="s">
        <v>2177</v>
      </c>
      <c r="C308">
        <f>IFERROR(INDEX('C2B004CPU2'!N:N,MATCH('По платам'!B308,'C2B004CPU2'!L:L,0)),0)</f>
        <v>2</v>
      </c>
      <c r="D308">
        <f>IFERROR(INDEX(SBC_DIO_E1N004INF1!N:N,MATCH('По платам'!$B308,SBC_DIO_E1N004INF1!L:L,0)),0)</f>
        <v>0</v>
      </c>
      <c r="E308">
        <f>IFERROR(INDEX(SBC_35_2C3_1_E1E001CPU1E!N:N,MATCH('По платам'!$B308,SBC_35_2C3_1_E1E001CPU1E!L:L,0)),0)</f>
        <v>0</v>
      </c>
      <c r="F308">
        <f>IFERROR(INDEX(PCIe104_PSU_E1N001PWR1!N:N,MATCH('По платам'!$B308,PCIe104_PSU_E1N001PWR1!L:L,0)),0)</f>
        <v>0</v>
      </c>
      <c r="G308">
        <f>IFERROR(INDEX(PCIe104_INF2_E1N006INF1!N:N,MATCH('По платам'!$B308,PCIe104_INF2_E1N006INF1!L:L,0)),0)</f>
        <v>0</v>
      </c>
      <c r="H308">
        <f>IFERROR(INDEX(PCIe104_CON_E1N005INF1!N:N,MATCH('По платам'!$B308,PCIe104_CON_E1N005INF1!L:L,0)),0)</f>
        <v>0</v>
      </c>
      <c r="I308">
        <f>IFERROR(INDEX('EM-PCIE104-CPU_E1E001CPU1E'!N:N,MATCH('По платам'!$B308,'EM-PCIE104-CPU_E1E001CPU1E'!L:L,0)),0)</f>
        <v>0</v>
      </c>
      <c r="J308">
        <f>IFERROR(INDEX(PCIe104_INF_E1N001INF1!N:N,MATCH('По платам'!$B308,PCIe104_INF_E1N001INF1!L:L,0)),0)</f>
        <v>0</v>
      </c>
      <c r="K308">
        <f>IFERROR(INDEX(IB_2RS232_E1N002INF1!N:N,MATCH('По платам'!$B308,IB_2RS232_E1N002INF1!L:L,0)),0)</f>
        <v>0</v>
      </c>
      <c r="L308">
        <f>IFERROR(INDEX(IB_2CAN_E1N003INF1!N:N,MATCH('По платам'!$B308,IB_2CAN_E1N003INF1!L:L,0)),0)</f>
        <v>0</v>
      </c>
    </row>
    <row r="309" spans="2:12">
      <c r="B309" s="3" t="s">
        <v>2161</v>
      </c>
      <c r="C309">
        <f>IFERROR(INDEX('C2B004CPU2'!N:N,MATCH('По платам'!B309,'C2B004CPU2'!L:L,0)),0)</f>
        <v>1</v>
      </c>
      <c r="D309">
        <f>IFERROR(INDEX(SBC_DIO_E1N004INF1!N:N,MATCH('По платам'!$B309,SBC_DIO_E1N004INF1!L:L,0)),0)</f>
        <v>0</v>
      </c>
      <c r="E309">
        <f>IFERROR(INDEX(SBC_35_2C3_1_E1E001CPU1E!N:N,MATCH('По платам'!$B309,SBC_35_2C3_1_E1E001CPU1E!L:L,0)),0)</f>
        <v>0</v>
      </c>
      <c r="F309">
        <f>IFERROR(INDEX(PCIe104_PSU_E1N001PWR1!N:N,MATCH('По платам'!$B309,PCIe104_PSU_E1N001PWR1!L:L,0)),0)</f>
        <v>0</v>
      </c>
      <c r="G309">
        <f>IFERROR(INDEX(PCIe104_INF2_E1N006INF1!N:N,MATCH('По платам'!$B309,PCIe104_INF2_E1N006INF1!L:L,0)),0)</f>
        <v>0</v>
      </c>
      <c r="H309">
        <f>IFERROR(INDEX(PCIe104_CON_E1N005INF1!N:N,MATCH('По платам'!$B309,PCIe104_CON_E1N005INF1!L:L,0)),0)</f>
        <v>0</v>
      </c>
      <c r="I309">
        <f>IFERROR(INDEX('EM-PCIE104-CPU_E1E001CPU1E'!N:N,MATCH('По платам'!$B309,'EM-PCIE104-CPU_E1E001CPU1E'!L:L,0)),0)</f>
        <v>0</v>
      </c>
      <c r="J309">
        <f>IFERROR(INDEX(PCIe104_INF_E1N001INF1!N:N,MATCH('По платам'!$B309,PCIe104_INF_E1N001INF1!L:L,0)),0)</f>
        <v>0</v>
      </c>
      <c r="K309">
        <f>IFERROR(INDEX(IB_2RS232_E1N002INF1!N:N,MATCH('По платам'!$B309,IB_2RS232_E1N002INF1!L:L,0)),0)</f>
        <v>0</v>
      </c>
      <c r="L309">
        <f>IFERROR(INDEX(IB_2CAN_E1N003INF1!N:N,MATCH('По платам'!$B309,IB_2CAN_E1N003INF1!L:L,0)),0)</f>
        <v>0</v>
      </c>
    </row>
    <row r="310" spans="2:12">
      <c r="B310" s="3" t="s">
        <v>2157</v>
      </c>
      <c r="C310">
        <f>IFERROR(INDEX('C2B004CPU2'!N:N,MATCH('По платам'!B310,'C2B004CPU2'!L:L,0)),0)</f>
        <v>3</v>
      </c>
      <c r="D310">
        <f>IFERROR(INDEX(SBC_DIO_E1N004INF1!N:N,MATCH('По платам'!$B310,SBC_DIO_E1N004INF1!L:L,0)),0)</f>
        <v>0</v>
      </c>
      <c r="E310">
        <f>IFERROR(INDEX(SBC_35_2C3_1_E1E001CPU1E!N:N,MATCH('По платам'!$B310,SBC_35_2C3_1_E1E001CPU1E!L:L,0)),0)</f>
        <v>0</v>
      </c>
      <c r="F310">
        <f>IFERROR(INDEX(PCIe104_PSU_E1N001PWR1!N:N,MATCH('По платам'!$B310,PCIe104_PSU_E1N001PWR1!L:L,0)),0)</f>
        <v>0</v>
      </c>
      <c r="G310">
        <f>IFERROR(INDEX(PCIe104_INF2_E1N006INF1!N:N,MATCH('По платам'!$B310,PCIe104_INF2_E1N006INF1!L:L,0)),0)</f>
        <v>0</v>
      </c>
      <c r="H310">
        <f>IFERROR(INDEX(PCIe104_CON_E1N005INF1!N:N,MATCH('По платам'!$B310,PCIe104_CON_E1N005INF1!L:L,0)),0)</f>
        <v>0</v>
      </c>
      <c r="I310">
        <f>IFERROR(INDEX('EM-PCIE104-CPU_E1E001CPU1E'!N:N,MATCH('По платам'!$B310,'EM-PCIE104-CPU_E1E001CPU1E'!L:L,0)),0)</f>
        <v>0</v>
      </c>
      <c r="J310">
        <f>IFERROR(INDEX(PCIe104_INF_E1N001INF1!N:N,MATCH('По платам'!$B310,PCIe104_INF_E1N001INF1!L:L,0)),0)</f>
        <v>0</v>
      </c>
      <c r="K310">
        <f>IFERROR(INDEX(IB_2RS232_E1N002INF1!N:N,MATCH('По платам'!$B310,IB_2RS232_E1N002INF1!L:L,0)),0)</f>
        <v>0</v>
      </c>
      <c r="L310">
        <f>IFERROR(INDEX(IB_2CAN_E1N003INF1!N:N,MATCH('По платам'!$B310,IB_2CAN_E1N003INF1!L:L,0)),0)</f>
        <v>0</v>
      </c>
    </row>
    <row r="311" spans="2:12">
      <c r="B311" s="3" t="s">
        <v>39</v>
      </c>
      <c r="C311">
        <f>IFERROR(INDEX('C2B004CPU2'!N:N,MATCH('По платам'!B311,'C2B004CPU2'!L:L,0)),0)</f>
        <v>0</v>
      </c>
      <c r="D311">
        <f>IFERROR(INDEX(SBC_DIO_E1N004INF1!N:N,MATCH('По платам'!$B311,SBC_DIO_E1N004INF1!L:L,0)),0)</f>
        <v>0</v>
      </c>
      <c r="E311">
        <f>IFERROR(INDEX(SBC_35_2C3_1_E1E001CPU1E!N:N,MATCH('По платам'!$B311,SBC_35_2C3_1_E1E001CPU1E!L:L,0)),0)</f>
        <v>2</v>
      </c>
      <c r="F311">
        <f>IFERROR(INDEX(PCIe104_PSU_E1N001PWR1!N:N,MATCH('По платам'!$B311,PCIe104_PSU_E1N001PWR1!L:L,0)),0)</f>
        <v>0</v>
      </c>
      <c r="G311">
        <f>IFERROR(INDEX(PCIe104_INF2_E1N006INF1!N:N,MATCH('По платам'!$B311,PCIe104_INF2_E1N006INF1!L:L,0)),0)</f>
        <v>4</v>
      </c>
      <c r="H311">
        <f>IFERROR(INDEX(PCIe104_CON_E1N005INF1!N:N,MATCH('По платам'!$B311,PCIe104_CON_E1N005INF1!L:L,0)),0)</f>
        <v>0</v>
      </c>
      <c r="I311">
        <f>IFERROR(INDEX('EM-PCIE104-CPU_E1E001CPU1E'!N:N,MATCH('По платам'!$B311,'EM-PCIE104-CPU_E1E001CPU1E'!L:L,0)),0)</f>
        <v>2</v>
      </c>
      <c r="J311">
        <f>IFERROR(INDEX(PCIe104_INF_E1N001INF1!N:N,MATCH('По платам'!$B311,PCIe104_INF_E1N001INF1!L:L,0)),0)</f>
        <v>4</v>
      </c>
      <c r="K311">
        <f>IFERROR(INDEX(IB_2RS232_E1N002INF1!N:N,MATCH('По платам'!$B311,IB_2RS232_E1N002INF1!L:L,0)),0)</f>
        <v>2</v>
      </c>
      <c r="L311">
        <f>IFERROR(INDEX(IB_2CAN_E1N003INF1!N:N,MATCH('По платам'!$B311,IB_2CAN_E1N003INF1!L:L,0)),0)</f>
        <v>2</v>
      </c>
    </row>
    <row r="312" spans="2:12">
      <c r="B312" s="3" t="s">
        <v>52</v>
      </c>
      <c r="C312">
        <f>IFERROR(INDEX('C2B004CPU2'!N:N,MATCH('По платам'!B312,'C2B004CPU2'!L:L,0)),0)</f>
        <v>0</v>
      </c>
      <c r="D312">
        <f>IFERROR(INDEX(SBC_DIO_E1N004INF1!N:N,MATCH('По платам'!$B312,SBC_DIO_E1N004INF1!L:L,0)),0)</f>
        <v>0</v>
      </c>
      <c r="E312">
        <f>IFERROR(INDEX(SBC_35_2C3_1_E1E001CPU1E!N:N,MATCH('По платам'!$B312,SBC_35_2C3_1_E1E001CPU1E!L:L,0)),0)</f>
        <v>1</v>
      </c>
      <c r="F312">
        <f>IFERROR(INDEX(PCIe104_PSU_E1N001PWR1!N:N,MATCH('По платам'!$B312,PCIe104_PSU_E1N001PWR1!L:L,0)),0)</f>
        <v>0</v>
      </c>
      <c r="G312">
        <f>IFERROR(INDEX(PCIe104_INF2_E1N006INF1!N:N,MATCH('По платам'!$B312,PCIe104_INF2_E1N006INF1!L:L,0)),0)</f>
        <v>16</v>
      </c>
      <c r="H312">
        <f>IFERROR(INDEX(PCIe104_CON_E1N005INF1!N:N,MATCH('По платам'!$B312,PCIe104_CON_E1N005INF1!L:L,0)),0)</f>
        <v>29</v>
      </c>
      <c r="I312">
        <f>IFERROR(INDEX('EM-PCIE104-CPU_E1E001CPU1E'!N:N,MATCH('По платам'!$B312,'EM-PCIE104-CPU_E1E001CPU1E'!L:L,0)),0)</f>
        <v>0</v>
      </c>
      <c r="J312">
        <f>IFERROR(INDEX(PCIe104_INF_E1N001INF1!N:N,MATCH('По платам'!$B312,PCIe104_INF_E1N001INF1!L:L,0)),0)</f>
        <v>10</v>
      </c>
      <c r="K312">
        <f>IFERROR(INDEX(IB_2RS232_E1N002INF1!N:N,MATCH('По платам'!$B312,IB_2RS232_E1N002INF1!L:L,0)),0)</f>
        <v>8</v>
      </c>
      <c r="L312">
        <f>IFERROR(INDEX(IB_2CAN_E1N003INF1!N:N,MATCH('По платам'!$B312,IB_2CAN_E1N003INF1!L:L,0)),0)</f>
        <v>4</v>
      </c>
    </row>
    <row r="313" spans="2:12">
      <c r="B313" s="3" t="s">
        <v>2148</v>
      </c>
      <c r="C313">
        <f>IFERROR(INDEX('C2B004CPU2'!N:N,MATCH('По платам'!B313,'C2B004CPU2'!L:L,0)),0)</f>
        <v>6</v>
      </c>
      <c r="D313">
        <f>IFERROR(INDEX(SBC_DIO_E1N004INF1!N:N,MATCH('По платам'!$B313,SBC_DIO_E1N004INF1!L:L,0)),0)</f>
        <v>0</v>
      </c>
      <c r="E313">
        <f>IFERROR(INDEX(SBC_35_2C3_1_E1E001CPU1E!N:N,MATCH('По платам'!$B313,SBC_35_2C3_1_E1E001CPU1E!L:L,0)),0)</f>
        <v>0</v>
      </c>
      <c r="F313">
        <f>IFERROR(INDEX(PCIe104_PSU_E1N001PWR1!N:N,MATCH('По платам'!$B313,PCIe104_PSU_E1N001PWR1!L:L,0)),0)</f>
        <v>0</v>
      </c>
      <c r="G313">
        <f>IFERROR(INDEX(PCIe104_INF2_E1N006INF1!N:N,MATCH('По платам'!$B313,PCIe104_INF2_E1N006INF1!L:L,0)),0)</f>
        <v>0</v>
      </c>
      <c r="H313">
        <f>IFERROR(INDEX(PCIe104_CON_E1N005INF1!N:N,MATCH('По платам'!$B313,PCIe104_CON_E1N005INF1!L:L,0)),0)</f>
        <v>0</v>
      </c>
      <c r="I313">
        <f>IFERROR(INDEX('EM-PCIE104-CPU_E1E001CPU1E'!N:N,MATCH('По платам'!$B313,'EM-PCIE104-CPU_E1E001CPU1E'!L:L,0)),0)</f>
        <v>0</v>
      </c>
      <c r="J313">
        <f>IFERROR(INDEX(PCIe104_INF_E1N001INF1!N:N,MATCH('По платам'!$B313,PCIe104_INF_E1N001INF1!L:L,0)),0)</f>
        <v>0</v>
      </c>
      <c r="K313">
        <f>IFERROR(INDEX(IB_2RS232_E1N002INF1!N:N,MATCH('По платам'!$B313,IB_2RS232_E1N002INF1!L:L,0)),0)</f>
        <v>0</v>
      </c>
      <c r="L313">
        <f>IFERROR(INDEX(IB_2CAN_E1N003INF1!N:N,MATCH('По платам'!$B313,IB_2CAN_E1N003INF1!L:L,0)),0)</f>
        <v>0</v>
      </c>
    </row>
    <row r="314" spans="2:12">
      <c r="B314" s="3" t="s">
        <v>1305</v>
      </c>
      <c r="C314">
        <f>IFERROR(INDEX('C2B004CPU2'!N:N,MATCH('По платам'!B314,'C2B004CPU2'!L:L,0)),0)</f>
        <v>0</v>
      </c>
      <c r="D314">
        <f>IFERROR(INDEX(SBC_DIO_E1N004INF1!N:N,MATCH('По платам'!$B314,SBC_DIO_E1N004INF1!L:L,0)),0)</f>
        <v>0</v>
      </c>
      <c r="E314">
        <f>IFERROR(INDEX(SBC_35_2C3_1_E1E001CPU1E!N:N,MATCH('По платам'!$B314,SBC_35_2C3_1_E1E001CPU1E!L:L,0)),0)</f>
        <v>0</v>
      </c>
      <c r="F314">
        <f>IFERROR(INDEX(PCIe104_PSU_E1N001PWR1!N:N,MATCH('По платам'!$B314,PCIe104_PSU_E1N001PWR1!L:L,0)),0)</f>
        <v>1</v>
      </c>
      <c r="G314">
        <f>IFERROR(INDEX(PCIe104_INF2_E1N006INF1!N:N,MATCH('По платам'!$B314,PCIe104_INF2_E1N006INF1!L:L,0)),0)</f>
        <v>0</v>
      </c>
      <c r="H314">
        <f>IFERROR(INDEX(PCIe104_CON_E1N005INF1!N:N,MATCH('По платам'!$B314,PCIe104_CON_E1N005INF1!L:L,0)),0)</f>
        <v>0</v>
      </c>
      <c r="I314">
        <f>IFERROR(INDEX('EM-PCIE104-CPU_E1E001CPU1E'!N:N,MATCH('По платам'!$B314,'EM-PCIE104-CPU_E1E001CPU1E'!L:L,0)),0)</f>
        <v>0</v>
      </c>
      <c r="J314">
        <f>IFERROR(INDEX(PCIe104_INF_E1N001INF1!N:N,MATCH('По платам'!$B314,PCIe104_INF_E1N001INF1!L:L,0)),0)</f>
        <v>0</v>
      </c>
      <c r="K314">
        <f>IFERROR(INDEX(IB_2RS232_E1N002INF1!N:N,MATCH('По платам'!$B314,IB_2RS232_E1N002INF1!L:L,0)),0)</f>
        <v>0</v>
      </c>
      <c r="L314">
        <f>IFERROR(INDEX(IB_2CAN_E1N003INF1!N:N,MATCH('По платам'!$B314,IB_2CAN_E1N003INF1!L:L,0)),0)</f>
        <v>0</v>
      </c>
    </row>
    <row r="315" spans="2:12">
      <c r="B315" s="3" t="s">
        <v>1327</v>
      </c>
      <c r="C315">
        <f>IFERROR(INDEX('C2B004CPU2'!N:N,MATCH('По платам'!B315,'C2B004CPU2'!L:L,0)),0)</f>
        <v>0</v>
      </c>
      <c r="D315">
        <f>IFERROR(INDEX(SBC_DIO_E1N004INF1!N:N,MATCH('По платам'!$B315,SBC_DIO_E1N004INF1!L:L,0)),0)</f>
        <v>0</v>
      </c>
      <c r="E315">
        <f>IFERROR(INDEX(SBC_35_2C3_1_E1E001CPU1E!N:N,MATCH('По платам'!$B315,SBC_35_2C3_1_E1E001CPU1E!L:L,0)),0)</f>
        <v>3</v>
      </c>
      <c r="F315">
        <f>IFERROR(INDEX(PCIe104_PSU_E1N001PWR1!N:N,MATCH('По платам'!$B315,PCIe104_PSU_E1N001PWR1!L:L,0)),0)</f>
        <v>4</v>
      </c>
      <c r="G315">
        <f>IFERROR(INDEX(PCIe104_INF2_E1N006INF1!N:N,MATCH('По платам'!$B315,PCIe104_INF2_E1N006INF1!L:L,0)),0)</f>
        <v>0</v>
      </c>
      <c r="H315">
        <f>IFERROR(INDEX(PCIe104_CON_E1N005INF1!N:N,MATCH('По платам'!$B315,PCIe104_CON_E1N005INF1!L:L,0)),0)</f>
        <v>0</v>
      </c>
      <c r="I315">
        <f>IFERROR(INDEX('EM-PCIE104-CPU_E1E001CPU1E'!N:N,MATCH('По платам'!$B315,'EM-PCIE104-CPU_E1E001CPU1E'!L:L,0)),0)</f>
        <v>0</v>
      </c>
      <c r="J315">
        <f>IFERROR(INDEX(PCIe104_INF_E1N001INF1!N:N,MATCH('По платам'!$B315,PCIe104_INF_E1N001INF1!L:L,0)),0)</f>
        <v>0</v>
      </c>
      <c r="K315">
        <f>IFERROR(INDEX(IB_2RS232_E1N002INF1!N:N,MATCH('По платам'!$B315,IB_2RS232_E1N002INF1!L:L,0)),0)</f>
        <v>0</v>
      </c>
      <c r="L315">
        <f>IFERROR(INDEX(IB_2CAN_E1N003INF1!N:N,MATCH('По платам'!$B315,IB_2CAN_E1N003INF1!L:L,0)),0)</f>
        <v>0</v>
      </c>
    </row>
    <row r="316" spans="2:12">
      <c r="B316" s="3" t="s">
        <v>1109</v>
      </c>
      <c r="C316">
        <f>IFERROR(INDEX('C2B004CPU2'!N:N,MATCH('По платам'!B316,'C2B004CPU2'!L:L,0)),0)</f>
        <v>9</v>
      </c>
      <c r="D316">
        <f>IFERROR(INDEX(SBC_DIO_E1N004INF1!N:N,MATCH('По платам'!$B316,SBC_DIO_E1N004INF1!L:L,0)),0)</f>
        <v>0</v>
      </c>
      <c r="E316">
        <f>IFERROR(INDEX(SBC_35_2C3_1_E1E001CPU1E!N:N,MATCH('По платам'!$B316,SBC_35_2C3_1_E1E001CPU1E!L:L,0)),0)</f>
        <v>0</v>
      </c>
      <c r="F316">
        <f>IFERROR(INDEX(PCIe104_PSU_E1N001PWR1!N:N,MATCH('По платам'!$B316,PCIe104_PSU_E1N001PWR1!L:L,0)),0)</f>
        <v>1</v>
      </c>
      <c r="G316">
        <f>IFERROR(INDEX(PCIe104_INF2_E1N006INF1!N:N,MATCH('По платам'!$B316,PCIe104_INF2_E1N006INF1!L:L,0)),0)</f>
        <v>0</v>
      </c>
      <c r="H316">
        <f>IFERROR(INDEX(PCIe104_CON_E1N005INF1!N:N,MATCH('По платам'!$B316,PCIe104_CON_E1N005INF1!L:L,0)),0)</f>
        <v>4</v>
      </c>
      <c r="I316">
        <f>IFERROR(INDEX('EM-PCIE104-CPU_E1E001CPU1E'!N:N,MATCH('По платам'!$B316,'EM-PCIE104-CPU_E1E001CPU1E'!L:L,0)),0)</f>
        <v>0</v>
      </c>
      <c r="J316">
        <f>IFERROR(INDEX(PCIe104_INF_E1N001INF1!N:N,MATCH('По платам'!$B316,PCIe104_INF_E1N001INF1!L:L,0)),0)</f>
        <v>0</v>
      </c>
      <c r="K316">
        <f>IFERROR(INDEX(IB_2RS232_E1N002INF1!N:N,MATCH('По платам'!$B316,IB_2RS232_E1N002INF1!L:L,0)),0)</f>
        <v>0</v>
      </c>
      <c r="L316">
        <f>IFERROR(INDEX(IB_2CAN_E1N003INF1!N:N,MATCH('По платам'!$B316,IB_2CAN_E1N003INF1!L:L,0)),0)</f>
        <v>0</v>
      </c>
    </row>
    <row r="317" spans="2:12">
      <c r="B317" s="3" t="s">
        <v>307</v>
      </c>
      <c r="C317">
        <f>IFERROR(INDEX('C2B004CPU2'!N:N,MATCH('По платам'!B317,'C2B004CPU2'!L:L,0)),0)</f>
        <v>0</v>
      </c>
      <c r="D317">
        <f>IFERROR(INDEX(SBC_DIO_E1N004INF1!N:N,MATCH('По платам'!$B317,SBC_DIO_E1N004INF1!L:L,0)),0)</f>
        <v>0</v>
      </c>
      <c r="E317">
        <f>IFERROR(INDEX(SBC_35_2C3_1_E1E001CPU1E!N:N,MATCH('По платам'!$B317,SBC_35_2C3_1_E1E001CPU1E!L:L,0)),0)</f>
        <v>22</v>
      </c>
      <c r="F317">
        <f>IFERROR(INDEX(PCIe104_PSU_E1N001PWR1!N:N,MATCH('По платам'!$B317,PCIe104_PSU_E1N001PWR1!L:L,0)),0)</f>
        <v>0</v>
      </c>
      <c r="G317">
        <f>IFERROR(INDEX(PCIe104_INF2_E1N006INF1!N:N,MATCH('По платам'!$B317,PCIe104_INF2_E1N006INF1!L:L,0)),0)</f>
        <v>0</v>
      </c>
      <c r="H317">
        <f>IFERROR(INDEX(PCIe104_CON_E1N005INF1!N:N,MATCH('По платам'!$B317,PCIe104_CON_E1N005INF1!L:L,0)),0)</f>
        <v>0</v>
      </c>
      <c r="I317">
        <f>IFERROR(INDEX('EM-PCIE104-CPU_E1E001CPU1E'!N:N,MATCH('По платам'!$B317,'EM-PCIE104-CPU_E1E001CPU1E'!L:L,0)),0)</f>
        <v>2</v>
      </c>
      <c r="J317">
        <f>IFERROR(INDEX(PCIe104_INF_E1N001INF1!N:N,MATCH('По платам'!$B317,PCIe104_INF_E1N001INF1!L:L,0)),0)</f>
        <v>1</v>
      </c>
      <c r="K317">
        <f>IFERROR(INDEX(IB_2RS232_E1N002INF1!N:N,MATCH('По платам'!$B317,IB_2RS232_E1N002INF1!L:L,0)),0)</f>
        <v>0</v>
      </c>
      <c r="L317">
        <f>IFERROR(INDEX(IB_2CAN_E1N003INF1!N:N,MATCH('По платам'!$B317,IB_2CAN_E1N003INF1!L:L,0)),0)</f>
        <v>0</v>
      </c>
    </row>
    <row r="318" spans="2:12">
      <c r="B318" s="3" t="s">
        <v>42</v>
      </c>
      <c r="C318">
        <f>IFERROR(INDEX('C2B004CPU2'!N:N,MATCH('По платам'!B318,'C2B004CPU2'!L:L,0)),0)</f>
        <v>0</v>
      </c>
      <c r="D318">
        <f>IFERROR(INDEX(SBC_DIO_E1N004INF1!N:N,MATCH('По платам'!$B318,SBC_DIO_E1N004INF1!L:L,0)),0)</f>
        <v>0</v>
      </c>
      <c r="E318">
        <f>IFERROR(INDEX(SBC_35_2C3_1_E1E001CPU1E!N:N,MATCH('По платам'!$B318,SBC_35_2C3_1_E1E001CPU1E!L:L,0)),0)</f>
        <v>1</v>
      </c>
      <c r="F318">
        <f>IFERROR(INDEX(PCIe104_PSU_E1N001PWR1!N:N,MATCH('По платам'!$B318,PCIe104_PSU_E1N001PWR1!L:L,0)),0)</f>
        <v>0</v>
      </c>
      <c r="G318">
        <f>IFERROR(INDEX(PCIe104_INF2_E1N006INF1!N:N,MATCH('По платам'!$B318,PCIe104_INF2_E1N006INF1!L:L,0)),0)</f>
        <v>0</v>
      </c>
      <c r="H318">
        <f>IFERROR(INDEX(PCIe104_CON_E1N005INF1!N:N,MATCH('По платам'!$B318,PCIe104_CON_E1N005INF1!L:L,0)),0)</f>
        <v>0</v>
      </c>
      <c r="I318">
        <f>IFERROR(INDEX('EM-PCIE104-CPU_E1E001CPU1E'!N:N,MATCH('По платам'!$B318,'EM-PCIE104-CPU_E1E001CPU1E'!L:L,0)),0)</f>
        <v>0</v>
      </c>
      <c r="J318">
        <f>IFERROR(INDEX(PCIe104_INF_E1N001INF1!N:N,MATCH('По платам'!$B318,PCIe104_INF_E1N001INF1!L:L,0)),0)</f>
        <v>1</v>
      </c>
      <c r="K318">
        <f>IFERROR(INDEX(IB_2RS232_E1N002INF1!N:N,MATCH('По платам'!$B318,IB_2RS232_E1N002INF1!L:L,0)),0)</f>
        <v>0</v>
      </c>
      <c r="L318">
        <f>IFERROR(INDEX(IB_2CAN_E1N003INF1!N:N,MATCH('По платам'!$B318,IB_2CAN_E1N003INF1!L:L,0)),0)</f>
        <v>1</v>
      </c>
    </row>
    <row r="319" spans="2:12">
      <c r="B319" s="3" t="s">
        <v>2142</v>
      </c>
      <c r="C319">
        <f>IFERROR(INDEX('C2B004CPU2'!N:N,MATCH('По платам'!B319,'C2B004CPU2'!L:L,0)),0)</f>
        <v>3</v>
      </c>
      <c r="D319">
        <f>IFERROR(INDEX(SBC_DIO_E1N004INF1!N:N,MATCH('По платам'!$B319,SBC_DIO_E1N004INF1!L:L,0)),0)</f>
        <v>0</v>
      </c>
      <c r="E319">
        <f>IFERROR(INDEX(SBC_35_2C3_1_E1E001CPU1E!N:N,MATCH('По платам'!$B319,SBC_35_2C3_1_E1E001CPU1E!L:L,0)),0)</f>
        <v>0</v>
      </c>
      <c r="F319">
        <f>IFERROR(INDEX(PCIe104_PSU_E1N001PWR1!N:N,MATCH('По платам'!$B319,PCIe104_PSU_E1N001PWR1!L:L,0)),0)</f>
        <v>0</v>
      </c>
      <c r="G319">
        <f>IFERROR(INDEX(PCIe104_INF2_E1N006INF1!N:N,MATCH('По платам'!$B319,PCIe104_INF2_E1N006INF1!L:L,0)),0)</f>
        <v>0</v>
      </c>
      <c r="H319">
        <f>IFERROR(INDEX(PCIe104_CON_E1N005INF1!N:N,MATCH('По платам'!$B319,PCIe104_CON_E1N005INF1!L:L,0)),0)</f>
        <v>0</v>
      </c>
      <c r="I319">
        <f>IFERROR(INDEX('EM-PCIE104-CPU_E1E001CPU1E'!N:N,MATCH('По платам'!$B319,'EM-PCIE104-CPU_E1E001CPU1E'!L:L,0)),0)</f>
        <v>0</v>
      </c>
      <c r="J319">
        <f>IFERROR(INDEX(PCIe104_INF_E1N001INF1!N:N,MATCH('По платам'!$B319,PCIe104_INF_E1N001INF1!L:L,0)),0)</f>
        <v>0</v>
      </c>
      <c r="K319">
        <f>IFERROR(INDEX(IB_2RS232_E1N002INF1!N:N,MATCH('По платам'!$B319,IB_2RS232_E1N002INF1!L:L,0)),0)</f>
        <v>0</v>
      </c>
      <c r="L319">
        <f>IFERROR(INDEX(IB_2CAN_E1N003INF1!N:N,MATCH('По платам'!$B319,IB_2CAN_E1N003INF1!L:L,0)),0)</f>
        <v>0</v>
      </c>
    </row>
    <row r="320" spans="2:12">
      <c r="B320" s="3" t="s">
        <v>1561</v>
      </c>
      <c r="C320">
        <f>IFERROR(INDEX('C2B004CPU2'!N:N,MATCH('По платам'!B320,'C2B004CPU2'!L:L,0)),0)</f>
        <v>0</v>
      </c>
      <c r="D320">
        <f>IFERROR(INDEX(SBC_DIO_E1N004INF1!N:N,MATCH('По платам'!$B320,SBC_DIO_E1N004INF1!L:L,0)),0)</f>
        <v>0</v>
      </c>
      <c r="E320">
        <f>IFERROR(INDEX(SBC_35_2C3_1_E1E001CPU1E!N:N,MATCH('По платам'!$B320,SBC_35_2C3_1_E1E001CPU1E!L:L,0)),0)</f>
        <v>2</v>
      </c>
      <c r="F320">
        <f>IFERROR(INDEX(PCIe104_PSU_E1N001PWR1!N:N,MATCH('По платам'!$B320,PCIe104_PSU_E1N001PWR1!L:L,0)),0)</f>
        <v>0</v>
      </c>
      <c r="G320">
        <f>IFERROR(INDEX(PCIe104_INF2_E1N006INF1!N:N,MATCH('По платам'!$B320,PCIe104_INF2_E1N006INF1!L:L,0)),0)</f>
        <v>0</v>
      </c>
      <c r="H320">
        <f>IFERROR(INDEX(PCIe104_CON_E1N005INF1!N:N,MATCH('По платам'!$B320,PCIe104_CON_E1N005INF1!L:L,0)),0)</f>
        <v>0</v>
      </c>
      <c r="I320">
        <f>IFERROR(INDEX('EM-PCIE104-CPU_E1E001CPU1E'!N:N,MATCH('По платам'!$B320,'EM-PCIE104-CPU_E1E001CPU1E'!L:L,0)),0)</f>
        <v>0</v>
      </c>
      <c r="J320">
        <f>IFERROR(INDEX(PCIe104_INF_E1N001INF1!N:N,MATCH('По платам'!$B320,PCIe104_INF_E1N001INF1!L:L,0)),0)</f>
        <v>0</v>
      </c>
      <c r="K320">
        <f>IFERROR(INDEX(IB_2RS232_E1N002INF1!N:N,MATCH('По платам'!$B320,IB_2RS232_E1N002INF1!L:L,0)),0)</f>
        <v>0</v>
      </c>
      <c r="L320">
        <f>IFERROR(INDEX(IB_2CAN_E1N003INF1!N:N,MATCH('По платам'!$B320,IB_2CAN_E1N003INF1!L:L,0)),0)</f>
        <v>0</v>
      </c>
    </row>
    <row r="321" spans="2:12">
      <c r="B321" s="3" t="s">
        <v>2096</v>
      </c>
      <c r="C321">
        <f>IFERROR(INDEX('C2B004CPU2'!N:N,MATCH('По платам'!B321,'C2B004CPU2'!L:L,0)),0)</f>
        <v>96</v>
      </c>
      <c r="D321">
        <f>IFERROR(INDEX(SBC_DIO_E1N004INF1!N:N,MATCH('По платам'!$B321,SBC_DIO_E1N004INF1!L:L,0)),0)</f>
        <v>0</v>
      </c>
      <c r="E321">
        <f>IFERROR(INDEX(SBC_35_2C3_1_E1E001CPU1E!N:N,MATCH('По платам'!$B321,SBC_35_2C3_1_E1E001CPU1E!L:L,0)),0)</f>
        <v>0</v>
      </c>
      <c r="F321">
        <f>IFERROR(INDEX(PCIe104_PSU_E1N001PWR1!N:N,MATCH('По платам'!$B321,PCIe104_PSU_E1N001PWR1!L:L,0)),0)</f>
        <v>0</v>
      </c>
      <c r="G321">
        <f>IFERROR(INDEX(PCIe104_INF2_E1N006INF1!N:N,MATCH('По платам'!$B321,PCIe104_INF2_E1N006INF1!L:L,0)),0)</f>
        <v>0</v>
      </c>
      <c r="H321">
        <f>IFERROR(INDEX(PCIe104_CON_E1N005INF1!N:N,MATCH('По платам'!$B321,PCIe104_CON_E1N005INF1!L:L,0)),0)</f>
        <v>0</v>
      </c>
      <c r="I321">
        <f>IFERROR(INDEX('EM-PCIE104-CPU_E1E001CPU1E'!N:N,MATCH('По платам'!$B321,'EM-PCIE104-CPU_E1E001CPU1E'!L:L,0)),0)</f>
        <v>0</v>
      </c>
      <c r="J321">
        <f>IFERROR(INDEX(PCIe104_INF_E1N001INF1!N:N,MATCH('По платам'!$B321,PCIe104_INF_E1N001INF1!L:L,0)),0)</f>
        <v>0</v>
      </c>
      <c r="K321">
        <f>IFERROR(INDEX(IB_2RS232_E1N002INF1!N:N,MATCH('По платам'!$B321,IB_2RS232_E1N002INF1!L:L,0)),0)</f>
        <v>0</v>
      </c>
      <c r="L321">
        <f>IFERROR(INDEX(IB_2CAN_E1N003INF1!N:N,MATCH('По платам'!$B321,IB_2CAN_E1N003INF1!L:L,0)),0)</f>
        <v>0</v>
      </c>
    </row>
    <row r="322" spans="2:12">
      <c r="B322" s="3" t="s">
        <v>45</v>
      </c>
      <c r="C322">
        <f>IFERROR(INDEX('C2B004CPU2'!N:N,MATCH('По платам'!B322,'C2B004CPU2'!L:L,0)),0)</f>
        <v>0</v>
      </c>
      <c r="D322">
        <f>IFERROR(INDEX(SBC_DIO_E1N004INF1!N:N,MATCH('По платам'!$B322,SBC_DIO_E1N004INF1!L:L,0)),0)</f>
        <v>0</v>
      </c>
      <c r="E322">
        <f>IFERROR(INDEX(SBC_35_2C3_1_E1E001CPU1E!N:N,MATCH('По платам'!$B322,SBC_35_2C3_1_E1E001CPU1E!L:L,0)),0)</f>
        <v>1</v>
      </c>
      <c r="F322">
        <f>IFERROR(INDEX(PCIe104_PSU_E1N001PWR1!N:N,MATCH('По платам'!$B322,PCIe104_PSU_E1N001PWR1!L:L,0)),0)</f>
        <v>6</v>
      </c>
      <c r="G322">
        <f>IFERROR(INDEX(PCIe104_INF2_E1N006INF1!N:N,MATCH('По платам'!$B322,PCIe104_INF2_E1N006INF1!L:L,0)),0)</f>
        <v>0</v>
      </c>
      <c r="H322">
        <f>IFERROR(INDEX(PCIe104_CON_E1N005INF1!N:N,MATCH('По платам'!$B322,PCIe104_CON_E1N005INF1!L:L,0)),0)</f>
        <v>0</v>
      </c>
      <c r="I322">
        <f>IFERROR(INDEX('EM-PCIE104-CPU_E1E001CPU1E'!N:N,MATCH('По платам'!$B322,'EM-PCIE104-CPU_E1E001CPU1E'!L:L,0)),0)</f>
        <v>0</v>
      </c>
      <c r="J322">
        <f>IFERROR(INDEX(PCIe104_INF_E1N001INF1!N:N,MATCH('По платам'!$B322,PCIe104_INF_E1N001INF1!L:L,0)),0)</f>
        <v>0</v>
      </c>
      <c r="K322">
        <f>IFERROR(INDEX(IB_2RS232_E1N002INF1!N:N,MATCH('По платам'!$B322,IB_2RS232_E1N002INF1!L:L,0)),0)</f>
        <v>0</v>
      </c>
      <c r="L322">
        <f>IFERROR(INDEX(IB_2CAN_E1N003INF1!N:N,MATCH('По платам'!$B322,IB_2CAN_E1N003INF1!L:L,0)),0)</f>
        <v>2</v>
      </c>
    </row>
    <row r="323" spans="2:12">
      <c r="B323" s="3" t="s">
        <v>1505</v>
      </c>
      <c r="C323">
        <f>IFERROR(INDEX('C2B004CPU2'!N:N,MATCH('По платам'!B323,'C2B004CPU2'!L:L,0)),0)</f>
        <v>0</v>
      </c>
      <c r="D323">
        <f>IFERROR(INDEX(SBC_DIO_E1N004INF1!N:N,MATCH('По платам'!$B323,SBC_DIO_E1N004INF1!L:L,0)),0)</f>
        <v>0</v>
      </c>
      <c r="E323">
        <f>IFERROR(INDEX(SBC_35_2C3_1_E1E001CPU1E!N:N,MATCH('По платам'!$B323,SBC_35_2C3_1_E1E001CPU1E!L:L,0)),0)</f>
        <v>2</v>
      </c>
      <c r="F323">
        <f>IFERROR(INDEX(PCIe104_PSU_E1N001PWR1!N:N,MATCH('По платам'!$B323,PCIe104_PSU_E1N001PWR1!L:L,0)),0)</f>
        <v>0</v>
      </c>
      <c r="G323">
        <f>IFERROR(INDEX(PCIe104_INF2_E1N006INF1!N:N,MATCH('По платам'!$B323,PCIe104_INF2_E1N006INF1!L:L,0)),0)</f>
        <v>0</v>
      </c>
      <c r="H323">
        <f>IFERROR(INDEX(PCIe104_CON_E1N005INF1!N:N,MATCH('По платам'!$B323,PCIe104_CON_E1N005INF1!L:L,0)),0)</f>
        <v>0</v>
      </c>
      <c r="I323">
        <f>IFERROR(INDEX('EM-PCIE104-CPU_E1E001CPU1E'!N:N,MATCH('По платам'!$B323,'EM-PCIE104-CPU_E1E001CPU1E'!L:L,0)),0)</f>
        <v>0</v>
      </c>
      <c r="J323">
        <f>IFERROR(INDEX(PCIe104_INF_E1N001INF1!N:N,MATCH('По платам'!$B323,PCIe104_INF_E1N001INF1!L:L,0)),0)</f>
        <v>0</v>
      </c>
      <c r="K323">
        <f>IFERROR(INDEX(IB_2RS232_E1N002INF1!N:N,MATCH('По платам'!$B323,IB_2RS232_E1N002INF1!L:L,0)),0)</f>
        <v>0</v>
      </c>
      <c r="L323">
        <f>IFERROR(INDEX(IB_2CAN_E1N003INF1!N:N,MATCH('По платам'!$B323,IB_2CAN_E1N003INF1!L:L,0)),0)</f>
        <v>0</v>
      </c>
    </row>
    <row r="324" spans="2:12">
      <c r="B324" s="3" t="s">
        <v>23</v>
      </c>
      <c r="C324">
        <f>IFERROR(INDEX('C2B004CPU2'!N:N,MATCH('По платам'!B324,'C2B004CPU2'!L:L,0)),0)</f>
        <v>0</v>
      </c>
      <c r="D324">
        <f>IFERROR(INDEX(SBC_DIO_E1N004INF1!N:N,MATCH('По платам'!$B324,SBC_DIO_E1N004INF1!L:L,0)),0)</f>
        <v>1</v>
      </c>
      <c r="E324">
        <f>IFERROR(INDEX(SBC_35_2C3_1_E1E001CPU1E!N:N,MATCH('По платам'!$B324,SBC_35_2C3_1_E1E001CPU1E!L:L,0)),0)</f>
        <v>36</v>
      </c>
      <c r="F324">
        <f>IFERROR(INDEX(PCIe104_PSU_E1N001PWR1!N:N,MATCH('По платам'!$B324,PCIe104_PSU_E1N001PWR1!L:L,0)),0)</f>
        <v>3</v>
      </c>
      <c r="G324">
        <f>IFERROR(INDEX(PCIe104_INF2_E1N006INF1!N:N,MATCH('По платам'!$B324,PCIe104_INF2_E1N006INF1!L:L,0)),0)</f>
        <v>20</v>
      </c>
      <c r="H324">
        <f>IFERROR(INDEX(PCIe104_CON_E1N005INF1!N:N,MATCH('По платам'!$B324,PCIe104_CON_E1N005INF1!L:L,0)),0)</f>
        <v>0</v>
      </c>
      <c r="I324">
        <f>IFERROR(INDEX('EM-PCIE104-CPU_E1E001CPU1E'!N:N,MATCH('По платам'!$B324,'EM-PCIE104-CPU_E1E001CPU1E'!L:L,0)),0)</f>
        <v>14</v>
      </c>
      <c r="J324">
        <f>IFERROR(INDEX(PCIe104_INF_E1N001INF1!N:N,MATCH('По платам'!$B324,PCIe104_INF_E1N001INF1!L:L,0)),0)</f>
        <v>17</v>
      </c>
      <c r="K324">
        <f>IFERROR(INDEX(IB_2RS232_E1N002INF1!N:N,MATCH('По платам'!$B324,IB_2RS232_E1N002INF1!L:L,0)),0)</f>
        <v>0</v>
      </c>
      <c r="L324">
        <f>IFERROR(INDEX(IB_2CAN_E1N003INF1!N:N,MATCH('По платам'!$B324,IB_2CAN_E1N003INF1!L:L,0)),0)</f>
        <v>14</v>
      </c>
    </row>
    <row r="325" spans="2:12">
      <c r="B325" s="3" t="s">
        <v>621</v>
      </c>
      <c r="C325">
        <f>IFERROR(INDEX('C2B004CPU2'!N:N,MATCH('По платам'!B325,'C2B004CPU2'!L:L,0)),0)</f>
        <v>0</v>
      </c>
      <c r="D325">
        <f>IFERROR(INDEX(SBC_DIO_E1N004INF1!N:N,MATCH('По платам'!$B325,SBC_DIO_E1N004INF1!L:L,0)),0)</f>
        <v>0</v>
      </c>
      <c r="E325">
        <f>IFERROR(INDEX(SBC_35_2C3_1_E1E001CPU1E!N:N,MATCH('По платам'!$B325,SBC_35_2C3_1_E1E001CPU1E!L:L,0)),0)</f>
        <v>1</v>
      </c>
      <c r="F325">
        <f>IFERROR(INDEX(PCIe104_PSU_E1N001PWR1!N:N,MATCH('По платам'!$B325,PCIe104_PSU_E1N001PWR1!L:L,0)),0)</f>
        <v>0</v>
      </c>
      <c r="G325">
        <f>IFERROR(INDEX(PCIe104_INF2_E1N006INF1!N:N,MATCH('По платам'!$B325,PCIe104_INF2_E1N006INF1!L:L,0)),0)</f>
        <v>0</v>
      </c>
      <c r="H325">
        <f>IFERROR(INDEX(PCIe104_CON_E1N005INF1!N:N,MATCH('По платам'!$B325,PCIe104_CON_E1N005INF1!L:L,0)),0)</f>
        <v>0</v>
      </c>
      <c r="I325">
        <f>IFERROR(INDEX('EM-PCIE104-CPU_E1E001CPU1E'!N:N,MATCH('По платам'!$B325,'EM-PCIE104-CPU_E1E001CPU1E'!L:L,0)),0)</f>
        <v>12</v>
      </c>
      <c r="J325">
        <f>IFERROR(INDEX(PCIe104_INF_E1N001INF1!N:N,MATCH('По платам'!$B325,PCIe104_INF_E1N001INF1!L:L,0)),0)</f>
        <v>0</v>
      </c>
      <c r="K325">
        <f>IFERROR(INDEX(IB_2RS232_E1N002INF1!N:N,MATCH('По платам'!$B325,IB_2RS232_E1N002INF1!L:L,0)),0)</f>
        <v>0</v>
      </c>
      <c r="L325">
        <f>IFERROR(INDEX(IB_2CAN_E1N003INF1!N:N,MATCH('По платам'!$B325,IB_2CAN_E1N003INF1!L:L,0)),0)</f>
        <v>0</v>
      </c>
    </row>
    <row r="326" spans="2:12">
      <c r="B326" s="3" t="s">
        <v>29</v>
      </c>
      <c r="C326">
        <f>IFERROR(INDEX('C2B004CPU2'!N:N,MATCH('По платам'!B326,'C2B004CPU2'!L:L,0)),0)</f>
        <v>0</v>
      </c>
      <c r="D326">
        <f>IFERROR(INDEX(SBC_DIO_E1N004INF1!N:N,MATCH('По платам'!$B326,SBC_DIO_E1N004INF1!L:L,0)),0)</f>
        <v>0</v>
      </c>
      <c r="E326">
        <f>IFERROR(INDEX(SBC_35_2C3_1_E1E001CPU1E!N:N,MATCH('По платам'!$B326,SBC_35_2C3_1_E1E001CPU1E!L:L,0)),0)</f>
        <v>2</v>
      </c>
      <c r="F326">
        <f>IFERROR(INDEX(PCIe104_PSU_E1N001PWR1!N:N,MATCH('По платам'!$B326,PCIe104_PSU_E1N001PWR1!L:L,0)),0)</f>
        <v>0</v>
      </c>
      <c r="G326">
        <f>IFERROR(INDEX(PCIe104_INF2_E1N006INF1!N:N,MATCH('По платам'!$B326,PCIe104_INF2_E1N006INF1!L:L,0)),0)</f>
        <v>0</v>
      </c>
      <c r="H326">
        <f>IFERROR(INDEX(PCIe104_CON_E1N005INF1!N:N,MATCH('По платам'!$B326,PCIe104_CON_E1N005INF1!L:L,0)),0)</f>
        <v>0</v>
      </c>
      <c r="I326">
        <f>IFERROR(INDEX('EM-PCIE104-CPU_E1E001CPU1E'!N:N,MATCH('По платам'!$B326,'EM-PCIE104-CPU_E1E001CPU1E'!L:L,0)),0)</f>
        <v>3</v>
      </c>
      <c r="J326">
        <f>IFERROR(INDEX(PCIe104_INF_E1N001INF1!N:N,MATCH('По платам'!$B326,PCIe104_INF_E1N001INF1!L:L,0)),0)</f>
        <v>0</v>
      </c>
      <c r="K326">
        <f>IFERROR(INDEX(IB_2RS232_E1N002INF1!N:N,MATCH('По платам'!$B326,IB_2RS232_E1N002INF1!L:L,0)),0)</f>
        <v>0</v>
      </c>
      <c r="L326">
        <f>IFERROR(INDEX(IB_2CAN_E1N003INF1!N:N,MATCH('По платам'!$B326,IB_2CAN_E1N003INF1!L:L,0)),0)</f>
        <v>1</v>
      </c>
    </row>
    <row r="327" spans="2:12">
      <c r="B327" s="3" t="s">
        <v>555</v>
      </c>
      <c r="C327">
        <f>IFERROR(INDEX('C2B004CPU2'!N:N,MATCH('По платам'!B327,'C2B004CPU2'!L:L,0)),0)</f>
        <v>0</v>
      </c>
      <c r="D327">
        <f>IFERROR(INDEX(SBC_DIO_E1N004INF1!N:N,MATCH('По платам'!$B327,SBC_DIO_E1N004INF1!L:L,0)),0)</f>
        <v>0</v>
      </c>
      <c r="E327">
        <f>IFERROR(INDEX(SBC_35_2C3_1_E1E001CPU1E!N:N,MATCH('По платам'!$B327,SBC_35_2C3_1_E1E001CPU1E!L:L,0)),0)</f>
        <v>2</v>
      </c>
      <c r="F327">
        <f>IFERROR(INDEX(PCIe104_PSU_E1N001PWR1!N:N,MATCH('По платам'!$B327,PCIe104_PSU_E1N001PWR1!L:L,0)),0)</f>
        <v>0</v>
      </c>
      <c r="G327">
        <f>IFERROR(INDEX(PCIe104_INF2_E1N006INF1!N:N,MATCH('По платам'!$B327,PCIe104_INF2_E1N006INF1!L:L,0)),0)</f>
        <v>0</v>
      </c>
      <c r="H327">
        <f>IFERROR(INDEX(PCIe104_CON_E1N005INF1!N:N,MATCH('По платам'!$B327,PCIe104_CON_E1N005INF1!L:L,0)),0)</f>
        <v>0</v>
      </c>
      <c r="I327">
        <f>IFERROR(INDEX('EM-PCIE104-CPU_E1E001CPU1E'!N:N,MATCH('По платам'!$B327,'EM-PCIE104-CPU_E1E001CPU1E'!L:L,0)),0)</f>
        <v>5</v>
      </c>
      <c r="J327">
        <f>IFERROR(INDEX(PCIe104_INF_E1N001INF1!N:N,MATCH('По платам'!$B327,PCIe104_INF_E1N001INF1!L:L,0)),0)</f>
        <v>0</v>
      </c>
      <c r="K327">
        <f>IFERROR(INDEX(IB_2RS232_E1N002INF1!N:N,MATCH('По платам'!$B327,IB_2RS232_E1N002INF1!L:L,0)),0)</f>
        <v>0</v>
      </c>
      <c r="L327">
        <f>IFERROR(INDEX(IB_2CAN_E1N003INF1!N:N,MATCH('По платам'!$B327,IB_2CAN_E1N003INF1!L:L,0)),0)</f>
        <v>0</v>
      </c>
    </row>
    <row r="328" spans="2:12">
      <c r="B328" s="3" t="s">
        <v>2116</v>
      </c>
      <c r="C328">
        <f>IFERROR(INDEX('C2B004CPU2'!N:N,MATCH('По платам'!B328,'C2B004CPU2'!L:L,0)),0)</f>
        <v>8</v>
      </c>
      <c r="D328">
        <f>IFERROR(INDEX(SBC_DIO_E1N004INF1!N:N,MATCH('По платам'!$B328,SBC_DIO_E1N004INF1!L:L,0)),0)</f>
        <v>0</v>
      </c>
      <c r="E328">
        <f>IFERROR(INDEX(SBC_35_2C3_1_E1E001CPU1E!N:N,MATCH('По платам'!$B328,SBC_35_2C3_1_E1E001CPU1E!L:L,0)),0)</f>
        <v>0</v>
      </c>
      <c r="F328">
        <f>IFERROR(INDEX(PCIe104_PSU_E1N001PWR1!N:N,MATCH('По платам'!$B328,PCIe104_PSU_E1N001PWR1!L:L,0)),0)</f>
        <v>0</v>
      </c>
      <c r="G328">
        <f>IFERROR(INDEX(PCIe104_INF2_E1N006INF1!N:N,MATCH('По платам'!$B328,PCIe104_INF2_E1N006INF1!L:L,0)),0)</f>
        <v>0</v>
      </c>
      <c r="H328">
        <f>IFERROR(INDEX(PCIe104_CON_E1N005INF1!N:N,MATCH('По платам'!$B328,PCIe104_CON_E1N005INF1!L:L,0)),0)</f>
        <v>0</v>
      </c>
      <c r="I328">
        <f>IFERROR(INDEX('EM-PCIE104-CPU_E1E001CPU1E'!N:N,MATCH('По платам'!$B328,'EM-PCIE104-CPU_E1E001CPU1E'!L:L,0)),0)</f>
        <v>0</v>
      </c>
      <c r="J328">
        <f>IFERROR(INDEX(PCIe104_INF_E1N001INF1!N:N,MATCH('По платам'!$B328,PCIe104_INF_E1N001INF1!L:L,0)),0)</f>
        <v>0</v>
      </c>
      <c r="K328">
        <f>IFERROR(INDEX(IB_2RS232_E1N002INF1!N:N,MATCH('По платам'!$B328,IB_2RS232_E1N002INF1!L:L,0)),0)</f>
        <v>0</v>
      </c>
      <c r="L328">
        <f>IFERROR(INDEX(IB_2CAN_E1N003INF1!N:N,MATCH('По платам'!$B328,IB_2CAN_E1N003INF1!L:L,0)),0)</f>
        <v>0</v>
      </c>
    </row>
    <row r="329" spans="2:12">
      <c r="B329" s="3" t="s">
        <v>1314</v>
      </c>
      <c r="C329">
        <f>IFERROR(INDEX('C2B004CPU2'!N:N,MATCH('По платам'!B329,'C2B004CPU2'!L:L,0)),0)</f>
        <v>31</v>
      </c>
      <c r="D329">
        <f>IFERROR(INDEX(SBC_DIO_E1N004INF1!N:N,MATCH('По платам'!$B329,SBC_DIO_E1N004INF1!L:L,0)),0)</f>
        <v>0</v>
      </c>
      <c r="E329">
        <f>IFERROR(INDEX(SBC_35_2C3_1_E1E001CPU1E!N:N,MATCH('По платам'!$B329,SBC_35_2C3_1_E1E001CPU1E!L:L,0)),0)</f>
        <v>28</v>
      </c>
      <c r="F329">
        <f>IFERROR(INDEX(PCIe104_PSU_E1N001PWR1!N:N,MATCH('По платам'!$B329,PCIe104_PSU_E1N001PWR1!L:L,0)),0)</f>
        <v>7</v>
      </c>
      <c r="G329">
        <f>IFERROR(INDEX(PCIe104_INF2_E1N006INF1!N:N,MATCH('По платам'!$B329,PCIe104_INF2_E1N006INF1!L:L,0)),0)</f>
        <v>0</v>
      </c>
      <c r="H329">
        <f>IFERROR(INDEX(PCIe104_CON_E1N005INF1!N:N,MATCH('По платам'!$B329,PCIe104_CON_E1N005INF1!L:L,0)),0)</f>
        <v>0</v>
      </c>
      <c r="I329">
        <f>IFERROR(INDEX('EM-PCIE104-CPU_E1E001CPU1E'!N:N,MATCH('По платам'!$B329,'EM-PCIE104-CPU_E1E001CPU1E'!L:L,0)),0)</f>
        <v>0</v>
      </c>
      <c r="J329">
        <f>IFERROR(INDEX(PCIe104_INF_E1N001INF1!N:N,MATCH('По платам'!$B329,PCIe104_INF_E1N001INF1!L:L,0)),0)</f>
        <v>0</v>
      </c>
      <c r="K329">
        <f>IFERROR(INDEX(IB_2RS232_E1N002INF1!N:N,MATCH('По платам'!$B329,IB_2RS232_E1N002INF1!L:L,0)),0)</f>
        <v>0</v>
      </c>
      <c r="L329">
        <f>IFERROR(INDEX(IB_2CAN_E1N003INF1!N:N,MATCH('По платам'!$B329,IB_2CAN_E1N003INF1!L:L,0)),0)</f>
        <v>0</v>
      </c>
    </row>
    <row r="330" spans="2:12">
      <c r="B330" s="3" t="s">
        <v>1476</v>
      </c>
      <c r="C330">
        <f>IFERROR(INDEX('C2B004CPU2'!N:N,MATCH('По платам'!B330,'C2B004CPU2'!L:L,0)),0)</f>
        <v>0</v>
      </c>
      <c r="D330">
        <f>IFERROR(INDEX(SBC_DIO_E1N004INF1!N:N,MATCH('По платам'!$B330,SBC_DIO_E1N004INF1!L:L,0)),0)</f>
        <v>0</v>
      </c>
      <c r="E330">
        <f>IFERROR(INDEX(SBC_35_2C3_1_E1E001CPU1E!N:N,MATCH('По платам'!$B330,SBC_35_2C3_1_E1E001CPU1E!L:L,0)),0)</f>
        <v>4</v>
      </c>
      <c r="F330">
        <f>IFERROR(INDEX(PCIe104_PSU_E1N001PWR1!N:N,MATCH('По платам'!$B330,PCIe104_PSU_E1N001PWR1!L:L,0)),0)</f>
        <v>0</v>
      </c>
      <c r="G330">
        <f>IFERROR(INDEX(PCIe104_INF2_E1N006INF1!N:N,MATCH('По платам'!$B330,PCIe104_INF2_E1N006INF1!L:L,0)),0)</f>
        <v>0</v>
      </c>
      <c r="H330">
        <f>IFERROR(INDEX(PCIe104_CON_E1N005INF1!N:N,MATCH('По платам'!$B330,PCIe104_CON_E1N005INF1!L:L,0)),0)</f>
        <v>0</v>
      </c>
      <c r="I330">
        <f>IFERROR(INDEX('EM-PCIE104-CPU_E1E001CPU1E'!N:N,MATCH('По платам'!$B330,'EM-PCIE104-CPU_E1E001CPU1E'!L:L,0)),0)</f>
        <v>0</v>
      </c>
      <c r="J330">
        <f>IFERROR(INDEX(PCIe104_INF_E1N001INF1!N:N,MATCH('По платам'!$B330,PCIe104_INF_E1N001INF1!L:L,0)),0)</f>
        <v>0</v>
      </c>
      <c r="K330">
        <f>IFERROR(INDEX(IB_2RS232_E1N002INF1!N:N,MATCH('По платам'!$B330,IB_2RS232_E1N002INF1!L:L,0)),0)</f>
        <v>0</v>
      </c>
      <c r="L330">
        <f>IFERROR(INDEX(IB_2CAN_E1N003INF1!N:N,MATCH('По платам'!$B330,IB_2CAN_E1N003INF1!L:L,0)),0)</f>
        <v>0</v>
      </c>
    </row>
    <row r="331" spans="2:12">
      <c r="B331" s="3" t="s">
        <v>1462</v>
      </c>
      <c r="C331">
        <f>IFERROR(INDEX('C2B004CPU2'!N:N,MATCH('По платам'!B331,'C2B004CPU2'!L:L,0)),0)</f>
        <v>0</v>
      </c>
      <c r="D331">
        <f>IFERROR(INDEX(SBC_DIO_E1N004INF1!N:N,MATCH('По платам'!$B331,SBC_DIO_E1N004INF1!L:L,0)),0)</f>
        <v>0</v>
      </c>
      <c r="E331">
        <f>IFERROR(INDEX(SBC_35_2C3_1_E1E001CPU1E!N:N,MATCH('По платам'!$B331,SBC_35_2C3_1_E1E001CPU1E!L:L,0)),0)</f>
        <v>6</v>
      </c>
      <c r="F331">
        <f>IFERROR(INDEX(PCIe104_PSU_E1N001PWR1!N:N,MATCH('По платам'!$B331,PCIe104_PSU_E1N001PWR1!L:L,0)),0)</f>
        <v>0</v>
      </c>
      <c r="G331">
        <f>IFERROR(INDEX(PCIe104_INF2_E1N006INF1!N:N,MATCH('По платам'!$B331,PCIe104_INF2_E1N006INF1!L:L,0)),0)</f>
        <v>0</v>
      </c>
      <c r="H331">
        <f>IFERROR(INDEX(PCIe104_CON_E1N005INF1!N:N,MATCH('По платам'!$B331,PCIe104_CON_E1N005INF1!L:L,0)),0)</f>
        <v>0</v>
      </c>
      <c r="I331">
        <f>IFERROR(INDEX('EM-PCIE104-CPU_E1E001CPU1E'!N:N,MATCH('По платам'!$B331,'EM-PCIE104-CPU_E1E001CPU1E'!L:L,0)),0)</f>
        <v>0</v>
      </c>
      <c r="J331">
        <f>IFERROR(INDEX(PCIe104_INF_E1N001INF1!N:N,MATCH('По платам'!$B331,PCIe104_INF_E1N001INF1!L:L,0)),0)</f>
        <v>0</v>
      </c>
      <c r="K331">
        <f>IFERROR(INDEX(IB_2RS232_E1N002INF1!N:N,MATCH('По платам'!$B331,IB_2RS232_E1N002INF1!L:L,0)),0)</f>
        <v>0</v>
      </c>
      <c r="L331">
        <f>IFERROR(INDEX(IB_2CAN_E1N003INF1!N:N,MATCH('По платам'!$B331,IB_2CAN_E1N003INF1!L:L,0)),0)</f>
        <v>0</v>
      </c>
    </row>
    <row r="332" spans="2:12">
      <c r="B332" s="3" t="s">
        <v>649</v>
      </c>
      <c r="C332">
        <f>IFERROR(INDEX('C2B004CPU2'!N:N,MATCH('По платам'!B332,'C2B004CPU2'!L:L,0)),0)</f>
        <v>0</v>
      </c>
      <c r="D332">
        <f>IFERROR(INDEX(SBC_DIO_E1N004INF1!N:N,MATCH('По платам'!$B332,SBC_DIO_E1N004INF1!L:L,0)),0)</f>
        <v>0</v>
      </c>
      <c r="E332">
        <f>IFERROR(INDEX(SBC_35_2C3_1_E1E001CPU1E!N:N,MATCH('По платам'!$B332,SBC_35_2C3_1_E1E001CPU1E!L:L,0)),0)</f>
        <v>0</v>
      </c>
      <c r="F332">
        <f>IFERROR(INDEX(PCIe104_PSU_E1N001PWR1!N:N,MATCH('По платам'!$B332,PCIe104_PSU_E1N001PWR1!L:L,0)),0)</f>
        <v>0</v>
      </c>
      <c r="G332">
        <f>IFERROR(INDEX(PCIe104_INF2_E1N006INF1!N:N,MATCH('По платам'!$B332,PCIe104_INF2_E1N006INF1!L:L,0)),0)</f>
        <v>0</v>
      </c>
      <c r="H332">
        <f>IFERROR(INDEX(PCIe104_CON_E1N005INF1!N:N,MATCH('По платам'!$B332,PCIe104_CON_E1N005INF1!L:L,0)),0)</f>
        <v>0</v>
      </c>
      <c r="I332">
        <f>IFERROR(INDEX('EM-PCIE104-CPU_E1E001CPU1E'!N:N,MATCH('По платам'!$B332,'EM-PCIE104-CPU_E1E001CPU1E'!L:L,0)),0)</f>
        <v>10</v>
      </c>
      <c r="J332">
        <f>IFERROR(INDEX(PCIe104_INF_E1N001INF1!N:N,MATCH('По платам'!$B332,PCIe104_INF_E1N001INF1!L:L,0)),0)</f>
        <v>0</v>
      </c>
      <c r="K332">
        <f>IFERROR(INDEX(IB_2RS232_E1N002INF1!N:N,MATCH('По платам'!$B332,IB_2RS232_E1N002INF1!L:L,0)),0)</f>
        <v>0</v>
      </c>
      <c r="L332">
        <f>IFERROR(INDEX(IB_2CAN_E1N003INF1!N:N,MATCH('По платам'!$B332,IB_2CAN_E1N003INF1!L:L,0)),0)</f>
        <v>0</v>
      </c>
    </row>
    <row r="333" spans="2:12">
      <c r="B333" s="3" t="s">
        <v>528</v>
      </c>
      <c r="C333">
        <f>IFERROR(INDEX('C2B004CPU2'!N:N,MATCH('По платам'!B333,'C2B004CPU2'!L:L,0)),0)</f>
        <v>0</v>
      </c>
      <c r="D333">
        <f>IFERROR(INDEX(SBC_DIO_E1N004INF1!N:N,MATCH('По платам'!$B333,SBC_DIO_E1N004INF1!L:L,0)),0)</f>
        <v>0</v>
      </c>
      <c r="E333">
        <f>IFERROR(INDEX(SBC_35_2C3_1_E1E001CPU1E!N:N,MATCH('По платам'!$B333,SBC_35_2C3_1_E1E001CPU1E!L:L,0)),0)</f>
        <v>0</v>
      </c>
      <c r="F333">
        <f>IFERROR(INDEX(PCIe104_PSU_E1N001PWR1!N:N,MATCH('По платам'!$B333,PCIe104_PSU_E1N001PWR1!L:L,0)),0)</f>
        <v>0</v>
      </c>
      <c r="G333">
        <f>IFERROR(INDEX(PCIe104_INF2_E1N006INF1!N:N,MATCH('По платам'!$B333,PCIe104_INF2_E1N006INF1!L:L,0)),0)</f>
        <v>1</v>
      </c>
      <c r="H333">
        <f>IFERROR(INDEX(PCIe104_CON_E1N005INF1!N:N,MATCH('По платам'!$B333,PCIe104_CON_E1N005INF1!L:L,0)),0)</f>
        <v>0</v>
      </c>
      <c r="I333">
        <f>IFERROR(INDEX('EM-PCIE104-CPU_E1E001CPU1E'!N:N,MATCH('По платам'!$B333,'EM-PCIE104-CPU_E1E001CPU1E'!L:L,0)),0)</f>
        <v>1</v>
      </c>
      <c r="J333">
        <f>IFERROR(INDEX(PCIe104_INF_E1N001INF1!N:N,MATCH('По платам'!$B333,PCIe104_INF_E1N001INF1!L:L,0)),0)</f>
        <v>1</v>
      </c>
      <c r="K333">
        <f>IFERROR(INDEX(IB_2RS232_E1N002INF1!N:N,MATCH('По платам'!$B333,IB_2RS232_E1N002INF1!L:L,0)),0)</f>
        <v>0</v>
      </c>
      <c r="L333">
        <f>IFERROR(INDEX(IB_2CAN_E1N003INF1!N:N,MATCH('По платам'!$B333,IB_2CAN_E1N003INF1!L:L,0)),0)</f>
        <v>0</v>
      </c>
    </row>
    <row r="334" spans="2:12">
      <c r="B334" s="3" t="s">
        <v>534</v>
      </c>
      <c r="C334">
        <f>IFERROR(INDEX('C2B004CPU2'!N:N,MATCH('По платам'!B334,'C2B004CPU2'!L:L,0)),0)</f>
        <v>0</v>
      </c>
      <c r="D334">
        <f>IFERROR(INDEX(SBC_DIO_E1N004INF1!N:N,MATCH('По платам'!$B334,SBC_DIO_E1N004INF1!L:L,0)),0)</f>
        <v>0</v>
      </c>
      <c r="E334">
        <f>IFERROR(INDEX(SBC_35_2C3_1_E1E001CPU1E!N:N,MATCH('По платам'!$B334,SBC_35_2C3_1_E1E001CPU1E!L:L,0)),0)</f>
        <v>0</v>
      </c>
      <c r="F334">
        <f>IFERROR(INDEX(PCIe104_PSU_E1N001PWR1!N:N,MATCH('По платам'!$B334,PCIe104_PSU_E1N001PWR1!L:L,0)),0)</f>
        <v>1</v>
      </c>
      <c r="G334">
        <f>IFERROR(INDEX(PCIe104_INF2_E1N006INF1!N:N,MATCH('По платам'!$B334,PCIe104_INF2_E1N006INF1!L:L,0)),0)</f>
        <v>1</v>
      </c>
      <c r="H334">
        <f>IFERROR(INDEX(PCIe104_CON_E1N005INF1!N:N,MATCH('По платам'!$B334,PCIe104_CON_E1N005INF1!L:L,0)),0)</f>
        <v>0</v>
      </c>
      <c r="I334">
        <f>IFERROR(INDEX('EM-PCIE104-CPU_E1E001CPU1E'!N:N,MATCH('По платам'!$B334,'EM-PCIE104-CPU_E1E001CPU1E'!L:L,0)),0)</f>
        <v>1</v>
      </c>
      <c r="J334">
        <f>IFERROR(INDEX(PCIe104_INF_E1N001INF1!N:N,MATCH('По платам'!$B334,PCIe104_INF_E1N001INF1!L:L,0)),0)</f>
        <v>1</v>
      </c>
      <c r="K334">
        <f>IFERROR(INDEX(IB_2RS232_E1N002INF1!N:N,MATCH('По платам'!$B334,IB_2RS232_E1N002INF1!L:L,0)),0)</f>
        <v>0</v>
      </c>
      <c r="L334">
        <f>IFERROR(INDEX(IB_2CAN_E1N003INF1!N:N,MATCH('По платам'!$B334,IB_2CAN_E1N003INF1!L:L,0)),0)</f>
        <v>0</v>
      </c>
    </row>
    <row r="335" spans="2:12">
      <c r="B335" s="3" t="s">
        <v>1493</v>
      </c>
      <c r="C335">
        <f>IFERROR(INDEX('C2B004CPU2'!N:N,MATCH('По платам'!B335,'C2B004CPU2'!L:L,0)),0)</f>
        <v>0</v>
      </c>
      <c r="D335">
        <f>IFERROR(INDEX(SBC_DIO_E1N004INF1!N:N,MATCH('По платам'!$B335,SBC_DIO_E1N004INF1!L:L,0)),0)</f>
        <v>0</v>
      </c>
      <c r="E335">
        <f>IFERROR(INDEX(SBC_35_2C3_1_E1E001CPU1E!N:N,MATCH('По платам'!$B335,SBC_35_2C3_1_E1E001CPU1E!L:L,0)),0)</f>
        <v>6</v>
      </c>
      <c r="F335">
        <f>IFERROR(INDEX(PCIe104_PSU_E1N001PWR1!N:N,MATCH('По платам'!$B335,PCIe104_PSU_E1N001PWR1!L:L,0)),0)</f>
        <v>0</v>
      </c>
      <c r="G335">
        <f>IFERROR(INDEX(PCIe104_INF2_E1N006INF1!N:N,MATCH('По платам'!$B335,PCIe104_INF2_E1N006INF1!L:L,0)),0)</f>
        <v>0</v>
      </c>
      <c r="H335">
        <f>IFERROR(INDEX(PCIe104_CON_E1N005INF1!N:N,MATCH('По платам'!$B335,PCIe104_CON_E1N005INF1!L:L,0)),0)</f>
        <v>0</v>
      </c>
      <c r="I335">
        <f>IFERROR(INDEX('EM-PCIE104-CPU_E1E001CPU1E'!N:N,MATCH('По платам'!$B335,'EM-PCIE104-CPU_E1E001CPU1E'!L:L,0)),0)</f>
        <v>0</v>
      </c>
      <c r="J335">
        <f>IFERROR(INDEX(PCIe104_INF_E1N001INF1!N:N,MATCH('По платам'!$B335,PCIe104_INF_E1N001INF1!L:L,0)),0)</f>
        <v>0</v>
      </c>
      <c r="K335">
        <f>IFERROR(INDEX(IB_2RS232_E1N002INF1!N:N,MATCH('По платам'!$B335,IB_2RS232_E1N002INF1!L:L,0)),0)</f>
        <v>0</v>
      </c>
      <c r="L335">
        <f>IFERROR(INDEX(IB_2CAN_E1N003INF1!N:N,MATCH('По платам'!$B335,IB_2CAN_E1N003INF1!L:L,0)),0)</f>
        <v>0</v>
      </c>
    </row>
    <row r="336" spans="2:12">
      <c r="B336" s="3" t="s">
        <v>2314</v>
      </c>
      <c r="C336">
        <f>IFERROR(INDEX('C2B004CPU2'!N:N,MATCH('По платам'!B336,'C2B004CPU2'!L:L,0)),0)</f>
        <v>1</v>
      </c>
      <c r="D336">
        <f>IFERROR(INDEX(SBC_DIO_E1N004INF1!N:N,MATCH('По платам'!$B336,SBC_DIO_E1N004INF1!L:L,0)),0)</f>
        <v>0</v>
      </c>
      <c r="E336">
        <f>IFERROR(INDEX(SBC_35_2C3_1_E1E001CPU1E!N:N,MATCH('По платам'!$B336,SBC_35_2C3_1_E1E001CPU1E!L:L,0)),0)</f>
        <v>0</v>
      </c>
      <c r="F336">
        <f>IFERROR(INDEX(PCIe104_PSU_E1N001PWR1!N:N,MATCH('По платам'!$B336,PCIe104_PSU_E1N001PWR1!L:L,0)),0)</f>
        <v>0</v>
      </c>
      <c r="G336">
        <f>IFERROR(INDEX(PCIe104_INF2_E1N006INF1!N:N,MATCH('По платам'!$B336,PCIe104_INF2_E1N006INF1!L:L,0)),0)</f>
        <v>0</v>
      </c>
      <c r="H336">
        <f>IFERROR(INDEX(PCIe104_CON_E1N005INF1!N:N,MATCH('По платам'!$B336,PCIe104_CON_E1N005INF1!L:L,0)),0)</f>
        <v>0</v>
      </c>
      <c r="I336">
        <f>IFERROR(INDEX('EM-PCIE104-CPU_E1E001CPU1E'!N:N,MATCH('По платам'!$B336,'EM-PCIE104-CPU_E1E001CPU1E'!L:L,0)),0)</f>
        <v>0</v>
      </c>
      <c r="J336">
        <f>IFERROR(INDEX(PCIe104_INF_E1N001INF1!N:N,MATCH('По платам'!$B336,PCIe104_INF_E1N001INF1!L:L,0)),0)</f>
        <v>0</v>
      </c>
      <c r="K336">
        <f>IFERROR(INDEX(IB_2RS232_E1N002INF1!N:N,MATCH('По платам'!$B336,IB_2RS232_E1N002INF1!L:L,0)),0)</f>
        <v>0</v>
      </c>
      <c r="L336">
        <f>IFERROR(INDEX(IB_2CAN_E1N003INF1!N:N,MATCH('По платам'!$B336,IB_2CAN_E1N003INF1!L:L,0)),0)</f>
        <v>0</v>
      </c>
    </row>
    <row r="337" spans="2:12">
      <c r="B337" s="3" t="s">
        <v>1670</v>
      </c>
      <c r="C337">
        <f>IFERROR(INDEX('C2B004CPU2'!N:N,MATCH('По платам'!B337,'C2B004CPU2'!L:L,0)),0)</f>
        <v>0</v>
      </c>
      <c r="D337">
        <f>IFERROR(INDEX(SBC_DIO_E1N004INF1!N:N,MATCH('По платам'!$B337,SBC_DIO_E1N004INF1!L:L,0)),0)</f>
        <v>0</v>
      </c>
      <c r="E337">
        <f>IFERROR(INDEX(SBC_35_2C3_1_E1E001CPU1E!N:N,MATCH('По платам'!$B337,SBC_35_2C3_1_E1E001CPU1E!L:L,0)),0)</f>
        <v>1</v>
      </c>
      <c r="F337">
        <f>IFERROR(INDEX(PCIe104_PSU_E1N001PWR1!N:N,MATCH('По платам'!$B337,PCIe104_PSU_E1N001PWR1!L:L,0)),0)</f>
        <v>0</v>
      </c>
      <c r="G337">
        <f>IFERROR(INDEX(PCIe104_INF2_E1N006INF1!N:N,MATCH('По платам'!$B337,PCIe104_INF2_E1N006INF1!L:L,0)),0)</f>
        <v>0</v>
      </c>
      <c r="H337">
        <f>IFERROR(INDEX(PCIe104_CON_E1N005INF1!N:N,MATCH('По платам'!$B337,PCIe104_CON_E1N005INF1!L:L,0)),0)</f>
        <v>0</v>
      </c>
      <c r="I337">
        <f>IFERROR(INDEX('EM-PCIE104-CPU_E1E001CPU1E'!N:N,MATCH('По платам'!$B337,'EM-PCIE104-CPU_E1E001CPU1E'!L:L,0)),0)</f>
        <v>0</v>
      </c>
      <c r="J337">
        <f>IFERROR(INDEX(PCIe104_INF_E1N001INF1!N:N,MATCH('По платам'!$B337,PCIe104_INF_E1N001INF1!L:L,0)),0)</f>
        <v>0</v>
      </c>
      <c r="K337">
        <f>IFERROR(INDEX(IB_2RS232_E1N002INF1!N:N,MATCH('По платам'!$B337,IB_2RS232_E1N002INF1!L:L,0)),0)</f>
        <v>0</v>
      </c>
      <c r="L337">
        <f>IFERROR(INDEX(IB_2CAN_E1N003INF1!N:N,MATCH('По платам'!$B337,IB_2CAN_E1N003INF1!L:L,0)),0)</f>
        <v>0</v>
      </c>
    </row>
    <row r="338" spans="2:12">
      <c r="B338" s="3" t="s">
        <v>690</v>
      </c>
      <c r="C338">
        <f>IFERROR(INDEX('C2B004CPU2'!N:N,MATCH('По платам'!B338,'C2B004CPU2'!L:L,0)),0)</f>
        <v>0</v>
      </c>
      <c r="D338">
        <f>IFERROR(INDEX(SBC_DIO_E1N004INF1!N:N,MATCH('По платам'!$B338,SBC_DIO_E1N004INF1!L:L,0)),0)</f>
        <v>0</v>
      </c>
      <c r="E338">
        <f>IFERROR(INDEX(SBC_35_2C3_1_E1E001CPU1E!N:N,MATCH('По платам'!$B338,SBC_35_2C3_1_E1E001CPU1E!L:L,0)),0)</f>
        <v>1</v>
      </c>
      <c r="F338">
        <f>IFERROR(INDEX(PCIe104_PSU_E1N001PWR1!N:N,MATCH('По платам'!$B338,PCIe104_PSU_E1N001PWR1!L:L,0)),0)</f>
        <v>0</v>
      </c>
      <c r="G338">
        <f>IFERROR(INDEX(PCIe104_INF2_E1N006INF1!N:N,MATCH('По платам'!$B338,PCIe104_INF2_E1N006INF1!L:L,0)),0)</f>
        <v>0</v>
      </c>
      <c r="H338">
        <f>IFERROR(INDEX(PCIe104_CON_E1N005INF1!N:N,MATCH('По платам'!$B338,PCIe104_CON_E1N005INF1!L:L,0)),0)</f>
        <v>0</v>
      </c>
      <c r="I338">
        <f>IFERROR(INDEX('EM-PCIE104-CPU_E1E001CPU1E'!N:N,MATCH('По платам'!$B338,'EM-PCIE104-CPU_E1E001CPU1E'!L:L,0)),0)</f>
        <v>1</v>
      </c>
      <c r="J338">
        <f>IFERROR(INDEX(PCIe104_INF_E1N001INF1!N:N,MATCH('По платам'!$B338,PCIe104_INF_E1N001INF1!L:L,0)),0)</f>
        <v>0</v>
      </c>
      <c r="K338">
        <f>IFERROR(INDEX(IB_2RS232_E1N002INF1!N:N,MATCH('По платам'!$B338,IB_2RS232_E1N002INF1!L:L,0)),0)</f>
        <v>0</v>
      </c>
      <c r="L338">
        <f>IFERROR(INDEX(IB_2CAN_E1N003INF1!N:N,MATCH('По платам'!$B338,IB_2CAN_E1N003INF1!L:L,0)),0)</f>
        <v>0</v>
      </c>
    </row>
    <row r="339" spans="2:12">
      <c r="B339" s="3" t="s">
        <v>2278</v>
      </c>
      <c r="C339">
        <f>IFERROR(INDEX('C2B004CPU2'!N:N,MATCH('По платам'!B339,'C2B004CPU2'!L:L,0)),0)</f>
        <v>1</v>
      </c>
      <c r="D339">
        <f>IFERROR(INDEX(SBC_DIO_E1N004INF1!N:N,MATCH('По платам'!$B339,SBC_DIO_E1N004INF1!L:L,0)),0)</f>
        <v>0</v>
      </c>
      <c r="E339">
        <f>IFERROR(INDEX(SBC_35_2C3_1_E1E001CPU1E!N:N,MATCH('По платам'!$B339,SBC_35_2C3_1_E1E001CPU1E!L:L,0)),0)</f>
        <v>0</v>
      </c>
      <c r="F339">
        <f>IFERROR(INDEX(PCIe104_PSU_E1N001PWR1!N:N,MATCH('По платам'!$B339,PCIe104_PSU_E1N001PWR1!L:L,0)),0)</f>
        <v>0</v>
      </c>
      <c r="G339">
        <f>IFERROR(INDEX(PCIe104_INF2_E1N006INF1!N:N,MATCH('По платам'!$B339,PCIe104_INF2_E1N006INF1!L:L,0)),0)</f>
        <v>0</v>
      </c>
      <c r="H339">
        <f>IFERROR(INDEX(PCIe104_CON_E1N005INF1!N:N,MATCH('По платам'!$B339,PCIe104_CON_E1N005INF1!L:L,0)),0)</f>
        <v>0</v>
      </c>
      <c r="I339">
        <f>IFERROR(INDEX('EM-PCIE104-CPU_E1E001CPU1E'!N:N,MATCH('По платам'!$B339,'EM-PCIE104-CPU_E1E001CPU1E'!L:L,0)),0)</f>
        <v>0</v>
      </c>
      <c r="J339">
        <f>IFERROR(INDEX(PCIe104_INF_E1N001INF1!N:N,MATCH('По платам'!$B339,PCIe104_INF_E1N001INF1!L:L,0)),0)</f>
        <v>0</v>
      </c>
      <c r="K339">
        <f>IFERROR(INDEX(IB_2RS232_E1N002INF1!N:N,MATCH('По платам'!$B339,IB_2RS232_E1N002INF1!L:L,0)),0)</f>
        <v>0</v>
      </c>
      <c r="L339">
        <f>IFERROR(INDEX(IB_2CAN_E1N003INF1!N:N,MATCH('По платам'!$B339,IB_2CAN_E1N003INF1!L:L,0)),0)</f>
        <v>0</v>
      </c>
    </row>
    <row r="340" spans="2:12">
      <c r="B340" s="3" t="s">
        <v>2266</v>
      </c>
      <c r="C340">
        <f>IFERROR(INDEX('C2B004CPU2'!N:N,MATCH('По платам'!B340,'C2B004CPU2'!L:L,0)),0)</f>
        <v>4</v>
      </c>
      <c r="D340">
        <f>IFERROR(INDEX(SBC_DIO_E1N004INF1!N:N,MATCH('По платам'!$B340,SBC_DIO_E1N004INF1!L:L,0)),0)</f>
        <v>0</v>
      </c>
      <c r="E340">
        <f>IFERROR(INDEX(SBC_35_2C3_1_E1E001CPU1E!N:N,MATCH('По платам'!$B340,SBC_35_2C3_1_E1E001CPU1E!L:L,0)),0)</f>
        <v>0</v>
      </c>
      <c r="F340">
        <f>IFERROR(INDEX(PCIe104_PSU_E1N001PWR1!N:N,MATCH('По платам'!$B340,PCIe104_PSU_E1N001PWR1!L:L,0)),0)</f>
        <v>0</v>
      </c>
      <c r="G340">
        <f>IFERROR(INDEX(PCIe104_INF2_E1N006INF1!N:N,MATCH('По платам'!$B340,PCIe104_INF2_E1N006INF1!L:L,0)),0)</f>
        <v>0</v>
      </c>
      <c r="H340">
        <f>IFERROR(INDEX(PCIe104_CON_E1N005INF1!N:N,MATCH('По платам'!$B340,PCIe104_CON_E1N005INF1!L:L,0)),0)</f>
        <v>0</v>
      </c>
      <c r="I340">
        <f>IFERROR(INDEX('EM-PCIE104-CPU_E1E001CPU1E'!N:N,MATCH('По платам'!$B340,'EM-PCIE104-CPU_E1E001CPU1E'!L:L,0)),0)</f>
        <v>0</v>
      </c>
      <c r="J340">
        <f>IFERROR(INDEX(PCIe104_INF_E1N001INF1!N:N,MATCH('По платам'!$B340,PCIe104_INF_E1N001INF1!L:L,0)),0)</f>
        <v>0</v>
      </c>
      <c r="K340">
        <f>IFERROR(INDEX(IB_2RS232_E1N002INF1!N:N,MATCH('По платам'!$B340,IB_2RS232_E1N002INF1!L:L,0)),0)</f>
        <v>0</v>
      </c>
      <c r="L340">
        <f>IFERROR(INDEX(IB_2CAN_E1N003INF1!N:N,MATCH('По платам'!$B340,IB_2CAN_E1N003INF1!L:L,0)),0)</f>
        <v>0</v>
      </c>
    </row>
    <row r="341" spans="2:12">
      <c r="B341" s="3" t="s">
        <v>71</v>
      </c>
      <c r="C341">
        <f>IFERROR(INDEX('C2B004CPU2'!N:N,MATCH('По платам'!B341,'C2B004CPU2'!L:L,0)),0)</f>
        <v>0</v>
      </c>
      <c r="D341">
        <f>IFERROR(INDEX(SBC_DIO_E1N004INF1!N:N,MATCH('По платам'!$B341,SBC_DIO_E1N004INF1!L:L,0)),0)</f>
        <v>0</v>
      </c>
      <c r="E341">
        <f>IFERROR(INDEX(SBC_35_2C3_1_E1E001CPU1E!N:N,MATCH('По платам'!$B341,SBC_35_2C3_1_E1E001CPU1E!L:L,0)),0)</f>
        <v>0</v>
      </c>
      <c r="F341">
        <f>IFERROR(INDEX(PCIe104_PSU_E1N001PWR1!N:N,MATCH('По платам'!$B341,PCIe104_PSU_E1N001PWR1!L:L,0)),0)</f>
        <v>0</v>
      </c>
      <c r="G341">
        <f>IFERROR(INDEX(PCIe104_INF2_E1N006INF1!N:N,MATCH('По платам'!$B341,PCIe104_INF2_E1N006INF1!L:L,0)),0)</f>
        <v>0</v>
      </c>
      <c r="H341">
        <f>IFERROR(INDEX(PCIe104_CON_E1N005INF1!N:N,MATCH('По платам'!$B341,PCIe104_CON_E1N005INF1!L:L,0)),0)</f>
        <v>0</v>
      </c>
      <c r="I341">
        <f>IFERROR(INDEX('EM-PCIE104-CPU_E1E001CPU1E'!N:N,MATCH('По платам'!$B341,'EM-PCIE104-CPU_E1E001CPU1E'!L:L,0)),0)</f>
        <v>0</v>
      </c>
      <c r="J341">
        <f>IFERROR(INDEX(PCIe104_INF_E1N001INF1!N:N,MATCH('По платам'!$B341,PCIe104_INF_E1N001INF1!L:L,0)),0)</f>
        <v>0</v>
      </c>
      <c r="K341">
        <f>IFERROR(INDEX(IB_2RS232_E1N002INF1!N:N,MATCH('По платам'!$B341,IB_2RS232_E1N002INF1!L:L,0)),0)</f>
        <v>2</v>
      </c>
      <c r="L341">
        <f>IFERROR(INDEX(IB_2CAN_E1N003INF1!N:N,MATCH('По платам'!$B341,IB_2CAN_E1N003INF1!L:L,0)),0)</f>
        <v>2</v>
      </c>
    </row>
    <row r="342" spans="2:12">
      <c r="B342" s="3" t="s">
        <v>2727</v>
      </c>
      <c r="C342">
        <f>IFERROR(INDEX('C2B004CPU2'!N:N,MATCH('По платам'!B342,'C2B004CPU2'!L:L,0)),0)</f>
        <v>1</v>
      </c>
      <c r="D342">
        <f>IFERROR(INDEX(SBC_DIO_E1N004INF1!N:N,MATCH('По платам'!$B342,SBC_DIO_E1N004INF1!L:L,0)),0)</f>
        <v>0</v>
      </c>
      <c r="E342">
        <f>IFERROR(INDEX(SBC_35_2C3_1_E1E001CPU1E!N:N,MATCH('По платам'!$B342,SBC_35_2C3_1_E1E001CPU1E!L:L,0)),0)</f>
        <v>0</v>
      </c>
      <c r="F342">
        <f>IFERROR(INDEX(PCIe104_PSU_E1N001PWR1!N:N,MATCH('По платам'!$B342,PCIe104_PSU_E1N001PWR1!L:L,0)),0)</f>
        <v>0</v>
      </c>
      <c r="G342">
        <f>IFERROR(INDEX(PCIe104_INF2_E1N006INF1!N:N,MATCH('По платам'!$B342,PCIe104_INF2_E1N006INF1!L:L,0)),0)</f>
        <v>0</v>
      </c>
      <c r="H342">
        <f>IFERROR(INDEX(PCIe104_CON_E1N005INF1!N:N,MATCH('По платам'!$B342,PCIe104_CON_E1N005INF1!L:L,0)),0)</f>
        <v>0</v>
      </c>
      <c r="I342">
        <f>IFERROR(INDEX('EM-PCIE104-CPU_E1E001CPU1E'!N:N,MATCH('По платам'!$B342,'EM-PCIE104-CPU_E1E001CPU1E'!L:L,0)),0)</f>
        <v>0</v>
      </c>
      <c r="J342">
        <f>IFERROR(INDEX(PCIe104_INF_E1N001INF1!N:N,MATCH('По платам'!$B342,PCIe104_INF_E1N001INF1!L:L,0)),0)</f>
        <v>0</v>
      </c>
      <c r="K342">
        <f>IFERROR(INDEX(IB_2RS232_E1N002INF1!N:N,MATCH('По платам'!$B342,IB_2RS232_E1N002INF1!L:L,0)),0)</f>
        <v>0</v>
      </c>
      <c r="L342">
        <f>IFERROR(INDEX(IB_2CAN_E1N003INF1!N:N,MATCH('По платам'!$B342,IB_2CAN_E1N003INF1!L:L,0)),0)</f>
        <v>0</v>
      </c>
    </row>
    <row r="343" spans="2:12">
      <c r="B343" s="3" t="s">
        <v>2043</v>
      </c>
      <c r="C343">
        <f>IFERROR(INDEX('C2B004CPU2'!N:N,MATCH('По платам'!B343,'C2B004CPU2'!L:L,0)),0)</f>
        <v>0</v>
      </c>
      <c r="D343">
        <f>IFERROR(INDEX(SBC_DIO_E1N004INF1!N:N,MATCH('По платам'!$B343,SBC_DIO_E1N004INF1!L:L,0)),0)</f>
        <v>0</v>
      </c>
      <c r="E343">
        <f>IFERROR(INDEX(SBC_35_2C3_1_E1E001CPU1E!N:N,MATCH('По платам'!$B343,SBC_35_2C3_1_E1E001CPU1E!L:L,0)),0)</f>
        <v>3</v>
      </c>
      <c r="F343">
        <f>IFERROR(INDEX(PCIe104_PSU_E1N001PWR1!N:N,MATCH('По платам'!$B343,PCIe104_PSU_E1N001PWR1!L:L,0)),0)</f>
        <v>0</v>
      </c>
      <c r="G343">
        <f>IFERROR(INDEX(PCIe104_INF2_E1N006INF1!N:N,MATCH('По платам'!$B343,PCIe104_INF2_E1N006INF1!L:L,0)),0)</f>
        <v>0</v>
      </c>
      <c r="H343">
        <f>IFERROR(INDEX(PCIe104_CON_E1N005INF1!N:N,MATCH('По платам'!$B343,PCIe104_CON_E1N005INF1!L:L,0)),0)</f>
        <v>0</v>
      </c>
      <c r="I343">
        <f>IFERROR(INDEX('EM-PCIE104-CPU_E1E001CPU1E'!N:N,MATCH('По платам'!$B343,'EM-PCIE104-CPU_E1E001CPU1E'!L:L,0)),0)</f>
        <v>0</v>
      </c>
      <c r="J343">
        <f>IFERROR(INDEX(PCIe104_INF_E1N001INF1!N:N,MATCH('По платам'!$B343,PCIe104_INF_E1N001INF1!L:L,0)),0)</f>
        <v>0</v>
      </c>
      <c r="K343">
        <f>IFERROR(INDEX(IB_2RS232_E1N002INF1!N:N,MATCH('По платам'!$B343,IB_2RS232_E1N002INF1!L:L,0)),0)</f>
        <v>0</v>
      </c>
      <c r="L343">
        <f>IFERROR(INDEX(IB_2CAN_E1N003INF1!N:N,MATCH('По платам'!$B343,IB_2CAN_E1N003INF1!L:L,0)),0)</f>
        <v>0</v>
      </c>
    </row>
    <row r="344" spans="2:12">
      <c r="B344" s="3" t="s">
        <v>130</v>
      </c>
      <c r="C344">
        <f>IFERROR(INDEX('C2B004CPU2'!N:N,MATCH('По платам'!B344,'C2B004CPU2'!L:L,0)),0)</f>
        <v>0</v>
      </c>
      <c r="D344">
        <f>IFERROR(INDEX(SBC_DIO_E1N004INF1!N:N,MATCH('По платам'!$B344,SBC_DIO_E1N004INF1!L:L,0)),0)</f>
        <v>0</v>
      </c>
      <c r="E344">
        <f>IFERROR(INDEX(SBC_35_2C3_1_E1E001CPU1E!N:N,MATCH('По платам'!$B344,SBC_35_2C3_1_E1E001CPU1E!L:L,0)),0)</f>
        <v>0</v>
      </c>
      <c r="F344">
        <f>IFERROR(INDEX(PCIe104_PSU_E1N001PWR1!N:N,MATCH('По платам'!$B344,PCIe104_PSU_E1N001PWR1!L:L,0)),0)</f>
        <v>0</v>
      </c>
      <c r="G344">
        <f>IFERROR(INDEX(PCIe104_INF2_E1N006INF1!N:N,MATCH('По платам'!$B344,PCIe104_INF2_E1N006INF1!L:L,0)),0)</f>
        <v>0</v>
      </c>
      <c r="H344">
        <f>IFERROR(INDEX(PCIe104_CON_E1N005INF1!N:N,MATCH('По платам'!$B344,PCIe104_CON_E1N005INF1!L:L,0)),0)</f>
        <v>4</v>
      </c>
      <c r="I344">
        <f>IFERROR(INDEX('EM-PCIE104-CPU_E1E001CPU1E'!N:N,MATCH('По платам'!$B344,'EM-PCIE104-CPU_E1E001CPU1E'!L:L,0)),0)</f>
        <v>0</v>
      </c>
      <c r="J344">
        <f>IFERROR(INDEX(PCIe104_INF_E1N001INF1!N:N,MATCH('По платам'!$B344,PCIe104_INF_E1N001INF1!L:L,0)),0)</f>
        <v>0</v>
      </c>
      <c r="K344">
        <f>IFERROR(INDEX(IB_2RS232_E1N002INF1!N:N,MATCH('По платам'!$B344,IB_2RS232_E1N002INF1!L:L,0)),0)</f>
        <v>1</v>
      </c>
      <c r="L344">
        <f>IFERROR(INDEX(IB_2CAN_E1N003INF1!N:N,MATCH('По платам'!$B344,IB_2CAN_E1N003INF1!L:L,0)),0)</f>
        <v>2</v>
      </c>
    </row>
    <row r="345" spans="2:12">
      <c r="B345" s="3" t="s">
        <v>2775</v>
      </c>
      <c r="C345">
        <f>IFERROR(INDEX('C2B004CPU2'!N:N,MATCH('По платам'!B345,'C2B004CPU2'!L:L,0)),0)</f>
        <v>1</v>
      </c>
      <c r="D345">
        <f>IFERROR(INDEX(SBC_DIO_E1N004INF1!N:N,MATCH('По платам'!$B345,SBC_DIO_E1N004INF1!L:L,0)),0)</f>
        <v>0</v>
      </c>
      <c r="E345">
        <f>IFERROR(INDEX(SBC_35_2C3_1_E1E001CPU1E!N:N,MATCH('По платам'!$B345,SBC_35_2C3_1_E1E001CPU1E!L:L,0)),0)</f>
        <v>0</v>
      </c>
      <c r="F345">
        <f>IFERROR(INDEX(PCIe104_PSU_E1N001PWR1!N:N,MATCH('По платам'!$B345,PCIe104_PSU_E1N001PWR1!L:L,0)),0)</f>
        <v>0</v>
      </c>
      <c r="G345">
        <f>IFERROR(INDEX(PCIe104_INF2_E1N006INF1!N:N,MATCH('По платам'!$B345,PCIe104_INF2_E1N006INF1!L:L,0)),0)</f>
        <v>0</v>
      </c>
      <c r="H345">
        <f>IFERROR(INDEX(PCIe104_CON_E1N005INF1!N:N,MATCH('По платам'!$B345,PCIe104_CON_E1N005INF1!L:L,0)),0)</f>
        <v>0</v>
      </c>
      <c r="I345">
        <f>IFERROR(INDEX('EM-PCIE104-CPU_E1E001CPU1E'!N:N,MATCH('По платам'!$B345,'EM-PCIE104-CPU_E1E001CPU1E'!L:L,0)),0)</f>
        <v>0</v>
      </c>
      <c r="J345">
        <f>IFERROR(INDEX(PCIe104_INF_E1N001INF1!N:N,MATCH('По платам'!$B345,PCIe104_INF_E1N001INF1!L:L,0)),0)</f>
        <v>0</v>
      </c>
      <c r="K345">
        <f>IFERROR(INDEX(IB_2RS232_E1N002INF1!N:N,MATCH('По платам'!$B345,IB_2RS232_E1N002INF1!L:L,0)),0)</f>
        <v>0</v>
      </c>
      <c r="L345">
        <f>IFERROR(INDEX(IB_2CAN_E1N003INF1!N:N,MATCH('По платам'!$B345,IB_2CAN_E1N003INF1!L:L,0)),0)</f>
        <v>0</v>
      </c>
    </row>
    <row r="346" spans="2:12">
      <c r="B346" s="3" t="s">
        <v>1206</v>
      </c>
      <c r="C346">
        <f>IFERROR(INDEX('C2B004CPU2'!N:N,MATCH('По платам'!B346,'C2B004CPU2'!L:L,0)),0)</f>
        <v>0</v>
      </c>
      <c r="D346">
        <f>IFERROR(INDEX(SBC_DIO_E1N004INF1!N:N,MATCH('По платам'!$B346,SBC_DIO_E1N004INF1!L:L,0)),0)</f>
        <v>0</v>
      </c>
      <c r="E346">
        <f>IFERROR(INDEX(SBC_35_2C3_1_E1E001CPU1E!N:N,MATCH('По платам'!$B346,SBC_35_2C3_1_E1E001CPU1E!L:L,0)),0)</f>
        <v>0</v>
      </c>
      <c r="F346">
        <f>IFERROR(INDEX(PCIe104_PSU_E1N001PWR1!N:N,MATCH('По платам'!$B346,PCIe104_PSU_E1N001PWR1!L:L,0)),0)</f>
        <v>0</v>
      </c>
      <c r="G346">
        <f>IFERROR(INDEX(PCIe104_INF2_E1N006INF1!N:N,MATCH('По платам'!$B346,PCIe104_INF2_E1N006INF1!L:L,0)),0)</f>
        <v>0</v>
      </c>
      <c r="H346">
        <f>IFERROR(INDEX(PCIe104_CON_E1N005INF1!N:N,MATCH('По платам'!$B346,PCIe104_CON_E1N005INF1!L:L,0)),0)</f>
        <v>1</v>
      </c>
      <c r="I346">
        <f>IFERROR(INDEX('EM-PCIE104-CPU_E1E001CPU1E'!N:N,MATCH('По платам'!$B346,'EM-PCIE104-CPU_E1E001CPU1E'!L:L,0)),0)</f>
        <v>0</v>
      </c>
      <c r="J346">
        <f>IFERROR(INDEX(PCIe104_INF_E1N001INF1!N:N,MATCH('По платам'!$B346,PCIe104_INF_E1N001INF1!L:L,0)),0)</f>
        <v>0</v>
      </c>
      <c r="K346">
        <f>IFERROR(INDEX(IB_2RS232_E1N002INF1!N:N,MATCH('По платам'!$B346,IB_2RS232_E1N002INF1!L:L,0)),0)</f>
        <v>0</v>
      </c>
      <c r="L346">
        <f>IFERROR(INDEX(IB_2CAN_E1N003INF1!N:N,MATCH('По платам'!$B346,IB_2CAN_E1N003INF1!L:L,0)),0)</f>
        <v>0</v>
      </c>
    </row>
    <row r="347" spans="2:12">
      <c r="B347" s="3" t="s">
        <v>1192</v>
      </c>
      <c r="C347">
        <f>IFERROR(INDEX('C2B004CPU2'!N:N,MATCH('По платам'!B347,'C2B004CPU2'!L:L,0)),0)</f>
        <v>0</v>
      </c>
      <c r="D347">
        <f>IFERROR(INDEX(SBC_DIO_E1N004INF1!N:N,MATCH('По платам'!$B347,SBC_DIO_E1N004INF1!L:L,0)),0)</f>
        <v>0</v>
      </c>
      <c r="E347">
        <f>IFERROR(INDEX(SBC_35_2C3_1_E1E001CPU1E!N:N,MATCH('По платам'!$B347,SBC_35_2C3_1_E1E001CPU1E!L:L,0)),0)</f>
        <v>0</v>
      </c>
      <c r="F347">
        <f>IFERROR(INDEX(PCIe104_PSU_E1N001PWR1!N:N,MATCH('По платам'!$B347,PCIe104_PSU_E1N001PWR1!L:L,0)),0)</f>
        <v>0</v>
      </c>
      <c r="G347">
        <f>IFERROR(INDEX(PCIe104_INF2_E1N006INF1!N:N,MATCH('По платам'!$B347,PCIe104_INF2_E1N006INF1!L:L,0)),0)</f>
        <v>0</v>
      </c>
      <c r="H347">
        <f>IFERROR(INDEX(PCIe104_CON_E1N005INF1!N:N,MATCH('По платам'!$B347,PCIe104_CON_E1N005INF1!L:L,0)),0)</f>
        <v>3</v>
      </c>
      <c r="I347">
        <f>IFERROR(INDEX('EM-PCIE104-CPU_E1E001CPU1E'!N:N,MATCH('По платам'!$B347,'EM-PCIE104-CPU_E1E001CPU1E'!L:L,0)),0)</f>
        <v>0</v>
      </c>
      <c r="J347">
        <f>IFERROR(INDEX(PCIe104_INF_E1N001INF1!N:N,MATCH('По платам'!$B347,PCIe104_INF_E1N001INF1!L:L,0)),0)</f>
        <v>0</v>
      </c>
      <c r="K347">
        <f>IFERROR(INDEX(IB_2RS232_E1N002INF1!N:N,MATCH('По платам'!$B347,IB_2RS232_E1N002INF1!L:L,0)),0)</f>
        <v>0</v>
      </c>
      <c r="L347">
        <f>IFERROR(INDEX(IB_2CAN_E1N003INF1!N:N,MATCH('По платам'!$B347,IB_2CAN_E1N003INF1!L:L,0)),0)</f>
        <v>0</v>
      </c>
    </row>
    <row r="348" spans="2:12">
      <c r="B348" s="3" t="s">
        <v>1217</v>
      </c>
      <c r="C348">
        <f>IFERROR(INDEX('C2B004CPU2'!N:N,MATCH('По платам'!B348,'C2B004CPU2'!L:L,0)),0)</f>
        <v>0</v>
      </c>
      <c r="D348">
        <f>IFERROR(INDEX(SBC_DIO_E1N004INF1!N:N,MATCH('По платам'!$B348,SBC_DIO_E1N004INF1!L:L,0)),0)</f>
        <v>0</v>
      </c>
      <c r="E348">
        <f>IFERROR(INDEX(SBC_35_2C3_1_E1E001CPU1E!N:N,MATCH('По платам'!$B348,SBC_35_2C3_1_E1E001CPU1E!L:L,0)),0)</f>
        <v>0</v>
      </c>
      <c r="F348">
        <f>IFERROR(INDEX(PCIe104_PSU_E1N001PWR1!N:N,MATCH('По платам'!$B348,PCIe104_PSU_E1N001PWR1!L:L,0)),0)</f>
        <v>0</v>
      </c>
      <c r="G348">
        <f>IFERROR(INDEX(PCIe104_INF2_E1N006INF1!N:N,MATCH('По платам'!$B348,PCIe104_INF2_E1N006INF1!L:L,0)),0)</f>
        <v>0</v>
      </c>
      <c r="H348">
        <f>IFERROR(INDEX(PCIe104_CON_E1N005INF1!N:N,MATCH('По платам'!$B348,PCIe104_CON_E1N005INF1!L:L,0)),0)</f>
        <v>1</v>
      </c>
      <c r="I348">
        <f>IFERROR(INDEX('EM-PCIE104-CPU_E1E001CPU1E'!N:N,MATCH('По платам'!$B348,'EM-PCIE104-CPU_E1E001CPU1E'!L:L,0)),0)</f>
        <v>0</v>
      </c>
      <c r="J348">
        <f>IFERROR(INDEX(PCIe104_INF_E1N001INF1!N:N,MATCH('По платам'!$B348,PCIe104_INF_E1N001INF1!L:L,0)),0)</f>
        <v>0</v>
      </c>
      <c r="K348">
        <f>IFERROR(INDEX(IB_2RS232_E1N002INF1!N:N,MATCH('По платам'!$B348,IB_2RS232_E1N002INF1!L:L,0)),0)</f>
        <v>0</v>
      </c>
      <c r="L348">
        <f>IFERROR(INDEX(IB_2CAN_E1N003INF1!N:N,MATCH('По платам'!$B348,IB_2CAN_E1N003INF1!L:L,0)),0)</f>
        <v>0</v>
      </c>
    </row>
    <row r="349" spans="2:12">
      <c r="B349" s="3" t="s">
        <v>1213</v>
      </c>
      <c r="C349">
        <f>IFERROR(INDEX('C2B004CPU2'!N:N,MATCH('По платам'!B349,'C2B004CPU2'!L:L,0)),0)</f>
        <v>0</v>
      </c>
      <c r="D349">
        <f>IFERROR(INDEX(SBC_DIO_E1N004INF1!N:N,MATCH('По платам'!$B349,SBC_DIO_E1N004INF1!L:L,0)),0)</f>
        <v>0</v>
      </c>
      <c r="E349">
        <f>IFERROR(INDEX(SBC_35_2C3_1_E1E001CPU1E!N:N,MATCH('По платам'!$B349,SBC_35_2C3_1_E1E001CPU1E!L:L,0)),0)</f>
        <v>0</v>
      </c>
      <c r="F349">
        <f>IFERROR(INDEX(PCIe104_PSU_E1N001PWR1!N:N,MATCH('По платам'!$B349,PCIe104_PSU_E1N001PWR1!L:L,0)),0)</f>
        <v>0</v>
      </c>
      <c r="G349">
        <f>IFERROR(INDEX(PCIe104_INF2_E1N006INF1!N:N,MATCH('По платам'!$B349,PCIe104_INF2_E1N006INF1!L:L,0)),0)</f>
        <v>0</v>
      </c>
      <c r="H349">
        <f>IFERROR(INDEX(PCIe104_CON_E1N005INF1!N:N,MATCH('По платам'!$B349,PCIe104_CON_E1N005INF1!L:L,0)),0)</f>
        <v>4</v>
      </c>
      <c r="I349">
        <f>IFERROR(INDEX('EM-PCIE104-CPU_E1E001CPU1E'!N:N,MATCH('По платам'!$B349,'EM-PCIE104-CPU_E1E001CPU1E'!L:L,0)),0)</f>
        <v>0</v>
      </c>
      <c r="J349">
        <f>IFERROR(INDEX(PCIe104_INF_E1N001INF1!N:N,MATCH('По платам'!$B349,PCIe104_INF_E1N001INF1!L:L,0)),0)</f>
        <v>0</v>
      </c>
      <c r="K349">
        <f>IFERROR(INDEX(IB_2RS232_E1N002INF1!N:N,MATCH('По платам'!$B349,IB_2RS232_E1N002INF1!L:L,0)),0)</f>
        <v>0</v>
      </c>
      <c r="L349">
        <f>IFERROR(INDEX(IB_2CAN_E1N003INF1!N:N,MATCH('По платам'!$B349,IB_2CAN_E1N003INF1!L:L,0)),0)</f>
        <v>0</v>
      </c>
    </row>
    <row r="350" spans="2:12">
      <c r="B350" s="3" t="s">
        <v>1203</v>
      </c>
      <c r="C350">
        <f>IFERROR(INDEX('C2B004CPU2'!N:N,MATCH('По платам'!B350,'C2B004CPU2'!L:L,0)),0)</f>
        <v>0</v>
      </c>
      <c r="D350">
        <f>IFERROR(INDEX(SBC_DIO_E1N004INF1!N:N,MATCH('По платам'!$B350,SBC_DIO_E1N004INF1!L:L,0)),0)</f>
        <v>0</v>
      </c>
      <c r="E350">
        <f>IFERROR(INDEX(SBC_35_2C3_1_E1E001CPU1E!N:N,MATCH('По платам'!$B350,SBC_35_2C3_1_E1E001CPU1E!L:L,0)),0)</f>
        <v>0</v>
      </c>
      <c r="F350">
        <f>IFERROR(INDEX(PCIe104_PSU_E1N001PWR1!N:N,MATCH('По платам'!$B350,PCIe104_PSU_E1N001PWR1!L:L,0)),0)</f>
        <v>0</v>
      </c>
      <c r="G350">
        <f>IFERROR(INDEX(PCIe104_INF2_E1N006INF1!N:N,MATCH('По платам'!$B350,PCIe104_INF2_E1N006INF1!L:L,0)),0)</f>
        <v>0</v>
      </c>
      <c r="H350">
        <f>IFERROR(INDEX(PCIe104_CON_E1N005INF1!N:N,MATCH('По платам'!$B350,PCIe104_CON_E1N005INF1!L:L,0)),0)</f>
        <v>2</v>
      </c>
      <c r="I350">
        <f>IFERROR(INDEX('EM-PCIE104-CPU_E1E001CPU1E'!N:N,MATCH('По платам'!$B350,'EM-PCIE104-CPU_E1E001CPU1E'!L:L,0)),0)</f>
        <v>0</v>
      </c>
      <c r="J350">
        <f>IFERROR(INDEX(PCIe104_INF_E1N001INF1!N:N,MATCH('По платам'!$B350,PCIe104_INF_E1N001INF1!L:L,0)),0)</f>
        <v>0</v>
      </c>
      <c r="K350">
        <f>IFERROR(INDEX(IB_2RS232_E1N002INF1!N:N,MATCH('По платам'!$B350,IB_2RS232_E1N002INF1!L:L,0)),0)</f>
        <v>0</v>
      </c>
      <c r="L350">
        <f>IFERROR(INDEX(IB_2CAN_E1N003INF1!N:N,MATCH('По платам'!$B350,IB_2CAN_E1N003INF1!L:L,0)),0)</f>
        <v>0</v>
      </c>
    </row>
    <row r="351" spans="2:12">
      <c r="B351" s="3" t="s">
        <v>1199</v>
      </c>
      <c r="C351">
        <f>IFERROR(INDEX('C2B004CPU2'!N:N,MATCH('По платам'!B351,'C2B004CPU2'!L:L,0)),0)</f>
        <v>0</v>
      </c>
      <c r="D351">
        <f>IFERROR(INDEX(SBC_DIO_E1N004INF1!N:N,MATCH('По платам'!$B351,SBC_DIO_E1N004INF1!L:L,0)),0)</f>
        <v>0</v>
      </c>
      <c r="E351">
        <f>IFERROR(INDEX(SBC_35_2C3_1_E1E001CPU1E!N:N,MATCH('По платам'!$B351,SBC_35_2C3_1_E1E001CPU1E!L:L,0)),0)</f>
        <v>0</v>
      </c>
      <c r="F351">
        <f>IFERROR(INDEX(PCIe104_PSU_E1N001PWR1!N:N,MATCH('По платам'!$B351,PCIe104_PSU_E1N001PWR1!L:L,0)),0)</f>
        <v>0</v>
      </c>
      <c r="G351">
        <f>IFERROR(INDEX(PCIe104_INF2_E1N006INF1!N:N,MATCH('По платам'!$B351,PCIe104_INF2_E1N006INF1!L:L,0)),0)</f>
        <v>0</v>
      </c>
      <c r="H351">
        <f>IFERROR(INDEX(PCIe104_CON_E1N005INF1!N:N,MATCH('По платам'!$B351,PCIe104_CON_E1N005INF1!L:L,0)),0)</f>
        <v>2</v>
      </c>
      <c r="I351">
        <f>IFERROR(INDEX('EM-PCIE104-CPU_E1E001CPU1E'!N:N,MATCH('По платам'!$B351,'EM-PCIE104-CPU_E1E001CPU1E'!L:L,0)),0)</f>
        <v>0</v>
      </c>
      <c r="J351">
        <f>IFERROR(INDEX(PCIe104_INF_E1N001INF1!N:N,MATCH('По платам'!$B351,PCIe104_INF_E1N001INF1!L:L,0)),0)</f>
        <v>0</v>
      </c>
      <c r="K351">
        <f>IFERROR(INDEX(IB_2RS232_E1N002INF1!N:N,MATCH('По платам'!$B351,IB_2RS232_E1N002INF1!L:L,0)),0)</f>
        <v>0</v>
      </c>
      <c r="L351">
        <f>IFERROR(INDEX(IB_2CAN_E1N003INF1!N:N,MATCH('По платам'!$B351,IB_2CAN_E1N003INF1!L:L,0)),0)</f>
        <v>0</v>
      </c>
    </row>
    <row r="352" spans="2:12">
      <c r="B352" s="3" t="s">
        <v>1210</v>
      </c>
      <c r="C352">
        <f>IFERROR(INDEX('C2B004CPU2'!N:N,MATCH('По платам'!B352,'C2B004CPU2'!L:L,0)),0)</f>
        <v>0</v>
      </c>
      <c r="D352">
        <f>IFERROR(INDEX(SBC_DIO_E1N004INF1!N:N,MATCH('По платам'!$B352,SBC_DIO_E1N004INF1!L:L,0)),0)</f>
        <v>0</v>
      </c>
      <c r="E352">
        <f>IFERROR(INDEX(SBC_35_2C3_1_E1E001CPU1E!N:N,MATCH('По платам'!$B352,SBC_35_2C3_1_E1E001CPU1E!L:L,0)),0)</f>
        <v>0</v>
      </c>
      <c r="F352">
        <f>IFERROR(INDEX(PCIe104_PSU_E1N001PWR1!N:N,MATCH('По платам'!$B352,PCIe104_PSU_E1N001PWR1!L:L,0)),0)</f>
        <v>0</v>
      </c>
      <c r="G352">
        <f>IFERROR(INDEX(PCIe104_INF2_E1N006INF1!N:N,MATCH('По платам'!$B352,PCIe104_INF2_E1N006INF1!L:L,0)),0)</f>
        <v>0</v>
      </c>
      <c r="H352">
        <f>IFERROR(INDEX(PCIe104_CON_E1N005INF1!N:N,MATCH('По платам'!$B352,PCIe104_CON_E1N005INF1!L:L,0)),0)</f>
        <v>1</v>
      </c>
      <c r="I352">
        <f>IFERROR(INDEX('EM-PCIE104-CPU_E1E001CPU1E'!N:N,MATCH('По платам'!$B352,'EM-PCIE104-CPU_E1E001CPU1E'!L:L,0)),0)</f>
        <v>0</v>
      </c>
      <c r="J352">
        <f>IFERROR(INDEX(PCIe104_INF_E1N001INF1!N:N,MATCH('По платам'!$B352,PCIe104_INF_E1N001INF1!L:L,0)),0)</f>
        <v>0</v>
      </c>
      <c r="K352">
        <f>IFERROR(INDEX(IB_2RS232_E1N002INF1!N:N,MATCH('По платам'!$B352,IB_2RS232_E1N002INF1!L:L,0)),0)</f>
        <v>0</v>
      </c>
      <c r="L352">
        <f>IFERROR(INDEX(IB_2CAN_E1N003INF1!N:N,MATCH('По платам'!$B352,IB_2CAN_E1N003INF1!L:L,0)),0)</f>
        <v>0</v>
      </c>
    </row>
    <row r="353" spans="2:12">
      <c r="B353" s="3" t="s">
        <v>1189</v>
      </c>
      <c r="C353">
        <f>IFERROR(INDEX('C2B004CPU2'!N:N,MATCH('По платам'!B353,'C2B004CPU2'!L:L,0)),0)</f>
        <v>0</v>
      </c>
      <c r="D353">
        <f>IFERROR(INDEX(SBC_DIO_E1N004INF1!N:N,MATCH('По платам'!$B353,SBC_DIO_E1N004INF1!L:L,0)),0)</f>
        <v>0</v>
      </c>
      <c r="E353">
        <f>IFERROR(INDEX(SBC_35_2C3_1_E1E001CPU1E!N:N,MATCH('По платам'!$B353,SBC_35_2C3_1_E1E001CPU1E!L:L,0)),0)</f>
        <v>0</v>
      </c>
      <c r="F353">
        <f>IFERROR(INDEX(PCIe104_PSU_E1N001PWR1!N:N,MATCH('По платам'!$B353,PCIe104_PSU_E1N001PWR1!L:L,0)),0)</f>
        <v>0</v>
      </c>
      <c r="G353">
        <f>IFERROR(INDEX(PCIe104_INF2_E1N006INF1!N:N,MATCH('По платам'!$B353,PCIe104_INF2_E1N006INF1!L:L,0)),0)</f>
        <v>0</v>
      </c>
      <c r="H353">
        <f>IFERROR(INDEX(PCIe104_CON_E1N005INF1!N:N,MATCH('По платам'!$B353,PCIe104_CON_E1N005INF1!L:L,0)),0)</f>
        <v>1</v>
      </c>
      <c r="I353">
        <f>IFERROR(INDEX('EM-PCIE104-CPU_E1E001CPU1E'!N:N,MATCH('По платам'!$B353,'EM-PCIE104-CPU_E1E001CPU1E'!L:L,0)),0)</f>
        <v>0</v>
      </c>
      <c r="J353">
        <f>IFERROR(INDEX(PCIe104_INF_E1N001INF1!N:N,MATCH('По платам'!$B353,PCIe104_INF_E1N001INF1!L:L,0)),0)</f>
        <v>0</v>
      </c>
      <c r="K353">
        <f>IFERROR(INDEX(IB_2RS232_E1N002INF1!N:N,MATCH('По платам'!$B353,IB_2RS232_E1N002INF1!L:L,0)),0)</f>
        <v>0</v>
      </c>
      <c r="L353">
        <f>IFERROR(INDEX(IB_2CAN_E1N003INF1!N:N,MATCH('По платам'!$B353,IB_2CAN_E1N003INF1!L:L,0)),0)</f>
        <v>0</v>
      </c>
    </row>
    <row r="354" spans="2:12">
      <c r="B354" s="3" t="s">
        <v>1196</v>
      </c>
      <c r="C354">
        <f>IFERROR(INDEX('C2B004CPU2'!N:N,MATCH('По платам'!B354,'C2B004CPU2'!L:L,0)),0)</f>
        <v>0</v>
      </c>
      <c r="D354">
        <f>IFERROR(INDEX(SBC_DIO_E1N004INF1!N:N,MATCH('По платам'!$B354,SBC_DIO_E1N004INF1!L:L,0)),0)</f>
        <v>0</v>
      </c>
      <c r="E354">
        <f>IFERROR(INDEX(SBC_35_2C3_1_E1E001CPU1E!N:N,MATCH('По платам'!$B354,SBC_35_2C3_1_E1E001CPU1E!L:L,0)),0)</f>
        <v>0</v>
      </c>
      <c r="F354">
        <f>IFERROR(INDEX(PCIe104_PSU_E1N001PWR1!N:N,MATCH('По платам'!$B354,PCIe104_PSU_E1N001PWR1!L:L,0)),0)</f>
        <v>0</v>
      </c>
      <c r="G354">
        <f>IFERROR(INDEX(PCIe104_INF2_E1N006INF1!N:N,MATCH('По платам'!$B354,PCIe104_INF2_E1N006INF1!L:L,0)),0)</f>
        <v>0</v>
      </c>
      <c r="H354">
        <f>IFERROR(INDEX(PCIe104_CON_E1N005INF1!N:N,MATCH('По платам'!$B354,PCIe104_CON_E1N005INF1!L:L,0)),0)</f>
        <v>1</v>
      </c>
      <c r="I354">
        <f>IFERROR(INDEX('EM-PCIE104-CPU_E1E001CPU1E'!N:N,MATCH('По платам'!$B354,'EM-PCIE104-CPU_E1E001CPU1E'!L:L,0)),0)</f>
        <v>0</v>
      </c>
      <c r="J354">
        <f>IFERROR(INDEX(PCIe104_INF_E1N001INF1!N:N,MATCH('По платам'!$B354,PCIe104_INF_E1N001INF1!L:L,0)),0)</f>
        <v>0</v>
      </c>
      <c r="K354">
        <f>IFERROR(INDEX(IB_2RS232_E1N002INF1!N:N,MATCH('По платам'!$B354,IB_2RS232_E1N002INF1!L:L,0)),0)</f>
        <v>0</v>
      </c>
      <c r="L354">
        <f>IFERROR(INDEX(IB_2CAN_E1N003INF1!N:N,MATCH('По платам'!$B354,IB_2CAN_E1N003INF1!L:L,0)),0)</f>
        <v>0</v>
      </c>
    </row>
    <row r="355" spans="2:12">
      <c r="B355" s="3" t="s">
        <v>58</v>
      </c>
      <c r="C355">
        <f>IFERROR(INDEX('C2B004CPU2'!N:N,MATCH('По платам'!B355,'C2B004CPU2'!L:L,0)),0)</f>
        <v>0</v>
      </c>
      <c r="D355">
        <f>IFERROR(INDEX(SBC_DIO_E1N004INF1!N:N,MATCH('По платам'!$B355,SBC_DIO_E1N004INF1!L:L,0)),0)</f>
        <v>0</v>
      </c>
      <c r="E355">
        <f>IFERROR(INDEX(SBC_35_2C3_1_E1E001CPU1E!N:N,MATCH('По платам'!$B355,SBC_35_2C3_1_E1E001CPU1E!L:L,0)),0)</f>
        <v>0</v>
      </c>
      <c r="F355">
        <f>IFERROR(INDEX(PCIe104_PSU_E1N001PWR1!N:N,MATCH('По платам'!$B355,PCIe104_PSU_E1N001PWR1!L:L,0)),0)</f>
        <v>0</v>
      </c>
      <c r="G355">
        <f>IFERROR(INDEX(PCIe104_INF2_E1N006INF1!N:N,MATCH('По платам'!$B355,PCIe104_INF2_E1N006INF1!L:L,0)),0)</f>
        <v>0</v>
      </c>
      <c r="H355">
        <f>IFERROR(INDEX(PCIe104_CON_E1N005INF1!N:N,MATCH('По платам'!$B355,PCIe104_CON_E1N005INF1!L:L,0)),0)</f>
        <v>0</v>
      </c>
      <c r="I355">
        <f>IFERROR(INDEX('EM-PCIE104-CPU_E1E001CPU1E'!N:N,MATCH('По платам'!$B355,'EM-PCIE104-CPU_E1E001CPU1E'!L:L,0)),0)</f>
        <v>0</v>
      </c>
      <c r="J355">
        <f>IFERROR(INDEX(PCIe104_INF_E1N001INF1!N:N,MATCH('По платам'!$B355,PCIe104_INF_E1N001INF1!L:L,0)),0)</f>
        <v>1</v>
      </c>
      <c r="K355">
        <f>IFERROR(INDEX(IB_2RS232_E1N002INF1!N:N,MATCH('По платам'!$B355,IB_2RS232_E1N002INF1!L:L,0)),0)</f>
        <v>0</v>
      </c>
      <c r="L355">
        <f>IFERROR(INDEX(IB_2CAN_E1N003INF1!N:N,MATCH('По платам'!$B355,IB_2CAN_E1N003INF1!L:L,0)),0)</f>
        <v>1</v>
      </c>
    </row>
    <row r="356" spans="2:12">
      <c r="B356" s="3" t="s">
        <v>698</v>
      </c>
      <c r="C356">
        <f>IFERROR(INDEX('C2B004CPU2'!N:N,MATCH('По платам'!B356,'C2B004CPU2'!L:L,0)),0)</f>
        <v>0</v>
      </c>
      <c r="D356">
        <f>IFERROR(INDEX(SBC_DIO_E1N004INF1!N:N,MATCH('По платам'!$B356,SBC_DIO_E1N004INF1!L:L,0)),0)</f>
        <v>0</v>
      </c>
      <c r="E356">
        <f>IFERROR(INDEX(SBC_35_2C3_1_E1E001CPU1E!N:N,MATCH('По платам'!$B356,SBC_35_2C3_1_E1E001CPU1E!L:L,0)),0)</f>
        <v>1</v>
      </c>
      <c r="F356">
        <f>IFERROR(INDEX(PCIe104_PSU_E1N001PWR1!N:N,MATCH('По платам'!$B356,PCIe104_PSU_E1N001PWR1!L:L,0)),0)</f>
        <v>0</v>
      </c>
      <c r="G356">
        <f>IFERROR(INDEX(PCIe104_INF2_E1N006INF1!N:N,MATCH('По платам'!$B356,PCIe104_INF2_E1N006INF1!L:L,0)),0)</f>
        <v>0</v>
      </c>
      <c r="H356">
        <f>IFERROR(INDEX(PCIe104_CON_E1N005INF1!N:N,MATCH('По платам'!$B356,PCIe104_CON_E1N005INF1!L:L,0)),0)</f>
        <v>0</v>
      </c>
      <c r="I356">
        <f>IFERROR(INDEX('EM-PCIE104-CPU_E1E001CPU1E'!N:N,MATCH('По платам'!$B356,'EM-PCIE104-CPU_E1E001CPU1E'!L:L,0)),0)</f>
        <v>1</v>
      </c>
      <c r="J356">
        <f>IFERROR(INDEX(PCIe104_INF_E1N001INF1!N:N,MATCH('По платам'!$B356,PCIe104_INF_E1N001INF1!L:L,0)),0)</f>
        <v>0</v>
      </c>
      <c r="K356">
        <f>IFERROR(INDEX(IB_2RS232_E1N002INF1!N:N,MATCH('По платам'!$B356,IB_2RS232_E1N002INF1!L:L,0)),0)</f>
        <v>0</v>
      </c>
      <c r="L356">
        <f>IFERROR(INDEX(IB_2CAN_E1N003INF1!N:N,MATCH('По платам'!$B356,IB_2CAN_E1N003INF1!L:L,0)),0)</f>
        <v>0</v>
      </c>
    </row>
    <row r="357" spans="2:12">
      <c r="B357" s="3" t="s">
        <v>78</v>
      </c>
      <c r="C357">
        <f>IFERROR(INDEX('C2B004CPU2'!N:N,MATCH('По платам'!B357,'C2B004CPU2'!L:L,0)),0)</f>
        <v>0</v>
      </c>
      <c r="D357">
        <f>IFERROR(INDEX(SBC_DIO_E1N004INF1!N:N,MATCH('По платам'!$B357,SBC_DIO_E1N004INF1!L:L,0)),0)</f>
        <v>0</v>
      </c>
      <c r="E357">
        <f>IFERROR(INDEX(SBC_35_2C3_1_E1E001CPU1E!N:N,MATCH('По платам'!$B357,SBC_35_2C3_1_E1E001CPU1E!L:L,0)),0)</f>
        <v>0</v>
      </c>
      <c r="F357">
        <f>IFERROR(INDEX(PCIe104_PSU_E1N001PWR1!N:N,MATCH('По платам'!$B357,PCIe104_PSU_E1N001PWR1!L:L,0)),0)</f>
        <v>0</v>
      </c>
      <c r="G357">
        <f>IFERROR(INDEX(PCIe104_INF2_E1N006INF1!N:N,MATCH('По платам'!$B357,PCIe104_INF2_E1N006INF1!L:L,0)),0)</f>
        <v>0</v>
      </c>
      <c r="H357">
        <f>IFERROR(INDEX(PCIe104_CON_E1N005INF1!N:N,MATCH('По платам'!$B357,PCIe104_CON_E1N005INF1!L:L,0)),0)</f>
        <v>0</v>
      </c>
      <c r="I357">
        <f>IFERROR(INDEX('EM-PCIE104-CPU_E1E001CPU1E'!N:N,MATCH('По платам'!$B357,'EM-PCIE104-CPU_E1E001CPU1E'!L:L,0)),0)</f>
        <v>0</v>
      </c>
      <c r="J357">
        <f>IFERROR(INDEX(PCIe104_INF_E1N001INF1!N:N,MATCH('По платам'!$B357,PCIe104_INF_E1N001INF1!L:L,0)),0)</f>
        <v>0</v>
      </c>
      <c r="K357">
        <f>IFERROR(INDEX(IB_2RS232_E1N002INF1!N:N,MATCH('По платам'!$B357,IB_2RS232_E1N002INF1!L:L,0)),0)</f>
        <v>5</v>
      </c>
      <c r="L357">
        <f>IFERROR(INDEX(IB_2CAN_E1N003INF1!N:N,MATCH('По платам'!$B357,IB_2CAN_E1N003INF1!L:L,0)),0)</f>
        <v>1</v>
      </c>
    </row>
    <row r="358" spans="2:12">
      <c r="B358" s="3" t="s">
        <v>80</v>
      </c>
      <c r="C358">
        <f>IFERROR(INDEX('C2B004CPU2'!N:N,MATCH('По платам'!B358,'C2B004CPU2'!L:L,0)),0)</f>
        <v>0</v>
      </c>
      <c r="D358">
        <f>IFERROR(INDEX(SBC_DIO_E1N004INF1!N:N,MATCH('По платам'!$B358,SBC_DIO_E1N004INF1!L:L,0)),0)</f>
        <v>0</v>
      </c>
      <c r="E358">
        <f>IFERROR(INDEX(SBC_35_2C3_1_E1E001CPU1E!N:N,MATCH('По платам'!$B358,SBC_35_2C3_1_E1E001CPU1E!L:L,0)),0)</f>
        <v>0</v>
      </c>
      <c r="F358">
        <f>IFERROR(INDEX(PCIe104_PSU_E1N001PWR1!N:N,MATCH('По платам'!$B358,PCIe104_PSU_E1N001PWR1!L:L,0)),0)</f>
        <v>0</v>
      </c>
      <c r="G358">
        <f>IFERROR(INDEX(PCIe104_INF2_E1N006INF1!N:N,MATCH('По платам'!$B358,PCIe104_INF2_E1N006INF1!L:L,0)),0)</f>
        <v>0</v>
      </c>
      <c r="H358">
        <f>IFERROR(INDEX(PCIe104_CON_E1N005INF1!N:N,MATCH('По платам'!$B358,PCIe104_CON_E1N005INF1!L:L,0)),0)</f>
        <v>0</v>
      </c>
      <c r="I358">
        <f>IFERROR(INDEX('EM-PCIE104-CPU_E1E001CPU1E'!N:N,MATCH('По платам'!$B358,'EM-PCIE104-CPU_E1E001CPU1E'!L:L,0)),0)</f>
        <v>0</v>
      </c>
      <c r="J358">
        <f>IFERROR(INDEX(PCIe104_INF_E1N001INF1!N:N,MATCH('По платам'!$B358,PCIe104_INF_E1N001INF1!L:L,0)),0)</f>
        <v>1</v>
      </c>
      <c r="K358">
        <f>IFERROR(INDEX(IB_2RS232_E1N002INF1!N:N,MATCH('По платам'!$B358,IB_2RS232_E1N002INF1!L:L,0)),0)</f>
        <v>0</v>
      </c>
      <c r="L358">
        <f>IFERROR(INDEX(IB_2CAN_E1N003INF1!N:N,MATCH('По платам'!$B358,IB_2CAN_E1N003INF1!L:L,0)),0)</f>
        <v>2</v>
      </c>
    </row>
    <row r="359" spans="2:12">
      <c r="B359" s="3" t="s">
        <v>83</v>
      </c>
      <c r="C359">
        <f>IFERROR(INDEX('C2B004CPU2'!N:N,MATCH('По платам'!B359,'C2B004CPU2'!L:L,0)),0)</f>
        <v>0</v>
      </c>
      <c r="D359">
        <f>IFERROR(INDEX(SBC_DIO_E1N004INF1!N:N,MATCH('По платам'!$B359,SBC_DIO_E1N004INF1!L:L,0)),0)</f>
        <v>0</v>
      </c>
      <c r="E359">
        <f>IFERROR(INDEX(SBC_35_2C3_1_E1E001CPU1E!N:N,MATCH('По платам'!$B359,SBC_35_2C3_1_E1E001CPU1E!L:L,0)),0)</f>
        <v>0</v>
      </c>
      <c r="F359">
        <f>IFERROR(INDEX(PCIe104_PSU_E1N001PWR1!N:N,MATCH('По платам'!$B359,PCIe104_PSU_E1N001PWR1!L:L,0)),0)</f>
        <v>0</v>
      </c>
      <c r="G359">
        <f>IFERROR(INDEX(PCIe104_INF2_E1N006INF1!N:N,MATCH('По платам'!$B359,PCIe104_INF2_E1N006INF1!L:L,0)),0)</f>
        <v>4</v>
      </c>
      <c r="H359">
        <f>IFERROR(INDEX(PCIe104_CON_E1N005INF1!N:N,MATCH('По платам'!$B359,PCIe104_CON_E1N005INF1!L:L,0)),0)</f>
        <v>0</v>
      </c>
      <c r="I359">
        <f>IFERROR(INDEX('EM-PCIE104-CPU_E1E001CPU1E'!N:N,MATCH('По платам'!$B359,'EM-PCIE104-CPU_E1E001CPU1E'!L:L,0)),0)</f>
        <v>0</v>
      </c>
      <c r="J359">
        <f>IFERROR(INDEX(PCIe104_INF_E1N001INF1!N:N,MATCH('По платам'!$B359,PCIe104_INF_E1N001INF1!L:L,0)),0)</f>
        <v>3</v>
      </c>
      <c r="K359">
        <f>IFERROR(INDEX(IB_2RS232_E1N002INF1!N:N,MATCH('По платам'!$B359,IB_2RS232_E1N002INF1!L:L,0)),0)</f>
        <v>3</v>
      </c>
      <c r="L359">
        <f>IFERROR(INDEX(IB_2CAN_E1N003INF1!N:N,MATCH('По платам'!$B359,IB_2CAN_E1N003INF1!L:L,0)),0)</f>
        <v>2</v>
      </c>
    </row>
    <row r="360" spans="2:12">
      <c r="B360" s="3" t="s">
        <v>267</v>
      </c>
      <c r="C360">
        <f>IFERROR(INDEX('C2B004CPU2'!N:N,MATCH('По платам'!B360,'C2B004CPU2'!L:L,0)),0)</f>
        <v>0</v>
      </c>
      <c r="D360">
        <f>IFERROR(INDEX(SBC_DIO_E1N004INF1!N:N,MATCH('По платам'!$B360,SBC_DIO_E1N004INF1!L:L,0)),0)</f>
        <v>0</v>
      </c>
      <c r="E360">
        <f>IFERROR(INDEX(SBC_35_2C3_1_E1E001CPU1E!N:N,MATCH('По платам'!$B360,SBC_35_2C3_1_E1E001CPU1E!L:L,0)),0)</f>
        <v>31</v>
      </c>
      <c r="F360">
        <f>IFERROR(INDEX(PCIe104_PSU_E1N001PWR1!N:N,MATCH('По платам'!$B360,PCIe104_PSU_E1N001PWR1!L:L,0)),0)</f>
        <v>0</v>
      </c>
      <c r="G360">
        <f>IFERROR(INDEX(PCIe104_INF2_E1N006INF1!N:N,MATCH('По платам'!$B360,PCIe104_INF2_E1N006INF1!L:L,0)),0)</f>
        <v>31</v>
      </c>
      <c r="H360">
        <f>IFERROR(INDEX(PCIe104_CON_E1N005INF1!N:N,MATCH('По платам'!$B360,PCIe104_CON_E1N005INF1!L:L,0)),0)</f>
        <v>1</v>
      </c>
      <c r="I360">
        <f>IFERROR(INDEX('EM-PCIE104-CPU_E1E001CPU1E'!N:N,MATCH('По платам'!$B360,'EM-PCIE104-CPU_E1E001CPU1E'!L:L,0)),0)</f>
        <v>34</v>
      </c>
      <c r="J360">
        <f>IFERROR(INDEX(PCIe104_INF_E1N001INF1!N:N,MATCH('По платам'!$B360,PCIe104_INF_E1N001INF1!L:L,0)),0)</f>
        <v>20</v>
      </c>
      <c r="K360">
        <f>IFERROR(INDEX(IB_2RS232_E1N002INF1!N:N,MATCH('По платам'!$B360,IB_2RS232_E1N002INF1!L:L,0)),0)</f>
        <v>0</v>
      </c>
      <c r="L360">
        <f>IFERROR(INDEX(IB_2CAN_E1N003INF1!N:N,MATCH('По платам'!$B360,IB_2CAN_E1N003INF1!L:L,0)),0)</f>
        <v>0</v>
      </c>
    </row>
    <row r="361" spans="2:12">
      <c r="B361" s="3" t="s">
        <v>264</v>
      </c>
      <c r="C361">
        <f>IFERROR(INDEX('C2B004CPU2'!N:N,MATCH('По платам'!B361,'C2B004CPU2'!L:L,0)),0)</f>
        <v>0</v>
      </c>
      <c r="D361">
        <f>IFERROR(INDEX(SBC_DIO_E1N004INF1!N:N,MATCH('По платам'!$B361,SBC_DIO_E1N004INF1!L:L,0)),0)</f>
        <v>0</v>
      </c>
      <c r="E361">
        <f>IFERROR(INDEX(SBC_35_2C3_1_E1E001CPU1E!N:N,MATCH('По платам'!$B361,SBC_35_2C3_1_E1E001CPU1E!L:L,0)),0)</f>
        <v>2</v>
      </c>
      <c r="F361">
        <f>IFERROR(INDEX(PCIe104_PSU_E1N001PWR1!N:N,MATCH('По платам'!$B361,PCIe104_PSU_E1N001PWR1!L:L,0)),0)</f>
        <v>0</v>
      </c>
      <c r="G361">
        <f>IFERROR(INDEX(PCIe104_INF2_E1N006INF1!N:N,MATCH('По платам'!$B361,PCIe104_INF2_E1N006INF1!L:L,0)),0)</f>
        <v>0</v>
      </c>
      <c r="H361">
        <f>IFERROR(INDEX(PCIe104_CON_E1N005INF1!N:N,MATCH('По платам'!$B361,PCIe104_CON_E1N005INF1!L:L,0)),0)</f>
        <v>0</v>
      </c>
      <c r="I361">
        <f>IFERROR(INDEX('EM-PCIE104-CPU_E1E001CPU1E'!N:N,MATCH('По платам'!$B361,'EM-PCIE104-CPU_E1E001CPU1E'!L:L,0)),0)</f>
        <v>115</v>
      </c>
      <c r="J361">
        <f>IFERROR(INDEX(PCIe104_INF_E1N001INF1!N:N,MATCH('По платам'!$B361,PCIe104_INF_E1N001INF1!L:L,0)),0)</f>
        <v>1</v>
      </c>
      <c r="K361">
        <f>IFERROR(INDEX(IB_2RS232_E1N002INF1!N:N,MATCH('По платам'!$B361,IB_2RS232_E1N002INF1!L:L,0)),0)</f>
        <v>0</v>
      </c>
      <c r="L361">
        <f>IFERROR(INDEX(IB_2CAN_E1N003INF1!N:N,MATCH('По платам'!$B361,IB_2CAN_E1N003INF1!L:L,0)),0)</f>
        <v>0</v>
      </c>
    </row>
    <row r="362" spans="2:12">
      <c r="B362" s="3" t="s">
        <v>236</v>
      </c>
      <c r="C362">
        <f>IFERROR(INDEX('C2B004CPU2'!N:N,MATCH('По платам'!B362,'C2B004CPU2'!L:L,0)),0)</f>
        <v>0</v>
      </c>
      <c r="D362">
        <f>IFERROR(INDEX(SBC_DIO_E1N004INF1!N:N,MATCH('По платам'!$B362,SBC_DIO_E1N004INF1!L:L,0)),0)</f>
        <v>0</v>
      </c>
      <c r="E362">
        <f>IFERROR(INDEX(SBC_35_2C3_1_E1E001CPU1E!N:N,MATCH('По платам'!$B362,SBC_35_2C3_1_E1E001CPU1E!L:L,0)),0)</f>
        <v>6</v>
      </c>
      <c r="F362">
        <f>IFERROR(INDEX(PCIe104_PSU_E1N001PWR1!N:N,MATCH('По платам'!$B362,PCIe104_PSU_E1N001PWR1!L:L,0)),0)</f>
        <v>0</v>
      </c>
      <c r="G362">
        <f>IFERROR(INDEX(PCIe104_INF2_E1N006INF1!N:N,MATCH('По платам'!$B362,PCIe104_INF2_E1N006INF1!L:L,0)),0)</f>
        <v>0</v>
      </c>
      <c r="H362">
        <f>IFERROR(INDEX(PCIe104_CON_E1N005INF1!N:N,MATCH('По платам'!$B362,PCIe104_CON_E1N005INF1!L:L,0)),0)</f>
        <v>0</v>
      </c>
      <c r="I362">
        <f>IFERROR(INDEX('EM-PCIE104-CPU_E1E001CPU1E'!N:N,MATCH('По платам'!$B362,'EM-PCIE104-CPU_E1E001CPU1E'!L:L,0)),0)</f>
        <v>5</v>
      </c>
      <c r="J362">
        <f>IFERROR(INDEX(PCIe104_INF_E1N001INF1!N:N,MATCH('По платам'!$B362,PCIe104_INF_E1N001INF1!L:L,0)),0)</f>
        <v>6</v>
      </c>
      <c r="K362">
        <f>IFERROR(INDEX(IB_2RS232_E1N002INF1!N:N,MATCH('По платам'!$B362,IB_2RS232_E1N002INF1!L:L,0)),0)</f>
        <v>0</v>
      </c>
      <c r="L362">
        <f>IFERROR(INDEX(IB_2CAN_E1N003INF1!N:N,MATCH('По платам'!$B362,IB_2CAN_E1N003INF1!L:L,0)),0)</f>
        <v>0</v>
      </c>
    </row>
    <row r="363" spans="2:12">
      <c r="B363" s="3" t="s">
        <v>1133</v>
      </c>
      <c r="C363">
        <f>IFERROR(INDEX('C2B004CPU2'!N:N,MATCH('По платам'!B363,'C2B004CPU2'!L:L,0)),0)</f>
        <v>0</v>
      </c>
      <c r="D363">
        <f>IFERROR(INDEX(SBC_DIO_E1N004INF1!N:N,MATCH('По платам'!$B363,SBC_DIO_E1N004INF1!L:L,0)),0)</f>
        <v>0</v>
      </c>
      <c r="E363">
        <f>IFERROR(INDEX(SBC_35_2C3_1_E1E001CPU1E!N:N,MATCH('По платам'!$B363,SBC_35_2C3_1_E1E001CPU1E!L:L,0)),0)</f>
        <v>0</v>
      </c>
      <c r="F363">
        <f>IFERROR(INDEX(PCIe104_PSU_E1N001PWR1!N:N,MATCH('По платам'!$B363,PCIe104_PSU_E1N001PWR1!L:L,0)),0)</f>
        <v>0</v>
      </c>
      <c r="G363">
        <f>IFERROR(INDEX(PCIe104_INF2_E1N006INF1!N:N,MATCH('По платам'!$B363,PCIe104_INF2_E1N006INF1!L:L,0)),0)</f>
        <v>0</v>
      </c>
      <c r="H363">
        <f>IFERROR(INDEX(PCIe104_CON_E1N005INF1!N:N,MATCH('По платам'!$B363,PCIe104_CON_E1N005INF1!L:L,0)),0)</f>
        <v>8</v>
      </c>
      <c r="I363">
        <f>IFERROR(INDEX('EM-PCIE104-CPU_E1E001CPU1E'!N:N,MATCH('По платам'!$B363,'EM-PCIE104-CPU_E1E001CPU1E'!L:L,0)),0)</f>
        <v>0</v>
      </c>
      <c r="J363">
        <f>IFERROR(INDEX(PCIe104_INF_E1N001INF1!N:N,MATCH('По платам'!$B363,PCIe104_INF_E1N001INF1!L:L,0)),0)</f>
        <v>0</v>
      </c>
      <c r="K363">
        <f>IFERROR(INDEX(IB_2RS232_E1N002INF1!N:N,MATCH('По платам'!$B363,IB_2RS232_E1N002INF1!L:L,0)),0)</f>
        <v>0</v>
      </c>
      <c r="L363">
        <f>IFERROR(INDEX(IB_2CAN_E1N003INF1!N:N,MATCH('По платам'!$B363,IB_2CAN_E1N003INF1!L:L,0)),0)</f>
        <v>0</v>
      </c>
    </row>
    <row r="364" spans="2:12">
      <c r="B364" s="3" t="s">
        <v>247</v>
      </c>
      <c r="C364">
        <f>IFERROR(INDEX('C2B004CPU2'!N:N,MATCH('По платам'!B364,'C2B004CPU2'!L:L,0)),0)</f>
        <v>0</v>
      </c>
      <c r="D364">
        <f>IFERROR(INDEX(SBC_DIO_E1N004INF1!N:N,MATCH('По платам'!$B364,SBC_DIO_E1N004INF1!L:L,0)),0)</f>
        <v>0</v>
      </c>
      <c r="E364">
        <f>IFERROR(INDEX(SBC_35_2C3_1_E1E001CPU1E!N:N,MATCH('По платам'!$B364,SBC_35_2C3_1_E1E001CPU1E!L:L,0)),0)</f>
        <v>253</v>
      </c>
      <c r="F364">
        <f>IFERROR(INDEX(PCIe104_PSU_E1N001PWR1!N:N,MATCH('По платам'!$B364,PCIe104_PSU_E1N001PWR1!L:L,0)),0)</f>
        <v>0</v>
      </c>
      <c r="G364">
        <f>IFERROR(INDEX(PCIe104_INF2_E1N006INF1!N:N,MATCH('По платам'!$B364,PCIe104_INF2_E1N006INF1!L:L,0)),0)</f>
        <v>6</v>
      </c>
      <c r="H364">
        <f>IFERROR(INDEX(PCIe104_CON_E1N005INF1!N:N,MATCH('По платам'!$B364,PCIe104_CON_E1N005INF1!L:L,0)),0)</f>
        <v>0</v>
      </c>
      <c r="I364">
        <f>IFERROR(INDEX('EM-PCIE104-CPU_E1E001CPU1E'!N:N,MATCH('По платам'!$B364,'EM-PCIE104-CPU_E1E001CPU1E'!L:L,0)),0)</f>
        <v>218</v>
      </c>
      <c r="J364">
        <f>IFERROR(INDEX(PCIe104_INF_E1N001INF1!N:N,MATCH('По платам'!$B364,PCIe104_INF_E1N001INF1!L:L,0)),0)</f>
        <v>108</v>
      </c>
      <c r="K364">
        <f>IFERROR(INDEX(IB_2RS232_E1N002INF1!N:N,MATCH('По платам'!$B364,IB_2RS232_E1N002INF1!L:L,0)),0)</f>
        <v>0</v>
      </c>
      <c r="L364">
        <f>IFERROR(INDEX(IB_2CAN_E1N003INF1!N:N,MATCH('По платам'!$B364,IB_2CAN_E1N003INF1!L:L,0)),0)</f>
        <v>0</v>
      </c>
    </row>
    <row r="365" spans="2:12">
      <c r="B365" s="3" t="s">
        <v>244</v>
      </c>
      <c r="C365">
        <f>IFERROR(INDEX('C2B004CPU2'!N:N,MATCH('По платам'!B365,'C2B004CPU2'!L:L,0)),0)</f>
        <v>0</v>
      </c>
      <c r="D365">
        <f>IFERROR(INDEX(SBC_DIO_E1N004INF1!N:N,MATCH('По платам'!$B365,SBC_DIO_E1N004INF1!L:L,0)),0)</f>
        <v>0</v>
      </c>
      <c r="E365">
        <f>IFERROR(INDEX(SBC_35_2C3_1_E1E001CPU1E!N:N,MATCH('По платам'!$B365,SBC_35_2C3_1_E1E001CPU1E!L:L,0)),0)</f>
        <v>275</v>
      </c>
      <c r="F365">
        <f>IFERROR(INDEX(PCIe104_PSU_E1N001PWR1!N:N,MATCH('По платам'!$B365,PCIe104_PSU_E1N001PWR1!L:L,0)),0)</f>
        <v>1</v>
      </c>
      <c r="G365">
        <f>IFERROR(INDEX(PCIe104_INF2_E1N006INF1!N:N,MATCH('По платам'!$B365,PCIe104_INF2_E1N006INF1!L:L,0)),0)</f>
        <v>54</v>
      </c>
      <c r="H365">
        <f>IFERROR(INDEX(PCIe104_CON_E1N005INF1!N:N,MATCH('По платам'!$B365,PCIe104_CON_E1N005INF1!L:L,0)),0)</f>
        <v>0</v>
      </c>
      <c r="I365">
        <f>IFERROR(INDEX('EM-PCIE104-CPU_E1E001CPU1E'!N:N,MATCH('По платам'!$B365,'EM-PCIE104-CPU_E1E001CPU1E'!L:L,0)),0)</f>
        <v>248</v>
      </c>
      <c r="J365">
        <f>IFERROR(INDEX(PCIe104_INF_E1N001INF1!N:N,MATCH('По платам'!$B365,PCIe104_INF_E1N001INF1!L:L,0)),0)</f>
        <v>102</v>
      </c>
      <c r="K365">
        <f>IFERROR(INDEX(IB_2RS232_E1N002INF1!N:N,MATCH('По платам'!$B365,IB_2RS232_E1N002INF1!L:L,0)),0)</f>
        <v>0</v>
      </c>
      <c r="L365">
        <f>IFERROR(INDEX(IB_2CAN_E1N003INF1!N:N,MATCH('По платам'!$B365,IB_2CAN_E1N003INF1!L:L,0)),0)</f>
        <v>0</v>
      </c>
    </row>
    <row r="366" spans="2:12">
      <c r="B366" s="3" t="s">
        <v>284</v>
      </c>
      <c r="C366">
        <f>IFERROR(INDEX('C2B004CPU2'!N:N,MATCH('По платам'!B366,'C2B004CPU2'!L:L,0)),0)</f>
        <v>0</v>
      </c>
      <c r="D366">
        <f>IFERROR(INDEX(SBC_DIO_E1N004INF1!N:N,MATCH('По платам'!$B366,SBC_DIO_E1N004INF1!L:L,0)),0)</f>
        <v>0</v>
      </c>
      <c r="E366">
        <f>IFERROR(INDEX(SBC_35_2C3_1_E1E001CPU1E!N:N,MATCH('По платам'!$B366,SBC_35_2C3_1_E1E001CPU1E!L:L,0)),0)</f>
        <v>9</v>
      </c>
      <c r="F366">
        <f>IFERROR(INDEX(PCIe104_PSU_E1N001PWR1!N:N,MATCH('По платам'!$B366,PCIe104_PSU_E1N001PWR1!L:L,0)),0)</f>
        <v>0</v>
      </c>
      <c r="G366">
        <f>IFERROR(INDEX(PCIe104_INF2_E1N006INF1!N:N,MATCH('По платам'!$B366,PCIe104_INF2_E1N006INF1!L:L,0)),0)</f>
        <v>0</v>
      </c>
      <c r="H366">
        <f>IFERROR(INDEX(PCIe104_CON_E1N005INF1!N:N,MATCH('По платам'!$B366,PCIe104_CON_E1N005INF1!L:L,0)),0)</f>
        <v>0</v>
      </c>
      <c r="I366">
        <f>IFERROR(INDEX('EM-PCIE104-CPU_E1E001CPU1E'!N:N,MATCH('По платам'!$B366,'EM-PCIE104-CPU_E1E001CPU1E'!L:L,0)),0)</f>
        <v>4</v>
      </c>
      <c r="J366">
        <f>IFERROR(INDEX(PCIe104_INF_E1N001INF1!N:N,MATCH('По платам'!$B366,PCIe104_INF_E1N001INF1!L:L,0)),0)</f>
        <v>3</v>
      </c>
      <c r="K366">
        <f>IFERROR(INDEX(IB_2RS232_E1N002INF1!N:N,MATCH('По платам'!$B366,IB_2RS232_E1N002INF1!L:L,0)),0)</f>
        <v>0</v>
      </c>
      <c r="L366">
        <f>IFERROR(INDEX(IB_2CAN_E1N003INF1!N:N,MATCH('По платам'!$B366,IB_2CAN_E1N003INF1!L:L,0)),0)</f>
        <v>0</v>
      </c>
    </row>
    <row r="367" spans="2:12">
      <c r="B367" s="3" t="s">
        <v>301</v>
      </c>
      <c r="C367">
        <f>IFERROR(INDEX('C2B004CPU2'!N:N,MATCH('По платам'!B367,'C2B004CPU2'!L:L,0)),0)</f>
        <v>0</v>
      </c>
      <c r="D367">
        <f>IFERROR(INDEX(SBC_DIO_E1N004INF1!N:N,MATCH('По платам'!$B367,SBC_DIO_E1N004INF1!L:L,0)),0)</f>
        <v>0</v>
      </c>
      <c r="E367">
        <f>IFERROR(INDEX(SBC_35_2C3_1_E1E001CPU1E!N:N,MATCH('По платам'!$B367,SBC_35_2C3_1_E1E001CPU1E!L:L,0)),0)</f>
        <v>0</v>
      </c>
      <c r="F367">
        <f>IFERROR(INDEX(PCIe104_PSU_E1N001PWR1!N:N,MATCH('По платам'!$B367,PCIe104_PSU_E1N001PWR1!L:L,0)),0)</f>
        <v>0</v>
      </c>
      <c r="G367">
        <f>IFERROR(INDEX(PCIe104_INF2_E1N006INF1!N:N,MATCH('По платам'!$B367,PCIe104_INF2_E1N006INF1!L:L,0)),0)</f>
        <v>0</v>
      </c>
      <c r="H367">
        <f>IFERROR(INDEX(PCIe104_CON_E1N005INF1!N:N,MATCH('По платам'!$B367,PCIe104_CON_E1N005INF1!L:L,0)),0)</f>
        <v>0</v>
      </c>
      <c r="I367">
        <f>IFERROR(INDEX('EM-PCIE104-CPU_E1E001CPU1E'!N:N,MATCH('По платам'!$B367,'EM-PCIE104-CPU_E1E001CPU1E'!L:L,0)),0)</f>
        <v>0</v>
      </c>
      <c r="J367">
        <f>IFERROR(INDEX(PCIe104_INF_E1N001INF1!N:N,MATCH('По платам'!$B367,PCIe104_INF_E1N001INF1!L:L,0)),0)</f>
        <v>7</v>
      </c>
      <c r="K367">
        <f>IFERROR(INDEX(IB_2RS232_E1N002INF1!N:N,MATCH('По платам'!$B367,IB_2RS232_E1N002INF1!L:L,0)),0)</f>
        <v>0</v>
      </c>
      <c r="L367">
        <f>IFERROR(INDEX(IB_2CAN_E1N003INF1!N:N,MATCH('По платам'!$B367,IB_2CAN_E1N003INF1!L:L,0)),0)</f>
        <v>0</v>
      </c>
    </row>
    <row r="368" spans="2:12">
      <c r="B368" s="3" t="s">
        <v>33</v>
      </c>
      <c r="C368">
        <f>IFERROR(INDEX('C2B004CPU2'!N:N,MATCH('По платам'!B368,'C2B004CPU2'!L:L,0)),0)</f>
        <v>0</v>
      </c>
      <c r="D368">
        <f>IFERROR(INDEX(SBC_DIO_E1N004INF1!N:N,MATCH('По платам'!$B368,SBC_DIO_E1N004INF1!L:L,0)),0)</f>
        <v>0</v>
      </c>
      <c r="E368">
        <f>IFERROR(INDEX(SBC_35_2C3_1_E1E001CPU1E!N:N,MATCH('По платам'!$B368,SBC_35_2C3_1_E1E001CPU1E!L:L,0)),0)</f>
        <v>13</v>
      </c>
      <c r="F368">
        <f>IFERROR(INDEX(PCIe104_PSU_E1N001PWR1!N:N,MATCH('По платам'!$B368,PCIe104_PSU_E1N001PWR1!L:L,0)),0)</f>
        <v>6</v>
      </c>
      <c r="G368">
        <f>IFERROR(INDEX(PCIe104_INF2_E1N006INF1!N:N,MATCH('По платам'!$B368,PCIe104_INF2_E1N006INF1!L:L,0)),0)</f>
        <v>0</v>
      </c>
      <c r="H368">
        <f>IFERROR(INDEX(PCIe104_CON_E1N005INF1!N:N,MATCH('По платам'!$B368,PCIe104_CON_E1N005INF1!L:L,0)),0)</f>
        <v>0</v>
      </c>
      <c r="I368">
        <f>IFERROR(INDEX('EM-PCIE104-CPU_E1E001CPU1E'!N:N,MATCH('По платам'!$B368,'EM-PCIE104-CPU_E1E001CPU1E'!L:L,0)),0)</f>
        <v>1</v>
      </c>
      <c r="J368">
        <f>IFERROR(INDEX(PCIe104_INF_E1N001INF1!N:N,MATCH('По платам'!$B368,PCIe104_INF_E1N001INF1!L:L,0)),0)</f>
        <v>5</v>
      </c>
      <c r="K368">
        <f>IFERROR(INDEX(IB_2RS232_E1N002INF1!N:N,MATCH('По платам'!$B368,IB_2RS232_E1N002INF1!L:L,0)),0)</f>
        <v>11</v>
      </c>
      <c r="L368">
        <f>IFERROR(INDEX(IB_2CAN_E1N003INF1!N:N,MATCH('По платам'!$B368,IB_2CAN_E1N003INF1!L:L,0)),0)</f>
        <v>3</v>
      </c>
    </row>
    <row r="369" spans="2:12">
      <c r="B369" s="3" t="s">
        <v>241</v>
      </c>
      <c r="C369">
        <f>IFERROR(INDEX('C2B004CPU2'!N:N,MATCH('По платам'!B369,'C2B004CPU2'!L:L,0)),0)</f>
        <v>0</v>
      </c>
      <c r="D369">
        <f>IFERROR(INDEX(SBC_DIO_E1N004INF1!N:N,MATCH('По платам'!$B369,SBC_DIO_E1N004INF1!L:L,0)),0)</f>
        <v>0</v>
      </c>
      <c r="E369">
        <f>IFERROR(INDEX(SBC_35_2C3_1_E1E001CPU1E!N:N,MATCH('По платам'!$B369,SBC_35_2C3_1_E1E001CPU1E!L:L,0)),0)</f>
        <v>9</v>
      </c>
      <c r="F369">
        <f>IFERROR(INDEX(PCIe104_PSU_E1N001PWR1!N:N,MATCH('По платам'!$B369,PCIe104_PSU_E1N001PWR1!L:L,0)),0)</f>
        <v>19</v>
      </c>
      <c r="G369">
        <f>IFERROR(INDEX(PCIe104_INF2_E1N006INF1!N:N,MATCH('По платам'!$B369,PCIe104_INF2_E1N006INF1!L:L,0)),0)</f>
        <v>4</v>
      </c>
      <c r="H369">
        <f>IFERROR(INDEX(PCIe104_CON_E1N005INF1!N:N,MATCH('По платам'!$B369,PCIe104_CON_E1N005INF1!L:L,0)),0)</f>
        <v>4</v>
      </c>
      <c r="I369">
        <f>IFERROR(INDEX('EM-PCIE104-CPU_E1E001CPU1E'!N:N,MATCH('По платам'!$B369,'EM-PCIE104-CPU_E1E001CPU1E'!L:L,0)),0)</f>
        <v>30</v>
      </c>
      <c r="J369">
        <f>IFERROR(INDEX(PCIe104_INF_E1N001INF1!N:N,MATCH('По платам'!$B369,PCIe104_INF_E1N001INF1!L:L,0)),0)</f>
        <v>30</v>
      </c>
      <c r="K369">
        <f>IFERROR(INDEX(IB_2RS232_E1N002INF1!N:N,MATCH('По платам'!$B369,IB_2RS232_E1N002INF1!L:L,0)),0)</f>
        <v>0</v>
      </c>
      <c r="L369">
        <f>IFERROR(INDEX(IB_2CAN_E1N003INF1!N:N,MATCH('По платам'!$B369,IB_2CAN_E1N003INF1!L:L,0)),0)</f>
        <v>0</v>
      </c>
    </row>
    <row r="370" spans="2:12">
      <c r="B370" s="3" t="s">
        <v>1318</v>
      </c>
      <c r="C370">
        <f>IFERROR(INDEX('C2B004CPU2'!N:N,MATCH('По платам'!B370,'C2B004CPU2'!L:L,0)),0)</f>
        <v>0</v>
      </c>
      <c r="D370">
        <f>IFERROR(INDEX(SBC_DIO_E1N004INF1!N:N,MATCH('По платам'!$B370,SBC_DIO_E1N004INF1!L:L,0)),0)</f>
        <v>0</v>
      </c>
      <c r="E370">
        <f>IFERROR(INDEX(SBC_35_2C3_1_E1E001CPU1E!N:N,MATCH('По платам'!$B370,SBC_35_2C3_1_E1E001CPU1E!L:L,0)),0)</f>
        <v>0</v>
      </c>
      <c r="F370">
        <f>IFERROR(INDEX(PCIe104_PSU_E1N001PWR1!N:N,MATCH('По платам'!$B370,PCIe104_PSU_E1N001PWR1!L:L,0)),0)</f>
        <v>8</v>
      </c>
      <c r="G370">
        <f>IFERROR(INDEX(PCIe104_INF2_E1N006INF1!N:N,MATCH('По платам'!$B370,PCIe104_INF2_E1N006INF1!L:L,0)),0)</f>
        <v>0</v>
      </c>
      <c r="H370">
        <f>IFERROR(INDEX(PCIe104_CON_E1N005INF1!N:N,MATCH('По платам'!$B370,PCIe104_CON_E1N005INF1!L:L,0)),0)</f>
        <v>0</v>
      </c>
      <c r="I370">
        <f>IFERROR(INDEX('EM-PCIE104-CPU_E1E001CPU1E'!N:N,MATCH('По платам'!$B370,'EM-PCIE104-CPU_E1E001CPU1E'!L:L,0)),0)</f>
        <v>0</v>
      </c>
      <c r="J370">
        <f>IFERROR(INDEX(PCIe104_INF_E1N001INF1!N:N,MATCH('По платам'!$B370,PCIe104_INF_E1N001INF1!L:L,0)),0)</f>
        <v>0</v>
      </c>
      <c r="K370">
        <f>IFERROR(INDEX(IB_2RS232_E1N002INF1!N:N,MATCH('По платам'!$B370,IB_2RS232_E1N002INF1!L:L,0)),0)</f>
        <v>0</v>
      </c>
      <c r="L370">
        <f>IFERROR(INDEX(IB_2CAN_E1N003INF1!N:N,MATCH('По платам'!$B370,IB_2CAN_E1N003INF1!L:L,0)),0)</f>
        <v>0</v>
      </c>
    </row>
    <row r="371" spans="2:12">
      <c r="B371" s="3" t="s">
        <v>787</v>
      </c>
      <c r="C371">
        <f>IFERROR(INDEX('C2B004CPU2'!N:N,MATCH('По платам'!B371,'C2B004CPU2'!L:L,0)),0)</f>
        <v>0</v>
      </c>
      <c r="D371">
        <f>IFERROR(INDEX(SBC_DIO_E1N004INF1!N:N,MATCH('По платам'!$B371,SBC_DIO_E1N004INF1!L:L,0)),0)</f>
        <v>0</v>
      </c>
      <c r="E371">
        <f>IFERROR(INDEX(SBC_35_2C3_1_E1E001CPU1E!N:N,MATCH('По платам'!$B371,SBC_35_2C3_1_E1E001CPU1E!L:L,0)),0)</f>
        <v>0</v>
      </c>
      <c r="F371">
        <f>IFERROR(INDEX(PCIe104_PSU_E1N001PWR1!N:N,MATCH('По платам'!$B371,PCIe104_PSU_E1N001PWR1!L:L,0)),0)</f>
        <v>0</v>
      </c>
      <c r="G371">
        <f>IFERROR(INDEX(PCIe104_INF2_E1N006INF1!N:N,MATCH('По платам'!$B371,PCIe104_INF2_E1N006INF1!L:L,0)),0)</f>
        <v>0</v>
      </c>
      <c r="H371">
        <f>IFERROR(INDEX(PCIe104_CON_E1N005INF1!N:N,MATCH('По платам'!$B371,PCIe104_CON_E1N005INF1!L:L,0)),0)</f>
        <v>0</v>
      </c>
      <c r="I371">
        <f>IFERROR(INDEX('EM-PCIE104-CPU_E1E001CPU1E'!N:N,MATCH('По платам'!$B371,'EM-PCIE104-CPU_E1E001CPU1E'!L:L,0)),0)</f>
        <v>9</v>
      </c>
      <c r="J371">
        <f>IFERROR(INDEX(PCIe104_INF_E1N001INF1!N:N,MATCH('По платам'!$B371,PCIe104_INF_E1N001INF1!L:L,0)),0)</f>
        <v>0</v>
      </c>
      <c r="K371">
        <f>IFERROR(INDEX(IB_2RS232_E1N002INF1!N:N,MATCH('По платам'!$B371,IB_2RS232_E1N002INF1!L:L,0)),0)</f>
        <v>0</v>
      </c>
      <c r="L371">
        <f>IFERROR(INDEX(IB_2CAN_E1N003INF1!N:N,MATCH('По платам'!$B371,IB_2CAN_E1N003INF1!L:L,0)),0)</f>
        <v>0</v>
      </c>
    </row>
    <row r="372" spans="2:12">
      <c r="B372" s="3" t="s">
        <v>407</v>
      </c>
      <c r="C372">
        <f>IFERROR(INDEX('C2B004CPU2'!N:N,MATCH('По платам'!B372,'C2B004CPU2'!L:L,0)),0)</f>
        <v>0</v>
      </c>
      <c r="D372">
        <f>IFERROR(INDEX(SBC_DIO_E1N004INF1!N:N,MATCH('По платам'!$B372,SBC_DIO_E1N004INF1!L:L,0)),0)</f>
        <v>0</v>
      </c>
      <c r="E372">
        <f>IFERROR(INDEX(SBC_35_2C3_1_E1E001CPU1E!N:N,MATCH('По платам'!$B372,SBC_35_2C3_1_E1E001CPU1E!L:L,0)),0)</f>
        <v>29</v>
      </c>
      <c r="F372">
        <f>IFERROR(INDEX(PCIe104_PSU_E1N001PWR1!N:N,MATCH('По платам'!$B372,PCIe104_PSU_E1N001PWR1!L:L,0)),0)</f>
        <v>0</v>
      </c>
      <c r="G372">
        <f>IFERROR(INDEX(PCIe104_INF2_E1N006INF1!N:N,MATCH('По платам'!$B372,PCIe104_INF2_E1N006INF1!L:L,0)),0)</f>
        <v>0</v>
      </c>
      <c r="H372">
        <f>IFERROR(INDEX(PCIe104_CON_E1N005INF1!N:N,MATCH('По платам'!$B372,PCIe104_CON_E1N005INF1!L:L,0)),0)</f>
        <v>0</v>
      </c>
      <c r="I372">
        <f>IFERROR(INDEX('EM-PCIE104-CPU_E1E001CPU1E'!N:N,MATCH('По платам'!$B372,'EM-PCIE104-CPU_E1E001CPU1E'!L:L,0)),0)</f>
        <v>23</v>
      </c>
      <c r="J372">
        <f>IFERROR(INDEX(PCIe104_INF_E1N001INF1!N:N,MATCH('По платам'!$B372,PCIe104_INF_E1N001INF1!L:L,0)),0)</f>
        <v>8</v>
      </c>
      <c r="K372">
        <f>IFERROR(INDEX(IB_2RS232_E1N002INF1!N:N,MATCH('По платам'!$B372,IB_2RS232_E1N002INF1!L:L,0)),0)</f>
        <v>0</v>
      </c>
      <c r="L372">
        <f>IFERROR(INDEX(IB_2CAN_E1N003INF1!N:N,MATCH('По платам'!$B372,IB_2CAN_E1N003INF1!L:L,0)),0)</f>
        <v>0</v>
      </c>
    </row>
    <row r="373" spans="2:12">
      <c r="B373" s="3" t="s">
        <v>1672</v>
      </c>
      <c r="C373">
        <f>IFERROR(INDEX('C2B004CPU2'!N:N,MATCH('По платам'!B373,'C2B004CPU2'!L:L,0)),0)</f>
        <v>0</v>
      </c>
      <c r="D373">
        <f>IFERROR(INDEX(SBC_DIO_E1N004INF1!N:N,MATCH('По платам'!$B373,SBC_DIO_E1N004INF1!L:L,0)),0)</f>
        <v>0</v>
      </c>
      <c r="E373">
        <f>IFERROR(INDEX(SBC_35_2C3_1_E1E001CPU1E!N:N,MATCH('По платам'!$B373,SBC_35_2C3_1_E1E001CPU1E!L:L,0)),0)</f>
        <v>18</v>
      </c>
      <c r="F373">
        <f>IFERROR(INDEX(PCIe104_PSU_E1N001PWR1!N:N,MATCH('По платам'!$B373,PCIe104_PSU_E1N001PWR1!L:L,0)),0)</f>
        <v>0</v>
      </c>
      <c r="G373">
        <f>IFERROR(INDEX(PCIe104_INF2_E1N006INF1!N:N,MATCH('По платам'!$B373,PCIe104_INF2_E1N006INF1!L:L,0)),0)</f>
        <v>0</v>
      </c>
      <c r="H373">
        <f>IFERROR(INDEX(PCIe104_CON_E1N005INF1!N:N,MATCH('По платам'!$B373,PCIe104_CON_E1N005INF1!L:L,0)),0)</f>
        <v>0</v>
      </c>
      <c r="I373">
        <f>IFERROR(INDEX('EM-PCIE104-CPU_E1E001CPU1E'!N:N,MATCH('По платам'!$B373,'EM-PCIE104-CPU_E1E001CPU1E'!L:L,0)),0)</f>
        <v>8</v>
      </c>
      <c r="J373">
        <f>IFERROR(INDEX(PCIe104_INF_E1N001INF1!N:N,MATCH('По платам'!$B373,PCIe104_INF_E1N001INF1!L:L,0)),0)</f>
        <v>0</v>
      </c>
      <c r="K373">
        <f>IFERROR(INDEX(IB_2RS232_E1N002INF1!N:N,MATCH('По платам'!$B373,IB_2RS232_E1N002INF1!L:L,0)),0)</f>
        <v>0</v>
      </c>
      <c r="L373">
        <f>IFERROR(INDEX(IB_2CAN_E1N003INF1!N:N,MATCH('По платам'!$B373,IB_2CAN_E1N003INF1!L:L,0)),0)</f>
        <v>0</v>
      </c>
    </row>
    <row r="374" spans="2:12">
      <c r="B374" s="3" t="s">
        <v>1716</v>
      </c>
      <c r="C374">
        <f>IFERROR(INDEX('C2B004CPU2'!N:N,MATCH('По платам'!B374,'C2B004CPU2'!L:L,0)),0)</f>
        <v>0</v>
      </c>
      <c r="D374">
        <f>IFERROR(INDEX(SBC_DIO_E1N004INF1!N:N,MATCH('По платам'!$B374,SBC_DIO_E1N004INF1!L:L,0)),0)</f>
        <v>0</v>
      </c>
      <c r="E374">
        <f>IFERROR(INDEX(SBC_35_2C3_1_E1E001CPU1E!N:N,MATCH('По платам'!$B374,SBC_35_2C3_1_E1E001CPU1E!L:L,0)),0)</f>
        <v>1</v>
      </c>
      <c r="F374">
        <f>IFERROR(INDEX(PCIe104_PSU_E1N001PWR1!N:N,MATCH('По платам'!$B374,PCIe104_PSU_E1N001PWR1!L:L,0)),0)</f>
        <v>0</v>
      </c>
      <c r="G374">
        <f>IFERROR(INDEX(PCIe104_INF2_E1N006INF1!N:N,MATCH('По платам'!$B374,PCIe104_INF2_E1N006INF1!L:L,0)),0)</f>
        <v>0</v>
      </c>
      <c r="H374">
        <f>IFERROR(INDEX(PCIe104_CON_E1N005INF1!N:N,MATCH('По платам'!$B374,PCIe104_CON_E1N005INF1!L:L,0)),0)</f>
        <v>0</v>
      </c>
      <c r="I374">
        <f>IFERROR(INDEX('EM-PCIE104-CPU_E1E001CPU1E'!N:N,MATCH('По платам'!$B374,'EM-PCIE104-CPU_E1E001CPU1E'!L:L,0)),0)</f>
        <v>0</v>
      </c>
      <c r="J374">
        <f>IFERROR(INDEX(PCIe104_INF_E1N001INF1!N:N,MATCH('По платам'!$B374,PCIe104_INF_E1N001INF1!L:L,0)),0)</f>
        <v>0</v>
      </c>
      <c r="K374">
        <f>IFERROR(INDEX(IB_2RS232_E1N002INF1!N:N,MATCH('По платам'!$B374,IB_2RS232_E1N002INF1!L:L,0)),0)</f>
        <v>0</v>
      </c>
      <c r="L374">
        <f>IFERROR(INDEX(IB_2CAN_E1N003INF1!N:N,MATCH('По платам'!$B374,IB_2CAN_E1N003INF1!L:L,0)),0)</f>
        <v>0</v>
      </c>
    </row>
    <row r="375" spans="2:12">
      <c r="B375" s="3" t="s">
        <v>189</v>
      </c>
      <c r="C375">
        <f>IFERROR(INDEX('C2B004CPU2'!N:N,MATCH('По платам'!B375,'C2B004CPU2'!L:L,0)),0)</f>
        <v>0</v>
      </c>
      <c r="D375">
        <f>IFERROR(INDEX(SBC_DIO_E1N004INF1!N:N,MATCH('По платам'!$B375,SBC_DIO_E1N004INF1!L:L,0)),0)</f>
        <v>1</v>
      </c>
      <c r="E375">
        <f>IFERROR(INDEX(SBC_35_2C3_1_E1E001CPU1E!N:N,MATCH('По платам'!$B375,SBC_35_2C3_1_E1E001CPU1E!L:L,0)),0)</f>
        <v>18</v>
      </c>
      <c r="F375">
        <f>IFERROR(INDEX(PCIe104_PSU_E1N001PWR1!N:N,MATCH('По платам'!$B375,PCIe104_PSU_E1N001PWR1!L:L,0)),0)</f>
        <v>0</v>
      </c>
      <c r="G375">
        <f>IFERROR(INDEX(PCIe104_INF2_E1N006INF1!N:N,MATCH('По платам'!$B375,PCIe104_INF2_E1N006INF1!L:L,0)),0)</f>
        <v>4</v>
      </c>
      <c r="H375">
        <f>IFERROR(INDEX(PCIe104_CON_E1N005INF1!N:N,MATCH('По платам'!$B375,PCIe104_CON_E1N005INF1!L:L,0)),0)</f>
        <v>6</v>
      </c>
      <c r="I375">
        <f>IFERROR(INDEX('EM-PCIE104-CPU_E1E001CPU1E'!N:N,MATCH('По платам'!$B375,'EM-PCIE104-CPU_E1E001CPU1E'!L:L,0)),0)</f>
        <v>4</v>
      </c>
      <c r="J375">
        <f>IFERROR(INDEX(PCIe104_INF_E1N001INF1!N:N,MATCH('По платам'!$B375,PCIe104_INF_E1N001INF1!L:L,0)),0)</f>
        <v>4</v>
      </c>
      <c r="K375">
        <f>IFERROR(INDEX(IB_2RS232_E1N002INF1!N:N,MATCH('По платам'!$B375,IB_2RS232_E1N002INF1!L:L,0)),0)</f>
        <v>16</v>
      </c>
      <c r="L375">
        <f>IFERROR(INDEX(IB_2CAN_E1N003INF1!N:N,MATCH('По платам'!$B375,IB_2CAN_E1N003INF1!L:L,0)),0)</f>
        <v>0</v>
      </c>
    </row>
    <row r="376" spans="2:12">
      <c r="B376" s="3" t="s">
        <v>810</v>
      </c>
      <c r="C376">
        <f>IFERROR(INDEX('C2B004CPU2'!N:N,MATCH('По платам'!B376,'C2B004CPU2'!L:L,0)),0)</f>
        <v>0</v>
      </c>
      <c r="D376">
        <f>IFERROR(INDEX(SBC_DIO_E1N004INF1!N:N,MATCH('По платам'!$B376,SBC_DIO_E1N004INF1!L:L,0)),0)</f>
        <v>0</v>
      </c>
      <c r="E376">
        <f>IFERROR(INDEX(SBC_35_2C3_1_E1E001CPU1E!N:N,MATCH('По платам'!$B376,SBC_35_2C3_1_E1E001CPU1E!L:L,0)),0)</f>
        <v>0</v>
      </c>
      <c r="F376">
        <f>IFERROR(INDEX(PCIe104_PSU_E1N001PWR1!N:N,MATCH('По платам'!$B376,PCIe104_PSU_E1N001PWR1!L:L,0)),0)</f>
        <v>0</v>
      </c>
      <c r="G376">
        <f>IFERROR(INDEX(PCIe104_INF2_E1N006INF1!N:N,MATCH('По платам'!$B376,PCIe104_INF2_E1N006INF1!L:L,0)),0)</f>
        <v>0</v>
      </c>
      <c r="H376">
        <f>IFERROR(INDEX(PCIe104_CON_E1N005INF1!N:N,MATCH('По платам'!$B376,PCIe104_CON_E1N005INF1!L:L,0)),0)</f>
        <v>0</v>
      </c>
      <c r="I376">
        <f>IFERROR(INDEX('EM-PCIE104-CPU_E1E001CPU1E'!N:N,MATCH('По платам'!$B376,'EM-PCIE104-CPU_E1E001CPU1E'!L:L,0)),0)</f>
        <v>1</v>
      </c>
      <c r="J376">
        <f>IFERROR(INDEX(PCIe104_INF_E1N001INF1!N:N,MATCH('По платам'!$B376,PCIe104_INF_E1N001INF1!L:L,0)),0)</f>
        <v>0</v>
      </c>
      <c r="K376">
        <f>IFERROR(INDEX(IB_2RS232_E1N002INF1!N:N,MATCH('По платам'!$B376,IB_2RS232_E1N002INF1!L:L,0)),0)</f>
        <v>0</v>
      </c>
      <c r="L376">
        <f>IFERROR(INDEX(IB_2CAN_E1N003INF1!N:N,MATCH('По платам'!$B376,IB_2CAN_E1N003INF1!L:L,0)),0)</f>
        <v>0</v>
      </c>
    </row>
    <row r="377" spans="2:12">
      <c r="B377" s="3" t="s">
        <v>794</v>
      </c>
      <c r="C377">
        <f>IFERROR(INDEX('C2B004CPU2'!N:N,MATCH('По платам'!B377,'C2B004CPU2'!L:L,0)),0)</f>
        <v>0</v>
      </c>
      <c r="D377">
        <f>IFERROR(INDEX(SBC_DIO_E1N004INF1!N:N,MATCH('По платам'!$B377,SBC_DIO_E1N004INF1!L:L,0)),0)</f>
        <v>0</v>
      </c>
      <c r="E377">
        <f>IFERROR(INDEX(SBC_35_2C3_1_E1E001CPU1E!N:N,MATCH('По платам'!$B377,SBC_35_2C3_1_E1E001CPU1E!L:L,0)),0)</f>
        <v>0</v>
      </c>
      <c r="F377">
        <f>IFERROR(INDEX(PCIe104_PSU_E1N001PWR1!N:N,MATCH('По платам'!$B377,PCIe104_PSU_E1N001PWR1!L:L,0)),0)</f>
        <v>0</v>
      </c>
      <c r="G377">
        <f>IFERROR(INDEX(PCIe104_INF2_E1N006INF1!N:N,MATCH('По платам'!$B377,PCIe104_INF2_E1N006INF1!L:L,0)),0)</f>
        <v>0</v>
      </c>
      <c r="H377">
        <f>IFERROR(INDEX(PCIe104_CON_E1N005INF1!N:N,MATCH('По платам'!$B377,PCIe104_CON_E1N005INF1!L:L,0)),0)</f>
        <v>0</v>
      </c>
      <c r="I377">
        <f>IFERROR(INDEX('EM-PCIE104-CPU_E1E001CPU1E'!N:N,MATCH('По платам'!$B377,'EM-PCIE104-CPU_E1E001CPU1E'!L:L,0)),0)</f>
        <v>1</v>
      </c>
      <c r="J377">
        <f>IFERROR(INDEX(PCIe104_INF_E1N001INF1!N:N,MATCH('По платам'!$B377,PCIe104_INF_E1N001INF1!L:L,0)),0)</f>
        <v>0</v>
      </c>
      <c r="K377">
        <f>IFERROR(INDEX(IB_2RS232_E1N002INF1!N:N,MATCH('По платам'!$B377,IB_2RS232_E1N002INF1!L:L,0)),0)</f>
        <v>0</v>
      </c>
      <c r="L377">
        <f>IFERROR(INDEX(IB_2CAN_E1N003INF1!N:N,MATCH('По платам'!$B377,IB_2CAN_E1N003INF1!L:L,0)),0)</f>
        <v>0</v>
      </c>
    </row>
    <row r="378" spans="2:12">
      <c r="B378" s="3" t="s">
        <v>310</v>
      </c>
      <c r="C378">
        <f>IFERROR(INDEX('C2B004CPU2'!N:N,MATCH('По платам'!B378,'C2B004CPU2'!L:L,0)),0)</f>
        <v>0</v>
      </c>
      <c r="D378">
        <f>IFERROR(INDEX(SBC_DIO_E1N004INF1!N:N,MATCH('По платам'!$B378,SBC_DIO_E1N004INF1!L:L,0)),0)</f>
        <v>0</v>
      </c>
      <c r="E378">
        <f>IFERROR(INDEX(SBC_35_2C3_1_E1E001CPU1E!N:N,MATCH('По платам'!$B378,SBC_35_2C3_1_E1E001CPU1E!L:L,0)),0)</f>
        <v>4</v>
      </c>
      <c r="F378">
        <f>IFERROR(INDEX(PCIe104_PSU_E1N001PWR1!N:N,MATCH('По платам'!$B378,PCIe104_PSU_E1N001PWR1!L:L,0)),0)</f>
        <v>0</v>
      </c>
      <c r="G378">
        <f>IFERROR(INDEX(PCIe104_INF2_E1N006INF1!N:N,MATCH('По платам'!$B378,PCIe104_INF2_E1N006INF1!L:L,0)),0)</f>
        <v>0</v>
      </c>
      <c r="H378">
        <f>IFERROR(INDEX(PCIe104_CON_E1N005INF1!N:N,MATCH('По платам'!$B378,PCIe104_CON_E1N005INF1!L:L,0)),0)</f>
        <v>0</v>
      </c>
      <c r="I378">
        <f>IFERROR(INDEX('EM-PCIE104-CPU_E1E001CPU1E'!N:N,MATCH('По платам'!$B378,'EM-PCIE104-CPU_E1E001CPU1E'!L:L,0)),0)</f>
        <v>0</v>
      </c>
      <c r="J378">
        <f>IFERROR(INDEX(PCIe104_INF_E1N001INF1!N:N,MATCH('По платам'!$B378,PCIe104_INF_E1N001INF1!L:L,0)),0)</f>
        <v>4</v>
      </c>
      <c r="K378">
        <f>IFERROR(INDEX(IB_2RS232_E1N002INF1!N:N,MATCH('По платам'!$B378,IB_2RS232_E1N002INF1!L:L,0)),0)</f>
        <v>0</v>
      </c>
      <c r="L378">
        <f>IFERROR(INDEX(IB_2CAN_E1N003INF1!N:N,MATCH('По платам'!$B378,IB_2CAN_E1N003INF1!L:L,0)),0)</f>
        <v>0</v>
      </c>
    </row>
    <row r="379" spans="2:12">
      <c r="B379" s="3" t="s">
        <v>274</v>
      </c>
      <c r="C379">
        <f>IFERROR(INDEX('C2B004CPU2'!N:N,MATCH('По платам'!B379,'C2B004CPU2'!L:L,0)),0)</f>
        <v>0</v>
      </c>
      <c r="D379">
        <f>IFERROR(INDEX(SBC_DIO_E1N004INF1!N:N,MATCH('По платам'!$B379,SBC_DIO_E1N004INF1!L:L,0)),0)</f>
        <v>0</v>
      </c>
      <c r="E379">
        <f>IFERROR(INDEX(SBC_35_2C3_1_E1E001CPU1E!N:N,MATCH('По платам'!$B379,SBC_35_2C3_1_E1E001CPU1E!L:L,0)),0)</f>
        <v>10</v>
      </c>
      <c r="F379">
        <f>IFERROR(INDEX(PCIe104_PSU_E1N001PWR1!N:N,MATCH('По платам'!$B379,PCIe104_PSU_E1N001PWR1!L:L,0)),0)</f>
        <v>0</v>
      </c>
      <c r="G379">
        <f>IFERROR(INDEX(PCIe104_INF2_E1N006INF1!N:N,MATCH('По платам'!$B379,PCIe104_INF2_E1N006INF1!L:L,0)),0)</f>
        <v>0</v>
      </c>
      <c r="H379">
        <f>IFERROR(INDEX(PCIe104_CON_E1N005INF1!N:N,MATCH('По платам'!$B379,PCIe104_CON_E1N005INF1!L:L,0)),0)</f>
        <v>5</v>
      </c>
      <c r="I379">
        <f>IFERROR(INDEX('EM-PCIE104-CPU_E1E001CPU1E'!N:N,MATCH('По платам'!$B379,'EM-PCIE104-CPU_E1E001CPU1E'!L:L,0)),0)</f>
        <v>3</v>
      </c>
      <c r="J379">
        <f>IFERROR(INDEX(PCIe104_INF_E1N001INF1!N:N,MATCH('По платам'!$B379,PCIe104_INF_E1N001INF1!L:L,0)),0)</f>
        <v>6</v>
      </c>
      <c r="K379">
        <f>IFERROR(INDEX(IB_2RS232_E1N002INF1!N:N,MATCH('По платам'!$B379,IB_2RS232_E1N002INF1!L:L,0)),0)</f>
        <v>0</v>
      </c>
      <c r="L379">
        <f>IFERROR(INDEX(IB_2CAN_E1N003INF1!N:N,MATCH('По платам'!$B379,IB_2CAN_E1N003INF1!L:L,0)),0)</f>
        <v>0</v>
      </c>
    </row>
    <row r="380" spans="2:12">
      <c r="B380" s="3" t="s">
        <v>634</v>
      </c>
      <c r="C380">
        <f>IFERROR(INDEX('C2B004CPU2'!N:N,MATCH('По платам'!B380,'C2B004CPU2'!L:L,0)),0)</f>
        <v>0</v>
      </c>
      <c r="D380">
        <f>IFERROR(INDEX(SBC_DIO_E1N004INF1!N:N,MATCH('По платам'!$B380,SBC_DIO_E1N004INF1!L:L,0)),0)</f>
        <v>0</v>
      </c>
      <c r="E380">
        <f>IFERROR(INDEX(SBC_35_2C3_1_E1E001CPU1E!N:N,MATCH('По платам'!$B380,SBC_35_2C3_1_E1E001CPU1E!L:L,0)),0)</f>
        <v>3</v>
      </c>
      <c r="F380">
        <f>IFERROR(INDEX(PCIe104_PSU_E1N001PWR1!N:N,MATCH('По платам'!$B380,PCIe104_PSU_E1N001PWR1!L:L,0)),0)</f>
        <v>0</v>
      </c>
      <c r="G380">
        <f>IFERROR(INDEX(PCIe104_INF2_E1N006INF1!N:N,MATCH('По платам'!$B380,PCIe104_INF2_E1N006INF1!L:L,0)),0)</f>
        <v>0</v>
      </c>
      <c r="H380">
        <f>IFERROR(INDEX(PCIe104_CON_E1N005INF1!N:N,MATCH('По платам'!$B380,PCIe104_CON_E1N005INF1!L:L,0)),0)</f>
        <v>0</v>
      </c>
      <c r="I380">
        <f>IFERROR(INDEX('EM-PCIE104-CPU_E1E001CPU1E'!N:N,MATCH('По платам'!$B380,'EM-PCIE104-CPU_E1E001CPU1E'!L:L,0)),0)</f>
        <v>1</v>
      </c>
      <c r="J380">
        <f>IFERROR(INDEX(PCIe104_INF_E1N001INF1!N:N,MATCH('По платам'!$B380,PCIe104_INF_E1N001INF1!L:L,0)),0)</f>
        <v>0</v>
      </c>
      <c r="K380">
        <f>IFERROR(INDEX(IB_2RS232_E1N002INF1!N:N,MATCH('По платам'!$B380,IB_2RS232_E1N002INF1!L:L,0)),0)</f>
        <v>0</v>
      </c>
      <c r="L380">
        <f>IFERROR(INDEX(IB_2CAN_E1N003INF1!N:N,MATCH('По платам'!$B380,IB_2CAN_E1N003INF1!L:L,0)),0)</f>
        <v>0</v>
      </c>
    </row>
    <row r="381" spans="2:12">
      <c r="B381" s="3" t="s">
        <v>2673</v>
      </c>
      <c r="C381">
        <f>IFERROR(INDEX('C2B004CPU2'!N:N,MATCH('По платам'!B381,'C2B004CPU2'!L:L,0)),0)</f>
        <v>2</v>
      </c>
      <c r="D381">
        <f>IFERROR(INDEX(SBC_DIO_E1N004INF1!N:N,MATCH('По платам'!$B381,SBC_DIO_E1N004INF1!L:L,0)),0)</f>
        <v>0</v>
      </c>
      <c r="E381">
        <f>IFERROR(INDEX(SBC_35_2C3_1_E1E001CPU1E!N:N,MATCH('По платам'!$B381,SBC_35_2C3_1_E1E001CPU1E!L:L,0)),0)</f>
        <v>0</v>
      </c>
      <c r="F381">
        <f>IFERROR(INDEX(PCIe104_PSU_E1N001PWR1!N:N,MATCH('По платам'!$B381,PCIe104_PSU_E1N001PWR1!L:L,0)),0)</f>
        <v>0</v>
      </c>
      <c r="G381">
        <f>IFERROR(INDEX(PCIe104_INF2_E1N006INF1!N:N,MATCH('По платам'!$B381,PCIe104_INF2_E1N006INF1!L:L,0)),0)</f>
        <v>0</v>
      </c>
      <c r="H381">
        <f>IFERROR(INDEX(PCIe104_CON_E1N005INF1!N:N,MATCH('По платам'!$B381,PCIe104_CON_E1N005INF1!L:L,0)),0)</f>
        <v>0</v>
      </c>
      <c r="I381">
        <f>IFERROR(INDEX('EM-PCIE104-CPU_E1E001CPU1E'!N:N,MATCH('По платам'!$B381,'EM-PCIE104-CPU_E1E001CPU1E'!L:L,0)),0)</f>
        <v>0</v>
      </c>
      <c r="J381">
        <f>IFERROR(INDEX(PCIe104_INF_E1N001INF1!N:N,MATCH('По платам'!$B381,PCIe104_INF_E1N001INF1!L:L,0)),0)</f>
        <v>0</v>
      </c>
      <c r="K381">
        <f>IFERROR(INDEX(IB_2RS232_E1N002INF1!N:N,MATCH('По платам'!$B381,IB_2RS232_E1N002INF1!L:L,0)),0)</f>
        <v>0</v>
      </c>
      <c r="L381">
        <f>IFERROR(INDEX(IB_2CAN_E1N003INF1!N:N,MATCH('По платам'!$B381,IB_2CAN_E1N003INF1!L:L,0)),0)</f>
        <v>0</v>
      </c>
    </row>
    <row r="382" spans="2:12">
      <c r="B382" s="3" t="s">
        <v>119</v>
      </c>
      <c r="C382">
        <f>IFERROR(INDEX('C2B004CPU2'!N:N,MATCH('По платам'!B382,'C2B004CPU2'!L:L,0)),0)</f>
        <v>0</v>
      </c>
      <c r="D382">
        <f>IFERROR(INDEX(SBC_DIO_E1N004INF1!N:N,MATCH('По платам'!$B382,SBC_DIO_E1N004INF1!L:L,0)),0)</f>
        <v>0</v>
      </c>
      <c r="E382">
        <f>IFERROR(INDEX(SBC_35_2C3_1_E1E001CPU1E!N:N,MATCH('По платам'!$B382,SBC_35_2C3_1_E1E001CPU1E!L:L,0)),0)</f>
        <v>2</v>
      </c>
      <c r="F382">
        <f>IFERROR(INDEX(PCIe104_PSU_E1N001PWR1!N:N,MATCH('По платам'!$B382,PCIe104_PSU_E1N001PWR1!L:L,0)),0)</f>
        <v>1</v>
      </c>
      <c r="G382">
        <f>IFERROR(INDEX(PCIe104_INF2_E1N006INF1!N:N,MATCH('По платам'!$B382,PCIe104_INF2_E1N006INF1!L:L,0)),0)</f>
        <v>0</v>
      </c>
      <c r="H382">
        <f>IFERROR(INDEX(PCIe104_CON_E1N005INF1!N:N,MATCH('По платам'!$B382,PCIe104_CON_E1N005INF1!L:L,0)),0)</f>
        <v>0</v>
      </c>
      <c r="I382">
        <f>IFERROR(INDEX('EM-PCIE104-CPU_E1E001CPU1E'!N:N,MATCH('По платам'!$B382,'EM-PCIE104-CPU_E1E001CPU1E'!L:L,0)),0)</f>
        <v>0</v>
      </c>
      <c r="J382">
        <f>IFERROR(INDEX(PCIe104_INF_E1N001INF1!N:N,MATCH('По платам'!$B382,PCIe104_INF_E1N001INF1!L:L,0)),0)</f>
        <v>0</v>
      </c>
      <c r="K382">
        <f>IFERROR(INDEX(IB_2RS232_E1N002INF1!N:N,MATCH('По платам'!$B382,IB_2RS232_E1N002INF1!L:L,0)),0)</f>
        <v>1</v>
      </c>
      <c r="L382">
        <f>IFERROR(INDEX(IB_2CAN_E1N003INF1!N:N,MATCH('По платам'!$B382,IB_2CAN_E1N003INF1!L:L,0)),0)</f>
        <v>2</v>
      </c>
    </row>
    <row r="383" spans="2:12">
      <c r="B383" s="3" t="s">
        <v>220</v>
      </c>
      <c r="C383">
        <f>IFERROR(INDEX('C2B004CPU2'!N:N,MATCH('По платам'!B383,'C2B004CPU2'!L:L,0)),0)</f>
        <v>0</v>
      </c>
      <c r="D383">
        <f>IFERROR(INDEX(SBC_DIO_E1N004INF1!N:N,MATCH('По платам'!$B383,SBC_DIO_E1N004INF1!L:L,0)),0)</f>
        <v>0</v>
      </c>
      <c r="E383">
        <f>IFERROR(INDEX(SBC_35_2C3_1_E1E001CPU1E!N:N,MATCH('По платам'!$B383,SBC_35_2C3_1_E1E001CPU1E!L:L,0)),0)</f>
        <v>0</v>
      </c>
      <c r="F383">
        <f>IFERROR(INDEX(PCIe104_PSU_E1N001PWR1!N:N,MATCH('По платам'!$B383,PCIe104_PSU_E1N001PWR1!L:L,0)),0)</f>
        <v>0</v>
      </c>
      <c r="G383">
        <f>IFERROR(INDEX(PCIe104_INF2_E1N006INF1!N:N,MATCH('По платам'!$B383,PCIe104_INF2_E1N006INF1!L:L,0)),0)</f>
        <v>0</v>
      </c>
      <c r="H383">
        <f>IFERROR(INDEX(PCIe104_CON_E1N005INF1!N:N,MATCH('По платам'!$B383,PCIe104_CON_E1N005INF1!L:L,0)),0)</f>
        <v>0</v>
      </c>
      <c r="I383">
        <f>IFERROR(INDEX('EM-PCIE104-CPU_E1E001CPU1E'!N:N,MATCH('По платам'!$B383,'EM-PCIE104-CPU_E1E001CPU1E'!L:L,0)),0)</f>
        <v>0</v>
      </c>
      <c r="J383">
        <f>IFERROR(INDEX(PCIe104_INF_E1N001INF1!N:N,MATCH('По платам'!$B383,PCIe104_INF_E1N001INF1!L:L,0)),0)</f>
        <v>0</v>
      </c>
      <c r="K383">
        <f>IFERROR(INDEX(IB_2RS232_E1N002INF1!N:N,MATCH('По платам'!$B383,IB_2RS232_E1N002INF1!L:L,0)),0)</f>
        <v>10</v>
      </c>
      <c r="L383">
        <f>IFERROR(INDEX(IB_2CAN_E1N003INF1!N:N,MATCH('По платам'!$B383,IB_2CAN_E1N003INF1!L:L,0)),0)</f>
        <v>0</v>
      </c>
    </row>
    <row r="384" spans="2:12">
      <c r="B384" s="3" t="s">
        <v>2223</v>
      </c>
      <c r="C384">
        <f>IFERROR(INDEX('C2B004CPU2'!N:N,MATCH('По платам'!B384,'C2B004CPU2'!L:L,0)),0)</f>
        <v>1</v>
      </c>
      <c r="D384">
        <f>IFERROR(INDEX(SBC_DIO_E1N004INF1!N:N,MATCH('По платам'!$B384,SBC_DIO_E1N004INF1!L:L,0)),0)</f>
        <v>0</v>
      </c>
      <c r="E384">
        <f>IFERROR(INDEX(SBC_35_2C3_1_E1E001CPU1E!N:N,MATCH('По платам'!$B384,SBC_35_2C3_1_E1E001CPU1E!L:L,0)),0)</f>
        <v>0</v>
      </c>
      <c r="F384">
        <f>IFERROR(INDEX(PCIe104_PSU_E1N001PWR1!N:N,MATCH('По платам'!$B384,PCIe104_PSU_E1N001PWR1!L:L,0)),0)</f>
        <v>0</v>
      </c>
      <c r="G384">
        <f>IFERROR(INDEX(PCIe104_INF2_E1N006INF1!N:N,MATCH('По платам'!$B384,PCIe104_INF2_E1N006INF1!L:L,0)),0)</f>
        <v>0</v>
      </c>
      <c r="H384">
        <f>IFERROR(INDEX(PCIe104_CON_E1N005INF1!N:N,MATCH('По платам'!$B384,PCIe104_CON_E1N005INF1!L:L,0)),0)</f>
        <v>0</v>
      </c>
      <c r="I384">
        <f>IFERROR(INDEX('EM-PCIE104-CPU_E1E001CPU1E'!N:N,MATCH('По платам'!$B384,'EM-PCIE104-CPU_E1E001CPU1E'!L:L,0)),0)</f>
        <v>0</v>
      </c>
      <c r="J384">
        <f>IFERROR(INDEX(PCIe104_INF_E1N001INF1!N:N,MATCH('По платам'!$B384,PCIe104_INF_E1N001INF1!L:L,0)),0)</f>
        <v>0</v>
      </c>
      <c r="K384">
        <f>IFERROR(INDEX(IB_2RS232_E1N002INF1!N:N,MATCH('По платам'!$B384,IB_2RS232_E1N002INF1!L:L,0)),0)</f>
        <v>0</v>
      </c>
      <c r="L384">
        <f>IFERROR(INDEX(IB_2CAN_E1N003INF1!N:N,MATCH('По платам'!$B384,IB_2CAN_E1N003INF1!L:L,0)),0)</f>
        <v>0</v>
      </c>
    </row>
    <row r="385" spans="2:12">
      <c r="B385" s="3" t="s">
        <v>2261</v>
      </c>
      <c r="C385">
        <f>IFERROR(INDEX('C2B004CPU2'!N:N,MATCH('По платам'!B385,'C2B004CPU2'!L:L,0)),0)</f>
        <v>1</v>
      </c>
      <c r="D385">
        <f>IFERROR(INDEX(SBC_DIO_E1N004INF1!N:N,MATCH('По платам'!$B385,SBC_DIO_E1N004INF1!L:L,0)),0)</f>
        <v>0</v>
      </c>
      <c r="E385">
        <f>IFERROR(INDEX(SBC_35_2C3_1_E1E001CPU1E!N:N,MATCH('По платам'!$B385,SBC_35_2C3_1_E1E001CPU1E!L:L,0)),0)</f>
        <v>0</v>
      </c>
      <c r="F385">
        <f>IFERROR(INDEX(PCIe104_PSU_E1N001PWR1!N:N,MATCH('По платам'!$B385,PCIe104_PSU_E1N001PWR1!L:L,0)),0)</f>
        <v>0</v>
      </c>
      <c r="G385">
        <f>IFERROR(INDEX(PCIe104_INF2_E1N006INF1!N:N,MATCH('По платам'!$B385,PCIe104_INF2_E1N006INF1!L:L,0)),0)</f>
        <v>0</v>
      </c>
      <c r="H385">
        <f>IFERROR(INDEX(PCIe104_CON_E1N005INF1!N:N,MATCH('По платам'!$B385,PCIe104_CON_E1N005INF1!L:L,0)),0)</f>
        <v>0</v>
      </c>
      <c r="I385">
        <f>IFERROR(INDEX('EM-PCIE104-CPU_E1E001CPU1E'!N:N,MATCH('По платам'!$B385,'EM-PCIE104-CPU_E1E001CPU1E'!L:L,0)),0)</f>
        <v>0</v>
      </c>
      <c r="J385">
        <f>IFERROR(INDEX(PCIe104_INF_E1N001INF1!N:N,MATCH('По платам'!$B385,PCIe104_INF_E1N001INF1!L:L,0)),0)</f>
        <v>0</v>
      </c>
      <c r="K385">
        <f>IFERROR(INDEX(IB_2RS232_E1N002INF1!N:N,MATCH('По платам'!$B385,IB_2RS232_E1N002INF1!L:L,0)),0)</f>
        <v>0</v>
      </c>
      <c r="L385">
        <f>IFERROR(INDEX(IB_2CAN_E1N003INF1!N:N,MATCH('По платам'!$B385,IB_2CAN_E1N003INF1!L:L,0)),0)</f>
        <v>0</v>
      </c>
    </row>
    <row r="386" spans="2:12">
      <c r="B386" s="3" t="s">
        <v>1610</v>
      </c>
      <c r="C386">
        <f>IFERROR(INDEX('C2B004CPU2'!N:N,MATCH('По платам'!B386,'C2B004CPU2'!L:L,0)),0)</f>
        <v>0</v>
      </c>
      <c r="D386">
        <f>IFERROR(INDEX(SBC_DIO_E1N004INF1!N:N,MATCH('По платам'!$B386,SBC_DIO_E1N004INF1!L:L,0)),0)</f>
        <v>0</v>
      </c>
      <c r="E386">
        <f>IFERROR(INDEX(SBC_35_2C3_1_E1E001CPU1E!N:N,MATCH('По платам'!$B386,SBC_35_2C3_1_E1E001CPU1E!L:L,0)),0)</f>
        <v>1</v>
      </c>
      <c r="F386">
        <f>IFERROR(INDEX(PCIe104_PSU_E1N001PWR1!N:N,MATCH('По платам'!$B386,PCIe104_PSU_E1N001PWR1!L:L,0)),0)</f>
        <v>0</v>
      </c>
      <c r="G386">
        <f>IFERROR(INDEX(PCIe104_INF2_E1N006INF1!N:N,MATCH('По платам'!$B386,PCIe104_INF2_E1N006INF1!L:L,0)),0)</f>
        <v>0</v>
      </c>
      <c r="H386">
        <f>IFERROR(INDEX(PCIe104_CON_E1N005INF1!N:N,MATCH('По платам'!$B386,PCIe104_CON_E1N005INF1!L:L,0)),0)</f>
        <v>0</v>
      </c>
      <c r="I386">
        <f>IFERROR(INDEX('EM-PCIE104-CPU_E1E001CPU1E'!N:N,MATCH('По платам'!$B386,'EM-PCIE104-CPU_E1E001CPU1E'!L:L,0)),0)</f>
        <v>0</v>
      </c>
      <c r="J386">
        <f>IFERROR(INDEX(PCIe104_INF_E1N001INF1!N:N,MATCH('По платам'!$B386,PCIe104_INF_E1N001INF1!L:L,0)),0)</f>
        <v>0</v>
      </c>
      <c r="K386">
        <f>IFERROR(INDEX(IB_2RS232_E1N002INF1!N:N,MATCH('По платам'!$B386,IB_2RS232_E1N002INF1!L:L,0)),0)</f>
        <v>0</v>
      </c>
      <c r="L386">
        <f>IFERROR(INDEX(IB_2CAN_E1N003INF1!N:N,MATCH('По платам'!$B386,IB_2CAN_E1N003INF1!L:L,0)),0)</f>
        <v>0</v>
      </c>
    </row>
    <row r="387" spans="2:12">
      <c r="B387" s="3" t="s">
        <v>1348</v>
      </c>
      <c r="C387">
        <f>IFERROR(INDEX('C2B004CPU2'!N:N,MATCH('По платам'!B387,'C2B004CPU2'!L:L,0)),0)</f>
        <v>0</v>
      </c>
      <c r="D387">
        <f>IFERROR(INDEX(SBC_DIO_E1N004INF1!N:N,MATCH('По платам'!$B387,SBC_DIO_E1N004INF1!L:L,0)),0)</f>
        <v>0</v>
      </c>
      <c r="E387">
        <f>IFERROR(INDEX(SBC_35_2C3_1_E1E001CPU1E!N:N,MATCH('По платам'!$B387,SBC_35_2C3_1_E1E001CPU1E!L:L,0)),0)</f>
        <v>0</v>
      </c>
      <c r="F387">
        <f>IFERROR(INDEX(PCIe104_PSU_E1N001PWR1!N:N,MATCH('По платам'!$B387,PCIe104_PSU_E1N001PWR1!L:L,0)),0)</f>
        <v>1</v>
      </c>
      <c r="G387">
        <f>IFERROR(INDEX(PCIe104_INF2_E1N006INF1!N:N,MATCH('По платам'!$B387,PCIe104_INF2_E1N006INF1!L:L,0)),0)</f>
        <v>0</v>
      </c>
      <c r="H387">
        <f>IFERROR(INDEX(PCIe104_CON_E1N005INF1!N:N,MATCH('По платам'!$B387,PCIe104_CON_E1N005INF1!L:L,0)),0)</f>
        <v>0</v>
      </c>
      <c r="I387">
        <f>IFERROR(INDEX('EM-PCIE104-CPU_E1E001CPU1E'!N:N,MATCH('По платам'!$B387,'EM-PCIE104-CPU_E1E001CPU1E'!L:L,0)),0)</f>
        <v>0</v>
      </c>
      <c r="J387">
        <f>IFERROR(INDEX(PCIe104_INF_E1N001INF1!N:N,MATCH('По платам'!$B387,PCIe104_INF_E1N001INF1!L:L,0)),0)</f>
        <v>0</v>
      </c>
      <c r="K387">
        <f>IFERROR(INDEX(IB_2RS232_E1N002INF1!N:N,MATCH('По платам'!$B387,IB_2RS232_E1N002INF1!L:L,0)),0)</f>
        <v>0</v>
      </c>
      <c r="L387">
        <f>IFERROR(INDEX(IB_2CAN_E1N003INF1!N:N,MATCH('По платам'!$B387,IB_2CAN_E1N003INF1!L:L,0)),0)</f>
        <v>0</v>
      </c>
    </row>
    <row r="388" spans="2:12">
      <c r="B388" s="3" t="s">
        <v>657</v>
      </c>
      <c r="C388">
        <f>IFERROR(INDEX('C2B004CPU2'!N:N,MATCH('По платам'!B388,'C2B004CPU2'!L:L,0)),0)</f>
        <v>0</v>
      </c>
      <c r="D388">
        <f>IFERROR(INDEX(SBC_DIO_E1N004INF1!N:N,MATCH('По платам'!$B388,SBC_DIO_E1N004INF1!L:L,0)),0)</f>
        <v>0</v>
      </c>
      <c r="E388">
        <f>IFERROR(INDEX(SBC_35_2C3_1_E1E001CPU1E!N:N,MATCH('По платам'!$B388,SBC_35_2C3_1_E1E001CPU1E!L:L,0)),0)</f>
        <v>1</v>
      </c>
      <c r="F388">
        <f>IFERROR(INDEX(PCIe104_PSU_E1N001PWR1!N:N,MATCH('По платам'!$B388,PCIe104_PSU_E1N001PWR1!L:L,0)),0)</f>
        <v>0</v>
      </c>
      <c r="G388">
        <f>IFERROR(INDEX(PCIe104_INF2_E1N006INF1!N:N,MATCH('По платам'!$B388,PCIe104_INF2_E1N006INF1!L:L,0)),0)</f>
        <v>0</v>
      </c>
      <c r="H388">
        <f>IFERROR(INDEX(PCIe104_CON_E1N005INF1!N:N,MATCH('По платам'!$B388,PCIe104_CON_E1N005INF1!L:L,0)),0)</f>
        <v>0</v>
      </c>
      <c r="I388">
        <f>IFERROR(INDEX('EM-PCIE104-CPU_E1E001CPU1E'!N:N,MATCH('По платам'!$B388,'EM-PCIE104-CPU_E1E001CPU1E'!L:L,0)),0)</f>
        <v>4</v>
      </c>
      <c r="J388">
        <f>IFERROR(INDEX(PCIe104_INF_E1N001INF1!N:N,MATCH('По платам'!$B388,PCIe104_INF_E1N001INF1!L:L,0)),0)</f>
        <v>0</v>
      </c>
      <c r="K388">
        <f>IFERROR(INDEX(IB_2RS232_E1N002INF1!N:N,MATCH('По платам'!$B388,IB_2RS232_E1N002INF1!L:L,0)),0)</f>
        <v>0</v>
      </c>
      <c r="L388">
        <f>IFERROR(INDEX(IB_2CAN_E1N003INF1!N:N,MATCH('По платам'!$B388,IB_2CAN_E1N003INF1!L:L,0)),0)</f>
        <v>0</v>
      </c>
    </row>
    <row r="389" spans="2:12">
      <c r="B389" s="3" t="s">
        <v>2210</v>
      </c>
      <c r="C389">
        <f>IFERROR(INDEX('C2B004CPU2'!N:N,MATCH('По платам'!B389,'C2B004CPU2'!L:L,0)),0)</f>
        <v>4</v>
      </c>
      <c r="D389">
        <f>IFERROR(INDEX(SBC_DIO_E1N004INF1!N:N,MATCH('По платам'!$B389,SBC_DIO_E1N004INF1!L:L,0)),0)</f>
        <v>0</v>
      </c>
      <c r="E389">
        <f>IFERROR(INDEX(SBC_35_2C3_1_E1E001CPU1E!N:N,MATCH('По платам'!$B389,SBC_35_2C3_1_E1E001CPU1E!L:L,0)),0)</f>
        <v>0</v>
      </c>
      <c r="F389">
        <f>IFERROR(INDEX(PCIe104_PSU_E1N001PWR1!N:N,MATCH('По платам'!$B389,PCIe104_PSU_E1N001PWR1!L:L,0)),0)</f>
        <v>0</v>
      </c>
      <c r="G389">
        <f>IFERROR(INDEX(PCIe104_INF2_E1N006INF1!N:N,MATCH('По платам'!$B389,PCIe104_INF2_E1N006INF1!L:L,0)),0)</f>
        <v>0</v>
      </c>
      <c r="H389">
        <f>IFERROR(INDEX(PCIe104_CON_E1N005INF1!N:N,MATCH('По платам'!$B389,PCIe104_CON_E1N005INF1!L:L,0)),0)</f>
        <v>0</v>
      </c>
      <c r="I389">
        <f>IFERROR(INDEX('EM-PCIE104-CPU_E1E001CPU1E'!N:N,MATCH('По платам'!$B389,'EM-PCIE104-CPU_E1E001CPU1E'!L:L,0)),0)</f>
        <v>0</v>
      </c>
      <c r="J389">
        <f>IFERROR(INDEX(PCIe104_INF_E1N001INF1!N:N,MATCH('По платам'!$B389,PCIe104_INF_E1N001INF1!L:L,0)),0)</f>
        <v>0</v>
      </c>
      <c r="K389">
        <f>IFERROR(INDEX(IB_2RS232_E1N002INF1!N:N,MATCH('По платам'!$B389,IB_2RS232_E1N002INF1!L:L,0)),0)</f>
        <v>0</v>
      </c>
      <c r="L389">
        <f>IFERROR(INDEX(IB_2CAN_E1N003INF1!N:N,MATCH('По платам'!$B389,IB_2CAN_E1N003INF1!L:L,0)),0)</f>
        <v>0</v>
      </c>
    </row>
    <row r="390" spans="2:12">
      <c r="B390" s="3" t="s">
        <v>1355</v>
      </c>
      <c r="C390">
        <f>IFERROR(INDEX('C2B004CPU2'!N:N,MATCH('По платам'!B390,'C2B004CPU2'!L:L,0)),0)</f>
        <v>0</v>
      </c>
      <c r="D390">
        <f>IFERROR(INDEX(SBC_DIO_E1N004INF1!N:N,MATCH('По платам'!$B390,SBC_DIO_E1N004INF1!L:L,0)),0)</f>
        <v>0</v>
      </c>
      <c r="E390">
        <f>IFERROR(INDEX(SBC_35_2C3_1_E1E001CPU1E!N:N,MATCH('По платам'!$B390,SBC_35_2C3_1_E1E001CPU1E!L:L,0)),0)</f>
        <v>10</v>
      </c>
      <c r="F390">
        <f>IFERROR(INDEX(PCIe104_PSU_E1N001PWR1!N:N,MATCH('По платам'!$B390,PCIe104_PSU_E1N001PWR1!L:L,0)),0)</f>
        <v>1</v>
      </c>
      <c r="G390">
        <f>IFERROR(INDEX(PCIe104_INF2_E1N006INF1!N:N,MATCH('По платам'!$B390,PCIe104_INF2_E1N006INF1!L:L,0)),0)</f>
        <v>0</v>
      </c>
      <c r="H390">
        <f>IFERROR(INDEX(PCIe104_CON_E1N005INF1!N:N,MATCH('По платам'!$B390,PCIe104_CON_E1N005INF1!L:L,0)),0)</f>
        <v>0</v>
      </c>
      <c r="I390">
        <f>IFERROR(INDEX('EM-PCIE104-CPU_E1E001CPU1E'!N:N,MATCH('По платам'!$B390,'EM-PCIE104-CPU_E1E001CPU1E'!L:L,0)),0)</f>
        <v>0</v>
      </c>
      <c r="J390">
        <f>IFERROR(INDEX(PCIe104_INF_E1N001INF1!N:N,MATCH('По платам'!$B390,PCIe104_INF_E1N001INF1!L:L,0)),0)</f>
        <v>0</v>
      </c>
      <c r="K390">
        <f>IFERROR(INDEX(IB_2RS232_E1N002INF1!N:N,MATCH('По платам'!$B390,IB_2RS232_E1N002INF1!L:L,0)),0)</f>
        <v>0</v>
      </c>
      <c r="L390">
        <f>IFERROR(INDEX(IB_2CAN_E1N003INF1!N:N,MATCH('По платам'!$B390,IB_2CAN_E1N003INF1!L:L,0)),0)</f>
        <v>0</v>
      </c>
    </row>
    <row r="391" spans="2:12">
      <c r="B391" s="3" t="s">
        <v>389</v>
      </c>
      <c r="C391">
        <f>IFERROR(INDEX('C2B004CPU2'!N:N,MATCH('По платам'!B391,'C2B004CPU2'!L:L,0)),0)</f>
        <v>0</v>
      </c>
      <c r="D391">
        <f>IFERROR(INDEX(SBC_DIO_E1N004INF1!N:N,MATCH('По платам'!$B391,SBC_DIO_E1N004INF1!L:L,0)),0)</f>
        <v>0</v>
      </c>
      <c r="E391">
        <f>IFERROR(INDEX(SBC_35_2C3_1_E1E001CPU1E!N:N,MATCH('По платам'!$B391,SBC_35_2C3_1_E1E001CPU1E!L:L,0)),0)</f>
        <v>0</v>
      </c>
      <c r="F391">
        <f>IFERROR(INDEX(PCIe104_PSU_E1N001PWR1!N:N,MATCH('По платам'!$B391,PCIe104_PSU_E1N001PWR1!L:L,0)),0)</f>
        <v>0</v>
      </c>
      <c r="G391">
        <f>IFERROR(INDEX(PCIe104_INF2_E1N006INF1!N:N,MATCH('По платам'!$B391,PCIe104_INF2_E1N006INF1!L:L,0)),0)</f>
        <v>4</v>
      </c>
      <c r="H391">
        <f>IFERROR(INDEX(PCIe104_CON_E1N005INF1!N:N,MATCH('По платам'!$B391,PCIe104_CON_E1N005INF1!L:L,0)),0)</f>
        <v>0</v>
      </c>
      <c r="I391">
        <f>IFERROR(INDEX('EM-PCIE104-CPU_E1E001CPU1E'!N:N,MATCH('По платам'!$B391,'EM-PCIE104-CPU_E1E001CPU1E'!L:L,0)),0)</f>
        <v>2</v>
      </c>
      <c r="J391">
        <f>IFERROR(INDEX(PCIe104_INF_E1N001INF1!N:N,MATCH('По платам'!$B391,PCIe104_INF_E1N001INF1!L:L,0)),0)</f>
        <v>2</v>
      </c>
      <c r="K391">
        <f>IFERROR(INDEX(IB_2RS232_E1N002INF1!N:N,MATCH('По платам'!$B391,IB_2RS232_E1N002INF1!L:L,0)),0)</f>
        <v>0</v>
      </c>
      <c r="L391">
        <f>IFERROR(INDEX(IB_2CAN_E1N003INF1!N:N,MATCH('По платам'!$B391,IB_2CAN_E1N003INF1!L:L,0)),0)</f>
        <v>0</v>
      </c>
    </row>
    <row r="392" spans="2:12">
      <c r="B392" s="3" t="s">
        <v>2232</v>
      </c>
      <c r="C392">
        <f>IFERROR(INDEX('C2B004CPU2'!N:N,MATCH('По платам'!B392,'C2B004CPU2'!L:L,0)),0)</f>
        <v>2</v>
      </c>
      <c r="D392">
        <f>IFERROR(INDEX(SBC_DIO_E1N004INF1!N:N,MATCH('По платам'!$B392,SBC_DIO_E1N004INF1!L:L,0)),0)</f>
        <v>0</v>
      </c>
      <c r="E392">
        <f>IFERROR(INDEX(SBC_35_2C3_1_E1E001CPU1E!N:N,MATCH('По платам'!$B392,SBC_35_2C3_1_E1E001CPU1E!L:L,0)),0)</f>
        <v>0</v>
      </c>
      <c r="F392">
        <f>IFERROR(INDEX(PCIe104_PSU_E1N001PWR1!N:N,MATCH('По платам'!$B392,PCIe104_PSU_E1N001PWR1!L:L,0)),0)</f>
        <v>0</v>
      </c>
      <c r="G392">
        <f>IFERROR(INDEX(PCIe104_INF2_E1N006INF1!N:N,MATCH('По платам'!$B392,PCIe104_INF2_E1N006INF1!L:L,0)),0)</f>
        <v>0</v>
      </c>
      <c r="H392">
        <f>IFERROR(INDEX(PCIe104_CON_E1N005INF1!N:N,MATCH('По платам'!$B392,PCIe104_CON_E1N005INF1!L:L,0)),0)</f>
        <v>0</v>
      </c>
      <c r="I392">
        <f>IFERROR(INDEX('EM-PCIE104-CPU_E1E001CPU1E'!N:N,MATCH('По платам'!$B392,'EM-PCIE104-CPU_E1E001CPU1E'!L:L,0)),0)</f>
        <v>0</v>
      </c>
      <c r="J392">
        <f>IFERROR(INDEX(PCIe104_INF_E1N001INF1!N:N,MATCH('По платам'!$B392,PCIe104_INF_E1N001INF1!L:L,0)),0)</f>
        <v>0</v>
      </c>
      <c r="K392">
        <f>IFERROR(INDEX(IB_2RS232_E1N002INF1!N:N,MATCH('По платам'!$B392,IB_2RS232_E1N002INF1!L:L,0)),0)</f>
        <v>0</v>
      </c>
      <c r="L392">
        <f>IFERROR(INDEX(IB_2CAN_E1N003INF1!N:N,MATCH('По платам'!$B392,IB_2CAN_E1N003INF1!L:L,0)),0)</f>
        <v>0</v>
      </c>
    </row>
    <row r="393" spans="2:12">
      <c r="B393" s="3" t="s">
        <v>378</v>
      </c>
      <c r="C393">
        <f>IFERROR(INDEX('C2B004CPU2'!N:N,MATCH('По платам'!B393,'C2B004CPU2'!L:L,0)),0)</f>
        <v>0</v>
      </c>
      <c r="D393">
        <f>IFERROR(INDEX(SBC_DIO_E1N004INF1!N:N,MATCH('По платам'!$B393,SBC_DIO_E1N004INF1!L:L,0)),0)</f>
        <v>0</v>
      </c>
      <c r="E393">
        <f>IFERROR(INDEX(SBC_35_2C3_1_E1E001CPU1E!N:N,MATCH('По платам'!$B393,SBC_35_2C3_1_E1E001CPU1E!L:L,0)),0)</f>
        <v>5</v>
      </c>
      <c r="F393">
        <f>IFERROR(INDEX(PCIe104_PSU_E1N001PWR1!N:N,MATCH('По платам'!$B393,PCIe104_PSU_E1N001PWR1!L:L,0)),0)</f>
        <v>1</v>
      </c>
      <c r="G393">
        <f>IFERROR(INDEX(PCIe104_INF2_E1N006INF1!N:N,MATCH('По платам'!$B393,PCIe104_INF2_E1N006INF1!L:L,0)),0)</f>
        <v>0</v>
      </c>
      <c r="H393">
        <f>IFERROR(INDEX(PCIe104_CON_E1N005INF1!N:N,MATCH('По платам'!$B393,PCIe104_CON_E1N005INF1!L:L,0)),0)</f>
        <v>2</v>
      </c>
      <c r="I393">
        <f>IFERROR(INDEX('EM-PCIE104-CPU_E1E001CPU1E'!N:N,MATCH('По платам'!$B393,'EM-PCIE104-CPU_E1E001CPU1E'!L:L,0)),0)</f>
        <v>3</v>
      </c>
      <c r="J393">
        <f>IFERROR(INDEX(PCIe104_INF_E1N001INF1!N:N,MATCH('По платам'!$B393,PCIe104_INF_E1N001INF1!L:L,0)),0)</f>
        <v>2</v>
      </c>
      <c r="K393">
        <f>IFERROR(INDEX(IB_2RS232_E1N002INF1!N:N,MATCH('По платам'!$B393,IB_2RS232_E1N002INF1!L:L,0)),0)</f>
        <v>0</v>
      </c>
      <c r="L393">
        <f>IFERROR(INDEX(IB_2CAN_E1N003INF1!N:N,MATCH('По платам'!$B393,IB_2CAN_E1N003INF1!L:L,0)),0)</f>
        <v>0</v>
      </c>
    </row>
    <row r="394" spans="2:12">
      <c r="B394" s="3" t="s">
        <v>675</v>
      </c>
      <c r="C394">
        <f>IFERROR(INDEX('C2B004CPU2'!N:N,MATCH('По платам'!B394,'C2B004CPU2'!L:L,0)),0)</f>
        <v>0</v>
      </c>
      <c r="D394">
        <f>IFERROR(INDEX(SBC_DIO_E1N004INF1!N:N,MATCH('По платам'!$B394,SBC_DIO_E1N004INF1!L:L,0)),0)</f>
        <v>0</v>
      </c>
      <c r="E394">
        <f>IFERROR(INDEX(SBC_35_2C3_1_E1E001CPU1E!N:N,MATCH('По платам'!$B394,SBC_35_2C3_1_E1E001CPU1E!L:L,0)),0)</f>
        <v>1</v>
      </c>
      <c r="F394">
        <f>IFERROR(INDEX(PCIe104_PSU_E1N001PWR1!N:N,MATCH('По платам'!$B394,PCIe104_PSU_E1N001PWR1!L:L,0)),0)</f>
        <v>1</v>
      </c>
      <c r="G394">
        <f>IFERROR(INDEX(PCIe104_INF2_E1N006INF1!N:N,MATCH('По платам'!$B394,PCIe104_INF2_E1N006INF1!L:L,0)),0)</f>
        <v>0</v>
      </c>
      <c r="H394">
        <f>IFERROR(INDEX(PCIe104_CON_E1N005INF1!N:N,MATCH('По платам'!$B394,PCIe104_CON_E1N005INF1!L:L,0)),0)</f>
        <v>0</v>
      </c>
      <c r="I394">
        <f>IFERROR(INDEX('EM-PCIE104-CPU_E1E001CPU1E'!N:N,MATCH('По платам'!$B394,'EM-PCIE104-CPU_E1E001CPU1E'!L:L,0)),0)</f>
        <v>2</v>
      </c>
      <c r="J394">
        <f>IFERROR(INDEX(PCIe104_INF_E1N001INF1!N:N,MATCH('По платам'!$B394,PCIe104_INF_E1N001INF1!L:L,0)),0)</f>
        <v>0</v>
      </c>
      <c r="K394">
        <f>IFERROR(INDEX(IB_2RS232_E1N002INF1!N:N,MATCH('По платам'!$B394,IB_2RS232_E1N002INF1!L:L,0)),0)</f>
        <v>0</v>
      </c>
      <c r="L394">
        <f>IFERROR(INDEX(IB_2CAN_E1N003INF1!N:N,MATCH('По платам'!$B394,IB_2CAN_E1N003INF1!L:L,0)),0)</f>
        <v>0</v>
      </c>
    </row>
    <row r="395" spans="2:12">
      <c r="B395" s="3" t="s">
        <v>2185</v>
      </c>
      <c r="C395">
        <f>IFERROR(INDEX('C2B004CPU2'!N:N,MATCH('По платам'!B395,'C2B004CPU2'!L:L,0)),0)</f>
        <v>1</v>
      </c>
      <c r="D395">
        <f>IFERROR(INDEX(SBC_DIO_E1N004INF1!N:N,MATCH('По платам'!$B395,SBC_DIO_E1N004INF1!L:L,0)),0)</f>
        <v>0</v>
      </c>
      <c r="E395">
        <f>IFERROR(INDEX(SBC_35_2C3_1_E1E001CPU1E!N:N,MATCH('По платам'!$B395,SBC_35_2C3_1_E1E001CPU1E!L:L,0)),0)</f>
        <v>0</v>
      </c>
      <c r="F395">
        <f>IFERROR(INDEX(PCIe104_PSU_E1N001PWR1!N:N,MATCH('По платам'!$B395,PCIe104_PSU_E1N001PWR1!L:L,0)),0)</f>
        <v>0</v>
      </c>
      <c r="G395">
        <f>IFERROR(INDEX(PCIe104_INF2_E1N006INF1!N:N,MATCH('По платам'!$B395,PCIe104_INF2_E1N006INF1!L:L,0)),0)</f>
        <v>0</v>
      </c>
      <c r="H395">
        <f>IFERROR(INDEX(PCIe104_CON_E1N005INF1!N:N,MATCH('По платам'!$B395,PCIe104_CON_E1N005INF1!L:L,0)),0)</f>
        <v>0</v>
      </c>
      <c r="I395">
        <f>IFERROR(INDEX('EM-PCIE104-CPU_E1E001CPU1E'!N:N,MATCH('По платам'!$B395,'EM-PCIE104-CPU_E1E001CPU1E'!L:L,0)),0)</f>
        <v>0</v>
      </c>
      <c r="J395">
        <f>IFERROR(INDEX(PCIe104_INF_E1N001INF1!N:N,MATCH('По платам'!$B395,PCIe104_INF_E1N001INF1!L:L,0)),0)</f>
        <v>0</v>
      </c>
      <c r="K395">
        <f>IFERROR(INDEX(IB_2RS232_E1N002INF1!N:N,MATCH('По платам'!$B395,IB_2RS232_E1N002INF1!L:L,0)),0)</f>
        <v>0</v>
      </c>
      <c r="L395">
        <f>IFERROR(INDEX(IB_2CAN_E1N003INF1!N:N,MATCH('По платам'!$B395,IB_2CAN_E1N003INF1!L:L,0)),0)</f>
        <v>0</v>
      </c>
    </row>
    <row r="396" spans="2:12">
      <c r="B396" s="3" t="s">
        <v>1352</v>
      </c>
      <c r="C396">
        <f>IFERROR(INDEX('C2B004CPU2'!N:N,MATCH('По платам'!B396,'C2B004CPU2'!L:L,0)),0)</f>
        <v>0</v>
      </c>
      <c r="D396">
        <f>IFERROR(INDEX(SBC_DIO_E1N004INF1!N:N,MATCH('По платам'!$B396,SBC_DIO_E1N004INF1!L:L,0)),0)</f>
        <v>0</v>
      </c>
      <c r="E396">
        <f>IFERROR(INDEX(SBC_35_2C3_1_E1E001CPU1E!N:N,MATCH('По платам'!$B396,SBC_35_2C3_1_E1E001CPU1E!L:L,0)),0)</f>
        <v>0</v>
      </c>
      <c r="F396">
        <f>IFERROR(INDEX(PCIe104_PSU_E1N001PWR1!N:N,MATCH('По платам'!$B396,PCIe104_PSU_E1N001PWR1!L:L,0)),0)</f>
        <v>2</v>
      </c>
      <c r="G396">
        <f>IFERROR(INDEX(PCIe104_INF2_E1N006INF1!N:N,MATCH('По платам'!$B396,PCIe104_INF2_E1N006INF1!L:L,0)),0)</f>
        <v>0</v>
      </c>
      <c r="H396">
        <f>IFERROR(INDEX(PCIe104_CON_E1N005INF1!N:N,MATCH('По платам'!$B396,PCIe104_CON_E1N005INF1!L:L,0)),0)</f>
        <v>0</v>
      </c>
      <c r="I396">
        <f>IFERROR(INDEX('EM-PCIE104-CPU_E1E001CPU1E'!N:N,MATCH('По платам'!$B396,'EM-PCIE104-CPU_E1E001CPU1E'!L:L,0)),0)</f>
        <v>0</v>
      </c>
      <c r="J396">
        <f>IFERROR(INDEX(PCIe104_INF_E1N001INF1!N:N,MATCH('По платам'!$B396,PCIe104_INF_E1N001INF1!L:L,0)),0)</f>
        <v>0</v>
      </c>
      <c r="K396">
        <f>IFERROR(INDEX(IB_2RS232_E1N002INF1!N:N,MATCH('По платам'!$B396,IB_2RS232_E1N002INF1!L:L,0)),0)</f>
        <v>0</v>
      </c>
      <c r="L396">
        <f>IFERROR(INDEX(IB_2CAN_E1N003INF1!N:N,MATCH('По платам'!$B396,IB_2CAN_E1N003INF1!L:L,0)),0)</f>
        <v>0</v>
      </c>
    </row>
    <row r="397" spans="2:12">
      <c r="B397" s="3" t="s">
        <v>1342</v>
      </c>
      <c r="C397">
        <f>IFERROR(INDEX('C2B004CPU2'!N:N,MATCH('По платам'!B397,'C2B004CPU2'!L:L,0)),0)</f>
        <v>0</v>
      </c>
      <c r="D397">
        <f>IFERROR(INDEX(SBC_DIO_E1N004INF1!N:N,MATCH('По платам'!$B397,SBC_DIO_E1N004INF1!L:L,0)),0)</f>
        <v>0</v>
      </c>
      <c r="E397">
        <f>IFERROR(INDEX(SBC_35_2C3_1_E1E001CPU1E!N:N,MATCH('По платам'!$B397,SBC_35_2C3_1_E1E001CPU1E!L:L,0)),0)</f>
        <v>0</v>
      </c>
      <c r="F397">
        <f>IFERROR(INDEX(PCIe104_PSU_E1N001PWR1!N:N,MATCH('По платам'!$B397,PCIe104_PSU_E1N001PWR1!L:L,0)),0)</f>
        <v>1</v>
      </c>
      <c r="G397">
        <f>IFERROR(INDEX(PCIe104_INF2_E1N006INF1!N:N,MATCH('По платам'!$B397,PCIe104_INF2_E1N006INF1!L:L,0)),0)</f>
        <v>0</v>
      </c>
      <c r="H397">
        <f>IFERROR(INDEX(PCIe104_CON_E1N005INF1!N:N,MATCH('По платам'!$B397,PCIe104_CON_E1N005INF1!L:L,0)),0)</f>
        <v>0</v>
      </c>
      <c r="I397">
        <f>IFERROR(INDEX('EM-PCIE104-CPU_E1E001CPU1E'!N:N,MATCH('По платам'!$B397,'EM-PCIE104-CPU_E1E001CPU1E'!L:L,0)),0)</f>
        <v>0</v>
      </c>
      <c r="J397">
        <f>IFERROR(INDEX(PCIe104_INF_E1N001INF1!N:N,MATCH('По платам'!$B397,PCIe104_INF_E1N001INF1!L:L,0)),0)</f>
        <v>0</v>
      </c>
      <c r="K397">
        <f>IFERROR(INDEX(IB_2RS232_E1N002INF1!N:N,MATCH('По платам'!$B397,IB_2RS232_E1N002INF1!L:L,0)),0)</f>
        <v>0</v>
      </c>
      <c r="L397">
        <f>IFERROR(INDEX(IB_2CAN_E1N003INF1!N:N,MATCH('По платам'!$B397,IB_2CAN_E1N003INF1!L:L,0)),0)</f>
        <v>0</v>
      </c>
    </row>
    <row r="398" spans="2:12">
      <c r="B398" s="3" t="s">
        <v>340</v>
      </c>
      <c r="C398">
        <f>IFERROR(INDEX('C2B004CPU2'!N:N,MATCH('По платам'!B398,'C2B004CPU2'!L:L,0)),0)</f>
        <v>0</v>
      </c>
      <c r="D398">
        <f>IFERROR(INDEX(SBC_DIO_E1N004INF1!N:N,MATCH('По платам'!$B398,SBC_DIO_E1N004INF1!L:L,0)),0)</f>
        <v>0</v>
      </c>
      <c r="E398">
        <f>IFERROR(INDEX(SBC_35_2C3_1_E1E001CPU1E!N:N,MATCH('По платам'!$B398,SBC_35_2C3_1_E1E001CPU1E!L:L,0)),0)</f>
        <v>0</v>
      </c>
      <c r="F398">
        <f>IFERROR(INDEX(PCIe104_PSU_E1N001PWR1!N:N,MATCH('По платам'!$B398,PCIe104_PSU_E1N001PWR1!L:L,0)),0)</f>
        <v>0</v>
      </c>
      <c r="G398">
        <f>IFERROR(INDEX(PCIe104_INF2_E1N006INF1!N:N,MATCH('По платам'!$B398,PCIe104_INF2_E1N006INF1!L:L,0)),0)</f>
        <v>0</v>
      </c>
      <c r="H398">
        <f>IFERROR(INDEX(PCIe104_CON_E1N005INF1!N:N,MATCH('По платам'!$B398,PCIe104_CON_E1N005INF1!L:L,0)),0)</f>
        <v>0</v>
      </c>
      <c r="I398">
        <f>IFERROR(INDEX('EM-PCIE104-CPU_E1E001CPU1E'!N:N,MATCH('По платам'!$B398,'EM-PCIE104-CPU_E1E001CPU1E'!L:L,0)),0)</f>
        <v>1</v>
      </c>
      <c r="J398">
        <f>IFERROR(INDEX(PCIe104_INF_E1N001INF1!N:N,MATCH('По платам'!$B398,PCIe104_INF_E1N001INF1!L:L,0)),0)</f>
        <v>1</v>
      </c>
      <c r="K398">
        <f>IFERROR(INDEX(IB_2RS232_E1N002INF1!N:N,MATCH('По платам'!$B398,IB_2RS232_E1N002INF1!L:L,0)),0)</f>
        <v>0</v>
      </c>
      <c r="L398">
        <f>IFERROR(INDEX(IB_2CAN_E1N003INF1!N:N,MATCH('По платам'!$B398,IB_2CAN_E1N003INF1!L:L,0)),0)</f>
        <v>0</v>
      </c>
    </row>
    <row r="399" spans="2:12">
      <c r="B399" s="3" t="s">
        <v>349</v>
      </c>
      <c r="C399">
        <f>IFERROR(INDEX('C2B004CPU2'!N:N,MATCH('По платам'!B399,'C2B004CPU2'!L:L,0)),0)</f>
        <v>0</v>
      </c>
      <c r="D399">
        <f>IFERROR(INDEX(SBC_DIO_E1N004INF1!N:N,MATCH('По платам'!$B399,SBC_DIO_E1N004INF1!L:L,0)),0)</f>
        <v>0</v>
      </c>
      <c r="E399">
        <f>IFERROR(INDEX(SBC_35_2C3_1_E1E001CPU1E!N:N,MATCH('По платам'!$B399,SBC_35_2C3_1_E1E001CPU1E!L:L,0)),0)</f>
        <v>1</v>
      </c>
      <c r="F399">
        <f>IFERROR(INDEX(PCIe104_PSU_E1N001PWR1!N:N,MATCH('По платам'!$B399,PCIe104_PSU_E1N001PWR1!L:L,0)),0)</f>
        <v>1</v>
      </c>
      <c r="G399">
        <f>IFERROR(INDEX(PCIe104_INF2_E1N006INF1!N:N,MATCH('По платам'!$B399,PCIe104_INF2_E1N006INF1!L:L,0)),0)</f>
        <v>0</v>
      </c>
      <c r="H399">
        <f>IFERROR(INDEX(PCIe104_CON_E1N005INF1!N:N,MATCH('По платам'!$B399,PCIe104_CON_E1N005INF1!L:L,0)),0)</f>
        <v>0</v>
      </c>
      <c r="I399">
        <f>IFERROR(INDEX('EM-PCIE104-CPU_E1E001CPU1E'!N:N,MATCH('По платам'!$B399,'EM-PCIE104-CPU_E1E001CPU1E'!L:L,0)),0)</f>
        <v>3</v>
      </c>
      <c r="J399">
        <f>IFERROR(INDEX(PCIe104_INF_E1N001INF1!N:N,MATCH('По платам'!$B399,PCIe104_INF_E1N001INF1!L:L,0)),0)</f>
        <v>3</v>
      </c>
      <c r="K399">
        <f>IFERROR(INDEX(IB_2RS232_E1N002INF1!N:N,MATCH('По платам'!$B399,IB_2RS232_E1N002INF1!L:L,0)),0)</f>
        <v>0</v>
      </c>
      <c r="L399">
        <f>IFERROR(INDEX(IB_2CAN_E1N003INF1!N:N,MATCH('По платам'!$B399,IB_2CAN_E1N003INF1!L:L,0)),0)</f>
        <v>0</v>
      </c>
    </row>
    <row r="400" spans="2:12">
      <c r="B400" s="3" t="s">
        <v>373</v>
      </c>
      <c r="C400">
        <f>IFERROR(INDEX('C2B004CPU2'!N:N,MATCH('По платам'!B400,'C2B004CPU2'!L:L,0)),0)</f>
        <v>0</v>
      </c>
      <c r="D400">
        <f>IFERROR(INDEX(SBC_DIO_E1N004INF1!N:N,MATCH('По платам'!$B400,SBC_DIO_E1N004INF1!L:L,0)),0)</f>
        <v>0</v>
      </c>
      <c r="E400">
        <f>IFERROR(INDEX(SBC_35_2C3_1_E1E001CPU1E!N:N,MATCH('По платам'!$B400,SBC_35_2C3_1_E1E001CPU1E!L:L,0)),0)</f>
        <v>1</v>
      </c>
      <c r="F400">
        <f>IFERROR(INDEX(PCIe104_PSU_E1N001PWR1!N:N,MATCH('По платам'!$B400,PCIe104_PSU_E1N001PWR1!L:L,0)),0)</f>
        <v>0</v>
      </c>
      <c r="G400">
        <f>IFERROR(INDEX(PCIe104_INF2_E1N006INF1!N:N,MATCH('По платам'!$B400,PCIe104_INF2_E1N006INF1!L:L,0)),0)</f>
        <v>0</v>
      </c>
      <c r="H400">
        <f>IFERROR(INDEX(PCIe104_CON_E1N005INF1!N:N,MATCH('По платам'!$B400,PCIe104_CON_E1N005INF1!L:L,0)),0)</f>
        <v>0</v>
      </c>
      <c r="I400">
        <f>IFERROR(INDEX('EM-PCIE104-CPU_E1E001CPU1E'!N:N,MATCH('По платам'!$B400,'EM-PCIE104-CPU_E1E001CPU1E'!L:L,0)),0)</f>
        <v>3</v>
      </c>
      <c r="J400">
        <f>IFERROR(INDEX(PCIe104_INF_E1N001INF1!N:N,MATCH('По платам'!$B400,PCIe104_INF_E1N001INF1!L:L,0)),0)</f>
        <v>2</v>
      </c>
      <c r="K400">
        <f>IFERROR(INDEX(IB_2RS232_E1N002INF1!N:N,MATCH('По платам'!$B400,IB_2RS232_E1N002INF1!L:L,0)),0)</f>
        <v>0</v>
      </c>
      <c r="L400">
        <f>IFERROR(INDEX(IB_2CAN_E1N003INF1!N:N,MATCH('По платам'!$B400,IB_2CAN_E1N003INF1!L:L,0)),0)</f>
        <v>0</v>
      </c>
    </row>
    <row r="401" spans="2:12">
      <c r="B401" s="3" t="s">
        <v>2023</v>
      </c>
      <c r="C401">
        <f>IFERROR(INDEX('C2B004CPU2'!N:N,MATCH('По платам'!B401,'C2B004CPU2'!L:L,0)),0)</f>
        <v>0</v>
      </c>
      <c r="D401">
        <f>IFERROR(INDEX(SBC_DIO_E1N004INF1!N:N,MATCH('По платам'!$B401,SBC_DIO_E1N004INF1!L:L,0)),0)</f>
        <v>0</v>
      </c>
      <c r="E401">
        <f>IFERROR(INDEX(SBC_35_2C3_1_E1E001CPU1E!N:N,MATCH('По платам'!$B401,SBC_35_2C3_1_E1E001CPU1E!L:L,0)),0)</f>
        <v>2</v>
      </c>
      <c r="F401">
        <f>IFERROR(INDEX(PCIe104_PSU_E1N001PWR1!N:N,MATCH('По платам'!$B401,PCIe104_PSU_E1N001PWR1!L:L,0)),0)</f>
        <v>0</v>
      </c>
      <c r="G401">
        <f>IFERROR(INDEX(PCIe104_INF2_E1N006INF1!N:N,MATCH('По платам'!$B401,PCIe104_INF2_E1N006INF1!L:L,0)),0)</f>
        <v>0</v>
      </c>
      <c r="H401">
        <f>IFERROR(INDEX(PCIe104_CON_E1N005INF1!N:N,MATCH('По платам'!$B401,PCIe104_CON_E1N005INF1!L:L,0)),0)</f>
        <v>0</v>
      </c>
      <c r="I401">
        <f>IFERROR(INDEX('EM-PCIE104-CPU_E1E001CPU1E'!N:N,MATCH('По платам'!$B401,'EM-PCIE104-CPU_E1E001CPU1E'!L:L,0)),0)</f>
        <v>0</v>
      </c>
      <c r="J401">
        <f>IFERROR(INDEX(PCIe104_INF_E1N001INF1!N:N,MATCH('По платам'!$B401,PCIe104_INF_E1N001INF1!L:L,0)),0)</f>
        <v>0</v>
      </c>
      <c r="K401">
        <f>IFERROR(INDEX(IB_2RS232_E1N002INF1!N:N,MATCH('По платам'!$B401,IB_2RS232_E1N002INF1!L:L,0)),0)</f>
        <v>0</v>
      </c>
      <c r="L401">
        <f>IFERROR(INDEX(IB_2CAN_E1N003INF1!N:N,MATCH('По платам'!$B401,IB_2CAN_E1N003INF1!L:L,0)),0)</f>
        <v>0</v>
      </c>
    </row>
    <row r="402" spans="2:12">
      <c r="B402" s="3" t="s">
        <v>115</v>
      </c>
      <c r="C402">
        <f>IFERROR(INDEX('C2B004CPU2'!N:N,MATCH('По платам'!B402,'C2B004CPU2'!L:L,0)),0)</f>
        <v>0</v>
      </c>
      <c r="D402">
        <f>IFERROR(INDEX(SBC_DIO_E1N004INF1!N:N,MATCH('По платам'!$B402,SBC_DIO_E1N004INF1!L:L,0)),0)</f>
        <v>0</v>
      </c>
      <c r="E402">
        <f>IFERROR(INDEX(SBC_35_2C3_1_E1E001CPU1E!N:N,MATCH('По платам'!$B402,SBC_35_2C3_1_E1E001CPU1E!L:L,0)),0)</f>
        <v>0</v>
      </c>
      <c r="F402">
        <f>IFERROR(INDEX(PCIe104_PSU_E1N001PWR1!N:N,MATCH('По платам'!$B402,PCIe104_PSU_E1N001PWR1!L:L,0)),0)</f>
        <v>0</v>
      </c>
      <c r="G402">
        <f>IFERROR(INDEX(PCIe104_INF2_E1N006INF1!N:N,MATCH('По платам'!$B402,PCIe104_INF2_E1N006INF1!L:L,0)),0)</f>
        <v>0</v>
      </c>
      <c r="H402">
        <f>IFERROR(INDEX(PCIe104_CON_E1N005INF1!N:N,MATCH('По платам'!$B402,PCIe104_CON_E1N005INF1!L:L,0)),0)</f>
        <v>0</v>
      </c>
      <c r="I402">
        <f>IFERROR(INDEX('EM-PCIE104-CPU_E1E001CPU1E'!N:N,MATCH('По платам'!$B402,'EM-PCIE104-CPU_E1E001CPU1E'!L:L,0)),0)</f>
        <v>0</v>
      </c>
      <c r="J402">
        <f>IFERROR(INDEX(PCIe104_INF_E1N001INF1!N:N,MATCH('По платам'!$B402,PCIe104_INF_E1N001INF1!L:L,0)),0)</f>
        <v>1</v>
      </c>
      <c r="K402">
        <f>IFERROR(INDEX(IB_2RS232_E1N002INF1!N:N,MATCH('По платам'!$B402,IB_2RS232_E1N002INF1!L:L,0)),0)</f>
        <v>0</v>
      </c>
      <c r="L402">
        <f>IFERROR(INDEX(IB_2CAN_E1N003INF1!N:N,MATCH('По платам'!$B402,IB_2CAN_E1N003INF1!L:L,0)),0)</f>
        <v>2</v>
      </c>
    </row>
    <row r="403" spans="2:12">
      <c r="B403" s="3" t="s">
        <v>368</v>
      </c>
      <c r="C403">
        <f>IFERROR(INDEX('C2B004CPU2'!N:N,MATCH('По платам'!B403,'C2B004CPU2'!L:L,0)),0)</f>
        <v>0</v>
      </c>
      <c r="D403">
        <f>IFERROR(INDEX(SBC_DIO_E1N004INF1!N:N,MATCH('По платам'!$B403,SBC_DIO_E1N004INF1!L:L,0)),0)</f>
        <v>0</v>
      </c>
      <c r="E403">
        <f>IFERROR(INDEX(SBC_35_2C3_1_E1E001CPU1E!N:N,MATCH('По платам'!$B403,SBC_35_2C3_1_E1E001CPU1E!L:L,0)),0)</f>
        <v>11</v>
      </c>
      <c r="F403">
        <f>IFERROR(INDEX(PCIe104_PSU_E1N001PWR1!N:N,MATCH('По платам'!$B403,PCIe104_PSU_E1N001PWR1!L:L,0)),0)</f>
        <v>0</v>
      </c>
      <c r="G403">
        <f>IFERROR(INDEX(PCIe104_INF2_E1N006INF1!N:N,MATCH('По платам'!$B403,PCIe104_INF2_E1N006INF1!L:L,0)),0)</f>
        <v>1</v>
      </c>
      <c r="H403">
        <f>IFERROR(INDEX(PCIe104_CON_E1N005INF1!N:N,MATCH('По платам'!$B403,PCIe104_CON_E1N005INF1!L:L,0)),0)</f>
        <v>0</v>
      </c>
      <c r="I403">
        <f>IFERROR(INDEX('EM-PCIE104-CPU_E1E001CPU1E'!N:N,MATCH('По платам'!$B403,'EM-PCIE104-CPU_E1E001CPU1E'!L:L,0)),0)</f>
        <v>12</v>
      </c>
      <c r="J403">
        <f>IFERROR(INDEX(PCIe104_INF_E1N001INF1!N:N,MATCH('По платам'!$B403,PCIe104_INF_E1N001INF1!L:L,0)),0)</f>
        <v>4</v>
      </c>
      <c r="K403">
        <f>IFERROR(INDEX(IB_2RS232_E1N002INF1!N:N,MATCH('По платам'!$B403,IB_2RS232_E1N002INF1!L:L,0)),0)</f>
        <v>0</v>
      </c>
      <c r="L403">
        <f>IFERROR(INDEX(IB_2CAN_E1N003INF1!N:N,MATCH('По платам'!$B403,IB_2CAN_E1N003INF1!L:L,0)),0)</f>
        <v>0</v>
      </c>
    </row>
    <row r="404" spans="2:12">
      <c r="B404" s="3" t="s">
        <v>381</v>
      </c>
      <c r="C404">
        <f>IFERROR(INDEX('C2B004CPU2'!N:N,MATCH('По платам'!B404,'C2B004CPU2'!L:L,0)),0)</f>
        <v>0</v>
      </c>
      <c r="D404">
        <f>IFERROR(INDEX(SBC_DIO_E1N004INF1!N:N,MATCH('По платам'!$B404,SBC_DIO_E1N004INF1!L:L,0)),0)</f>
        <v>0</v>
      </c>
      <c r="E404">
        <f>IFERROR(INDEX(SBC_35_2C3_1_E1E001CPU1E!N:N,MATCH('По платам'!$B404,SBC_35_2C3_1_E1E001CPU1E!L:L,0)),0)</f>
        <v>0</v>
      </c>
      <c r="F404">
        <f>IFERROR(INDEX(PCIe104_PSU_E1N001PWR1!N:N,MATCH('По платам'!$B404,PCIe104_PSU_E1N001PWR1!L:L,0)),0)</f>
        <v>2</v>
      </c>
      <c r="G404">
        <f>IFERROR(INDEX(PCIe104_INF2_E1N006INF1!N:N,MATCH('По платам'!$B404,PCIe104_INF2_E1N006INF1!L:L,0)),0)</f>
        <v>3</v>
      </c>
      <c r="H404">
        <f>IFERROR(INDEX(PCIe104_CON_E1N005INF1!N:N,MATCH('По платам'!$B404,PCIe104_CON_E1N005INF1!L:L,0)),0)</f>
        <v>0</v>
      </c>
      <c r="I404">
        <f>IFERROR(INDEX('EM-PCIE104-CPU_E1E001CPU1E'!N:N,MATCH('По платам'!$B404,'EM-PCIE104-CPU_E1E001CPU1E'!L:L,0)),0)</f>
        <v>3</v>
      </c>
      <c r="J404">
        <f>IFERROR(INDEX(PCIe104_INF_E1N001INF1!N:N,MATCH('По платам'!$B404,PCIe104_INF_E1N001INF1!L:L,0)),0)</f>
        <v>2</v>
      </c>
      <c r="K404">
        <f>IFERROR(INDEX(IB_2RS232_E1N002INF1!N:N,MATCH('По платам'!$B404,IB_2RS232_E1N002INF1!L:L,0)),0)</f>
        <v>0</v>
      </c>
      <c r="L404">
        <f>IFERROR(INDEX(IB_2CAN_E1N003INF1!N:N,MATCH('По платам'!$B404,IB_2CAN_E1N003INF1!L:L,0)),0)</f>
        <v>0</v>
      </c>
    </row>
    <row r="405" spans="2:12">
      <c r="B405" s="3" t="s">
        <v>653</v>
      </c>
      <c r="C405">
        <f>IFERROR(INDEX('C2B004CPU2'!N:N,MATCH('По платам'!B405,'C2B004CPU2'!L:L,0)),0)</f>
        <v>0</v>
      </c>
      <c r="D405">
        <f>IFERROR(INDEX(SBC_DIO_E1N004INF1!N:N,MATCH('По платам'!$B405,SBC_DIO_E1N004INF1!L:L,0)),0)</f>
        <v>0</v>
      </c>
      <c r="E405">
        <f>IFERROR(INDEX(SBC_35_2C3_1_E1E001CPU1E!N:N,MATCH('По платам'!$B405,SBC_35_2C3_1_E1E001CPU1E!L:L,0)),0)</f>
        <v>3</v>
      </c>
      <c r="F405">
        <f>IFERROR(INDEX(PCIe104_PSU_E1N001PWR1!N:N,MATCH('По платам'!$B405,PCIe104_PSU_E1N001PWR1!L:L,0)),0)</f>
        <v>0</v>
      </c>
      <c r="G405">
        <f>IFERROR(INDEX(PCIe104_INF2_E1N006INF1!N:N,MATCH('По платам'!$B405,PCIe104_INF2_E1N006INF1!L:L,0)),0)</f>
        <v>0</v>
      </c>
      <c r="H405">
        <f>IFERROR(INDEX(PCIe104_CON_E1N005INF1!N:N,MATCH('По платам'!$B405,PCIe104_CON_E1N005INF1!L:L,0)),0)</f>
        <v>0</v>
      </c>
      <c r="I405">
        <f>IFERROR(INDEX('EM-PCIE104-CPU_E1E001CPU1E'!N:N,MATCH('По платам'!$B405,'EM-PCIE104-CPU_E1E001CPU1E'!L:L,0)),0)</f>
        <v>2</v>
      </c>
      <c r="J405">
        <f>IFERROR(INDEX(PCIe104_INF_E1N001INF1!N:N,MATCH('По платам'!$B405,PCIe104_INF_E1N001INF1!L:L,0)),0)</f>
        <v>0</v>
      </c>
      <c r="K405">
        <f>IFERROR(INDEX(IB_2RS232_E1N002INF1!N:N,MATCH('По платам'!$B405,IB_2RS232_E1N002INF1!L:L,0)),0)</f>
        <v>0</v>
      </c>
      <c r="L405">
        <f>IFERROR(INDEX(IB_2CAN_E1N003INF1!N:N,MATCH('По платам'!$B405,IB_2CAN_E1N003INF1!L:L,0)),0)</f>
        <v>0</v>
      </c>
    </row>
    <row r="406" spans="2:12">
      <c r="B406" s="3" t="s">
        <v>384</v>
      </c>
      <c r="C406">
        <f>IFERROR(INDEX('C2B004CPU2'!N:N,MATCH('По платам'!B406,'C2B004CPU2'!L:L,0)),0)</f>
        <v>0</v>
      </c>
      <c r="D406">
        <f>IFERROR(INDEX(SBC_DIO_E1N004INF1!N:N,MATCH('По платам'!$B406,SBC_DIO_E1N004INF1!L:L,0)),0)</f>
        <v>0</v>
      </c>
      <c r="E406">
        <f>IFERROR(INDEX(SBC_35_2C3_1_E1E001CPU1E!N:N,MATCH('По платам'!$B406,SBC_35_2C3_1_E1E001CPU1E!L:L,0)),0)</f>
        <v>0</v>
      </c>
      <c r="F406">
        <f>IFERROR(INDEX(PCIe104_PSU_E1N001PWR1!N:N,MATCH('По платам'!$B406,PCIe104_PSU_E1N001PWR1!L:L,0)),0)</f>
        <v>0</v>
      </c>
      <c r="G406">
        <f>IFERROR(INDEX(PCIe104_INF2_E1N006INF1!N:N,MATCH('По платам'!$B406,PCIe104_INF2_E1N006INF1!L:L,0)),0)</f>
        <v>0</v>
      </c>
      <c r="H406">
        <f>IFERROR(INDEX(PCIe104_CON_E1N005INF1!N:N,MATCH('По платам'!$B406,PCIe104_CON_E1N005INF1!L:L,0)),0)</f>
        <v>0</v>
      </c>
      <c r="I406">
        <f>IFERROR(INDEX('EM-PCIE104-CPU_E1E001CPU1E'!N:N,MATCH('По платам'!$B406,'EM-PCIE104-CPU_E1E001CPU1E'!L:L,0)),0)</f>
        <v>11</v>
      </c>
      <c r="J406">
        <f>IFERROR(INDEX(PCIe104_INF_E1N001INF1!N:N,MATCH('По платам'!$B406,PCIe104_INF_E1N001INF1!L:L,0)),0)</f>
        <v>4</v>
      </c>
      <c r="K406">
        <f>IFERROR(INDEX(IB_2RS232_E1N002INF1!N:N,MATCH('По платам'!$B406,IB_2RS232_E1N002INF1!L:L,0)),0)</f>
        <v>0</v>
      </c>
      <c r="L406">
        <f>IFERROR(INDEX(IB_2CAN_E1N003INF1!N:N,MATCH('По платам'!$B406,IB_2CAN_E1N003INF1!L:L,0)),0)</f>
        <v>0</v>
      </c>
    </row>
    <row r="407" spans="2:12">
      <c r="B407" s="3" t="s">
        <v>2610</v>
      </c>
      <c r="C407">
        <f>IFERROR(INDEX('C2B004CPU2'!N:N,MATCH('По платам'!B407,'C2B004CPU2'!L:L,0)),0)</f>
        <v>11</v>
      </c>
      <c r="D407">
        <f>IFERROR(INDEX(SBC_DIO_E1N004INF1!N:N,MATCH('По платам'!$B407,SBC_DIO_E1N004INF1!L:L,0)),0)</f>
        <v>0</v>
      </c>
      <c r="E407">
        <f>IFERROR(INDEX(SBC_35_2C3_1_E1E001CPU1E!N:N,MATCH('По платам'!$B407,SBC_35_2C3_1_E1E001CPU1E!L:L,0)),0)</f>
        <v>0</v>
      </c>
      <c r="F407">
        <f>IFERROR(INDEX(PCIe104_PSU_E1N001PWR1!N:N,MATCH('По платам'!$B407,PCIe104_PSU_E1N001PWR1!L:L,0)),0)</f>
        <v>0</v>
      </c>
      <c r="G407">
        <f>IFERROR(INDEX(PCIe104_INF2_E1N006INF1!N:N,MATCH('По платам'!$B407,PCIe104_INF2_E1N006INF1!L:L,0)),0)</f>
        <v>0</v>
      </c>
      <c r="H407">
        <f>IFERROR(INDEX(PCIe104_CON_E1N005INF1!N:N,MATCH('По платам'!$B407,PCIe104_CON_E1N005INF1!L:L,0)),0)</f>
        <v>0</v>
      </c>
      <c r="I407">
        <f>IFERROR(INDEX('EM-PCIE104-CPU_E1E001CPU1E'!N:N,MATCH('По платам'!$B407,'EM-PCIE104-CPU_E1E001CPU1E'!L:L,0)),0)</f>
        <v>0</v>
      </c>
      <c r="J407">
        <f>IFERROR(INDEX(PCIe104_INF_E1N001INF1!N:N,MATCH('По платам'!$B407,PCIe104_INF_E1N001INF1!L:L,0)),0)</f>
        <v>0</v>
      </c>
      <c r="K407">
        <f>IFERROR(INDEX(IB_2RS232_E1N002INF1!N:N,MATCH('По платам'!$B407,IB_2RS232_E1N002INF1!L:L,0)),0)</f>
        <v>0</v>
      </c>
      <c r="L407">
        <f>IFERROR(INDEX(IB_2CAN_E1N003INF1!N:N,MATCH('По платам'!$B407,IB_2CAN_E1N003INF1!L:L,0)),0)</f>
        <v>0</v>
      </c>
    </row>
    <row r="408" spans="2:12">
      <c r="B408" s="3" t="s">
        <v>2619</v>
      </c>
      <c r="C408">
        <f>IFERROR(INDEX('C2B004CPU2'!N:N,MATCH('По платам'!B408,'C2B004CPU2'!L:L,0)),0)</f>
        <v>52</v>
      </c>
      <c r="D408">
        <f>IFERROR(INDEX(SBC_DIO_E1N004INF1!N:N,MATCH('По платам'!$B408,SBC_DIO_E1N004INF1!L:L,0)),0)</f>
        <v>0</v>
      </c>
      <c r="E408">
        <f>IFERROR(INDEX(SBC_35_2C3_1_E1E001CPU1E!N:N,MATCH('По платам'!$B408,SBC_35_2C3_1_E1E001CPU1E!L:L,0)),0)</f>
        <v>0</v>
      </c>
      <c r="F408">
        <f>IFERROR(INDEX(PCIe104_PSU_E1N001PWR1!N:N,MATCH('По платам'!$B408,PCIe104_PSU_E1N001PWR1!L:L,0)),0)</f>
        <v>0</v>
      </c>
      <c r="G408">
        <f>IFERROR(INDEX(PCIe104_INF2_E1N006INF1!N:N,MATCH('По платам'!$B408,PCIe104_INF2_E1N006INF1!L:L,0)),0)</f>
        <v>0</v>
      </c>
      <c r="H408">
        <f>IFERROR(INDEX(PCIe104_CON_E1N005INF1!N:N,MATCH('По платам'!$B408,PCIe104_CON_E1N005INF1!L:L,0)),0)</f>
        <v>0</v>
      </c>
      <c r="I408">
        <f>IFERROR(INDEX('EM-PCIE104-CPU_E1E001CPU1E'!N:N,MATCH('По платам'!$B408,'EM-PCIE104-CPU_E1E001CPU1E'!L:L,0)),0)</f>
        <v>0</v>
      </c>
      <c r="J408">
        <f>IFERROR(INDEX(PCIe104_INF_E1N001INF1!N:N,MATCH('По платам'!$B408,PCIe104_INF_E1N001INF1!L:L,0)),0)</f>
        <v>0</v>
      </c>
      <c r="K408">
        <f>IFERROR(INDEX(IB_2RS232_E1N002INF1!N:N,MATCH('По платам'!$B408,IB_2RS232_E1N002INF1!L:L,0)),0)</f>
        <v>0</v>
      </c>
      <c r="L408">
        <f>IFERROR(INDEX(IB_2CAN_E1N003INF1!N:N,MATCH('По платам'!$B408,IB_2CAN_E1N003INF1!L:L,0)),0)</f>
        <v>0</v>
      </c>
    </row>
    <row r="409" spans="2:12">
      <c r="B409" s="3" t="s">
        <v>1310</v>
      </c>
      <c r="C409">
        <f>IFERROR(INDEX('C2B004CPU2'!N:N,MATCH('По платам'!B409,'C2B004CPU2'!L:L,0)),0)</f>
        <v>0</v>
      </c>
      <c r="D409">
        <f>IFERROR(INDEX(SBC_DIO_E1N004INF1!N:N,MATCH('По платам'!$B409,SBC_DIO_E1N004INF1!L:L,0)),0)</f>
        <v>0</v>
      </c>
      <c r="E409">
        <f>IFERROR(INDEX(SBC_35_2C3_1_E1E001CPU1E!N:N,MATCH('По платам'!$B409,SBC_35_2C3_1_E1E001CPU1E!L:L,0)),0)</f>
        <v>0</v>
      </c>
      <c r="F409">
        <f>IFERROR(INDEX(PCIe104_PSU_E1N001PWR1!N:N,MATCH('По платам'!$B409,PCIe104_PSU_E1N001PWR1!L:L,0)),0)</f>
        <v>8</v>
      </c>
      <c r="G409">
        <f>IFERROR(INDEX(PCIe104_INF2_E1N006INF1!N:N,MATCH('По платам'!$B409,PCIe104_INF2_E1N006INF1!L:L,0)),0)</f>
        <v>0</v>
      </c>
      <c r="H409">
        <f>IFERROR(INDEX(PCIe104_CON_E1N005INF1!N:N,MATCH('По платам'!$B409,PCIe104_CON_E1N005INF1!L:L,0)),0)</f>
        <v>0</v>
      </c>
      <c r="I409">
        <f>IFERROR(INDEX('EM-PCIE104-CPU_E1E001CPU1E'!N:N,MATCH('По платам'!$B409,'EM-PCIE104-CPU_E1E001CPU1E'!L:L,0)),0)</f>
        <v>0</v>
      </c>
      <c r="J409">
        <f>IFERROR(INDEX(PCIe104_INF_E1N001INF1!N:N,MATCH('По платам'!$B409,PCIe104_INF_E1N001INF1!L:L,0)),0)</f>
        <v>0</v>
      </c>
      <c r="K409">
        <f>IFERROR(INDEX(IB_2RS232_E1N002INF1!N:N,MATCH('По платам'!$B409,IB_2RS232_E1N002INF1!L:L,0)),0)</f>
        <v>0</v>
      </c>
      <c r="L409">
        <f>IFERROR(INDEX(IB_2CAN_E1N003INF1!N:N,MATCH('По платам'!$B409,IB_2CAN_E1N003INF1!L:L,0)),0)</f>
        <v>0</v>
      </c>
    </row>
    <row r="410" spans="2:12">
      <c r="B410" s="3" t="s">
        <v>479</v>
      </c>
      <c r="C410">
        <f>IFERROR(INDEX('C2B004CPU2'!N:N,MATCH('По платам'!B410,'C2B004CPU2'!L:L,0)),0)</f>
        <v>0</v>
      </c>
      <c r="D410">
        <f>IFERROR(INDEX(SBC_DIO_E1N004INF1!N:N,MATCH('По платам'!$B410,SBC_DIO_E1N004INF1!L:L,0)),0)</f>
        <v>0</v>
      </c>
      <c r="E410">
        <f>IFERROR(INDEX(SBC_35_2C3_1_E1E001CPU1E!N:N,MATCH('По платам'!$B410,SBC_35_2C3_1_E1E001CPU1E!L:L,0)),0)</f>
        <v>0</v>
      </c>
      <c r="F410">
        <f>IFERROR(INDEX(PCIe104_PSU_E1N001PWR1!N:N,MATCH('По платам'!$B410,PCIe104_PSU_E1N001PWR1!L:L,0)),0)</f>
        <v>0</v>
      </c>
      <c r="G410">
        <f>IFERROR(INDEX(PCIe104_INF2_E1N006INF1!N:N,MATCH('По платам'!$B410,PCIe104_INF2_E1N006INF1!L:L,0)),0)</f>
        <v>4</v>
      </c>
      <c r="H410">
        <f>IFERROR(INDEX(PCIe104_CON_E1N005INF1!N:N,MATCH('По платам'!$B410,PCIe104_CON_E1N005INF1!L:L,0)),0)</f>
        <v>0</v>
      </c>
      <c r="I410">
        <f>IFERROR(INDEX('EM-PCIE104-CPU_E1E001CPU1E'!N:N,MATCH('По платам'!$B410,'EM-PCIE104-CPU_E1E001CPU1E'!L:L,0)),0)</f>
        <v>0</v>
      </c>
      <c r="J410">
        <f>IFERROR(INDEX(PCIe104_INF_E1N001INF1!N:N,MATCH('По платам'!$B410,PCIe104_INF_E1N001INF1!L:L,0)),0)</f>
        <v>7</v>
      </c>
      <c r="K410">
        <f>IFERROR(INDEX(IB_2RS232_E1N002INF1!N:N,MATCH('По платам'!$B410,IB_2RS232_E1N002INF1!L:L,0)),0)</f>
        <v>0</v>
      </c>
      <c r="L410">
        <f>IFERROR(INDEX(IB_2CAN_E1N003INF1!N:N,MATCH('По платам'!$B410,IB_2CAN_E1N003INF1!L:L,0)),0)</f>
        <v>0</v>
      </c>
    </row>
    <row r="411" spans="2:12">
      <c r="B411" s="3" t="s">
        <v>965</v>
      </c>
      <c r="C411">
        <f>IFERROR(INDEX('C2B004CPU2'!N:N,MATCH('По платам'!B411,'C2B004CPU2'!L:L,0)),0)</f>
        <v>0</v>
      </c>
      <c r="D411">
        <f>IFERROR(INDEX(SBC_DIO_E1N004INF1!N:N,MATCH('По платам'!$B411,SBC_DIO_E1N004INF1!L:L,0)),0)</f>
        <v>0</v>
      </c>
      <c r="E411">
        <f>IFERROR(INDEX(SBC_35_2C3_1_E1E001CPU1E!N:N,MATCH('По платам'!$B411,SBC_35_2C3_1_E1E001CPU1E!L:L,0)),0)</f>
        <v>2</v>
      </c>
      <c r="F411">
        <f>IFERROR(INDEX(PCIe104_PSU_E1N001PWR1!N:N,MATCH('По платам'!$B411,PCIe104_PSU_E1N001PWR1!L:L,0)),0)</f>
        <v>0</v>
      </c>
      <c r="G411">
        <f>IFERROR(INDEX(PCIe104_INF2_E1N006INF1!N:N,MATCH('По платам'!$B411,PCIe104_INF2_E1N006INF1!L:L,0)),0)</f>
        <v>0</v>
      </c>
      <c r="H411">
        <f>IFERROR(INDEX(PCIe104_CON_E1N005INF1!N:N,MATCH('По платам'!$B411,PCIe104_CON_E1N005INF1!L:L,0)),0)</f>
        <v>0</v>
      </c>
      <c r="I411">
        <f>IFERROR(INDEX('EM-PCIE104-CPU_E1E001CPU1E'!N:N,MATCH('По платам'!$B411,'EM-PCIE104-CPU_E1E001CPU1E'!L:L,0)),0)</f>
        <v>2</v>
      </c>
      <c r="J411">
        <f>IFERROR(INDEX(PCIe104_INF_E1N001INF1!N:N,MATCH('По платам'!$B411,PCIe104_INF_E1N001INF1!L:L,0)),0)</f>
        <v>0</v>
      </c>
      <c r="K411">
        <f>IFERROR(INDEX(IB_2RS232_E1N002INF1!N:N,MATCH('По платам'!$B411,IB_2RS232_E1N002INF1!L:L,0)),0)</f>
        <v>0</v>
      </c>
      <c r="L411">
        <f>IFERROR(INDEX(IB_2CAN_E1N003INF1!N:N,MATCH('По платам'!$B411,IB_2CAN_E1N003INF1!L:L,0)),0)</f>
        <v>0</v>
      </c>
    </row>
    <row r="412" spans="2:12">
      <c r="B412" s="3" t="s">
        <v>271</v>
      </c>
      <c r="C412">
        <f>IFERROR(INDEX('C2B004CPU2'!N:N,MATCH('По платам'!B412,'C2B004CPU2'!L:L,0)),0)</f>
        <v>0</v>
      </c>
      <c r="D412">
        <f>IFERROR(INDEX(SBC_DIO_E1N004INF1!N:N,MATCH('По платам'!$B412,SBC_DIO_E1N004INF1!L:L,0)),0)</f>
        <v>0</v>
      </c>
      <c r="E412">
        <f>IFERROR(INDEX(SBC_35_2C3_1_E1E001CPU1E!N:N,MATCH('По платам'!$B412,SBC_35_2C3_1_E1E001CPU1E!L:L,0)),0)</f>
        <v>6</v>
      </c>
      <c r="F412">
        <f>IFERROR(INDEX(PCIe104_PSU_E1N001PWR1!N:N,MATCH('По платам'!$B412,PCIe104_PSU_E1N001PWR1!L:L,0)),0)</f>
        <v>0</v>
      </c>
      <c r="G412">
        <f>IFERROR(INDEX(PCIe104_INF2_E1N006INF1!N:N,MATCH('По платам'!$B412,PCIe104_INF2_E1N006INF1!L:L,0)),0)</f>
        <v>0</v>
      </c>
      <c r="H412">
        <f>IFERROR(INDEX(PCIe104_CON_E1N005INF1!N:N,MATCH('По платам'!$B412,PCIe104_CON_E1N005INF1!L:L,0)),0)</f>
        <v>0</v>
      </c>
      <c r="I412">
        <f>IFERROR(INDEX('EM-PCIE104-CPU_E1E001CPU1E'!N:N,MATCH('По платам'!$B412,'EM-PCIE104-CPU_E1E001CPU1E'!L:L,0)),0)</f>
        <v>4</v>
      </c>
      <c r="J412">
        <f>IFERROR(INDEX(PCIe104_INF_E1N001INF1!N:N,MATCH('По платам'!$B412,PCIe104_INF_E1N001INF1!L:L,0)),0)</f>
        <v>2</v>
      </c>
      <c r="K412">
        <f>IFERROR(INDEX(IB_2RS232_E1N002INF1!N:N,MATCH('По платам'!$B412,IB_2RS232_E1N002INF1!L:L,0)),0)</f>
        <v>0</v>
      </c>
      <c r="L412">
        <f>IFERROR(INDEX(IB_2CAN_E1N003INF1!N:N,MATCH('По платам'!$B412,IB_2CAN_E1N003INF1!L:L,0)),0)</f>
        <v>0</v>
      </c>
    </row>
    <row r="413" spans="2:12">
      <c r="B413" s="3" t="s">
        <v>1397</v>
      </c>
      <c r="C413">
        <f>IFERROR(INDEX('C2B004CPU2'!N:N,MATCH('По платам'!B413,'C2B004CPU2'!L:L,0)),0)</f>
        <v>0</v>
      </c>
      <c r="D413">
        <f>IFERROR(INDEX(SBC_DIO_E1N004INF1!N:N,MATCH('По платам'!$B413,SBC_DIO_E1N004INF1!L:L,0)),0)</f>
        <v>0</v>
      </c>
      <c r="E413">
        <f>IFERROR(INDEX(SBC_35_2C3_1_E1E001CPU1E!N:N,MATCH('По платам'!$B413,SBC_35_2C3_1_E1E001CPU1E!L:L,0)),0)</f>
        <v>0</v>
      </c>
      <c r="F413">
        <f>IFERROR(INDEX(PCIe104_PSU_E1N001PWR1!N:N,MATCH('По платам'!$B413,PCIe104_PSU_E1N001PWR1!L:L,0)),0)</f>
        <v>1</v>
      </c>
      <c r="G413">
        <f>IFERROR(INDEX(PCIe104_INF2_E1N006INF1!N:N,MATCH('По платам'!$B413,PCIe104_INF2_E1N006INF1!L:L,0)),0)</f>
        <v>0</v>
      </c>
      <c r="H413">
        <f>IFERROR(INDEX(PCIe104_CON_E1N005INF1!N:N,MATCH('По платам'!$B413,PCIe104_CON_E1N005INF1!L:L,0)),0)</f>
        <v>0</v>
      </c>
      <c r="I413">
        <f>IFERROR(INDEX('EM-PCIE104-CPU_E1E001CPU1E'!N:N,MATCH('По платам'!$B413,'EM-PCIE104-CPU_E1E001CPU1E'!L:L,0)),0)</f>
        <v>0</v>
      </c>
      <c r="J413">
        <f>IFERROR(INDEX(PCIe104_INF_E1N001INF1!N:N,MATCH('По платам'!$B413,PCIe104_INF_E1N001INF1!L:L,0)),0)</f>
        <v>0</v>
      </c>
      <c r="K413">
        <f>IFERROR(INDEX(IB_2RS232_E1N002INF1!N:N,MATCH('По платам'!$B413,IB_2RS232_E1N002INF1!L:L,0)),0)</f>
        <v>0</v>
      </c>
      <c r="L413">
        <f>IFERROR(INDEX(IB_2CAN_E1N003INF1!N:N,MATCH('По платам'!$B413,IB_2CAN_E1N003INF1!L:L,0)),0)</f>
        <v>0</v>
      </c>
    </row>
    <row r="414" spans="2:12">
      <c r="B414" s="3" t="s">
        <v>1393</v>
      </c>
      <c r="C414">
        <f>IFERROR(INDEX('C2B004CPU2'!N:N,MATCH('По платам'!B414,'C2B004CPU2'!L:L,0)),0)</f>
        <v>0</v>
      </c>
      <c r="D414">
        <f>IFERROR(INDEX(SBC_DIO_E1N004INF1!N:N,MATCH('По платам'!$B414,SBC_DIO_E1N004INF1!L:L,0)),0)</f>
        <v>0</v>
      </c>
      <c r="E414">
        <f>IFERROR(INDEX(SBC_35_2C3_1_E1E001CPU1E!N:N,MATCH('По платам'!$B414,SBC_35_2C3_1_E1E001CPU1E!L:L,0)),0)</f>
        <v>1</v>
      </c>
      <c r="F414">
        <f>IFERROR(INDEX(PCIe104_PSU_E1N001PWR1!N:N,MATCH('По платам'!$B414,PCIe104_PSU_E1N001PWR1!L:L,0)),0)</f>
        <v>1</v>
      </c>
      <c r="G414">
        <f>IFERROR(INDEX(PCIe104_INF2_E1N006INF1!N:N,MATCH('По платам'!$B414,PCIe104_INF2_E1N006INF1!L:L,0)),0)</f>
        <v>0</v>
      </c>
      <c r="H414">
        <f>IFERROR(INDEX(PCIe104_CON_E1N005INF1!N:N,MATCH('По платам'!$B414,PCIe104_CON_E1N005INF1!L:L,0)),0)</f>
        <v>0</v>
      </c>
      <c r="I414">
        <f>IFERROR(INDEX('EM-PCIE104-CPU_E1E001CPU1E'!N:N,MATCH('По платам'!$B414,'EM-PCIE104-CPU_E1E001CPU1E'!L:L,0)),0)</f>
        <v>0</v>
      </c>
      <c r="J414">
        <f>IFERROR(INDEX(PCIe104_INF_E1N001INF1!N:N,MATCH('По платам'!$B414,PCIe104_INF_E1N001INF1!L:L,0)),0)</f>
        <v>0</v>
      </c>
      <c r="K414">
        <f>IFERROR(INDEX(IB_2RS232_E1N002INF1!N:N,MATCH('По платам'!$B414,IB_2RS232_E1N002INF1!L:L,0)),0)</f>
        <v>0</v>
      </c>
      <c r="L414">
        <f>IFERROR(INDEX(IB_2CAN_E1N003INF1!N:N,MATCH('По платам'!$B414,IB_2CAN_E1N003INF1!L:L,0)),0)</f>
        <v>0</v>
      </c>
    </row>
    <row r="415" spans="2:12">
      <c r="B415" s="3" t="s">
        <v>1406</v>
      </c>
      <c r="C415">
        <f>IFERROR(INDEX('C2B004CPU2'!N:N,MATCH('По платам'!B415,'C2B004CPU2'!L:L,0)),0)</f>
        <v>0</v>
      </c>
      <c r="D415">
        <f>IFERROR(INDEX(SBC_DIO_E1N004INF1!N:N,MATCH('По платам'!$B415,SBC_DIO_E1N004INF1!L:L,0)),0)</f>
        <v>0</v>
      </c>
      <c r="E415">
        <f>IFERROR(INDEX(SBC_35_2C3_1_E1E001CPU1E!N:N,MATCH('По платам'!$B415,SBC_35_2C3_1_E1E001CPU1E!L:L,0)),0)</f>
        <v>0</v>
      </c>
      <c r="F415">
        <f>IFERROR(INDEX(PCIe104_PSU_E1N001PWR1!N:N,MATCH('По платам'!$B415,PCIe104_PSU_E1N001PWR1!L:L,0)),0)</f>
        <v>1</v>
      </c>
      <c r="G415">
        <f>IFERROR(INDEX(PCIe104_INF2_E1N006INF1!N:N,MATCH('По платам'!$B415,PCIe104_INF2_E1N006INF1!L:L,0)),0)</f>
        <v>0</v>
      </c>
      <c r="H415">
        <f>IFERROR(INDEX(PCIe104_CON_E1N005INF1!N:N,MATCH('По платам'!$B415,PCIe104_CON_E1N005INF1!L:L,0)),0)</f>
        <v>0</v>
      </c>
      <c r="I415">
        <f>IFERROR(INDEX('EM-PCIE104-CPU_E1E001CPU1E'!N:N,MATCH('По платам'!$B415,'EM-PCIE104-CPU_E1E001CPU1E'!L:L,0)),0)</f>
        <v>0</v>
      </c>
      <c r="J415">
        <f>IFERROR(INDEX(PCIe104_INF_E1N001INF1!N:N,MATCH('По платам'!$B415,PCIe104_INF_E1N001INF1!L:L,0)),0)</f>
        <v>0</v>
      </c>
      <c r="K415">
        <f>IFERROR(INDEX(IB_2RS232_E1N002INF1!N:N,MATCH('По платам'!$B415,IB_2RS232_E1N002INF1!L:L,0)),0)</f>
        <v>0</v>
      </c>
      <c r="L415">
        <f>IFERROR(INDEX(IB_2CAN_E1N003INF1!N:N,MATCH('По платам'!$B415,IB_2CAN_E1N003INF1!L:L,0)),0)</f>
        <v>0</v>
      </c>
    </row>
    <row r="416" spans="2:12">
      <c r="B416" s="3" t="s">
        <v>638</v>
      </c>
      <c r="C416">
        <f>IFERROR(INDEX('C2B004CPU2'!N:N,MATCH('По платам'!B416,'C2B004CPU2'!L:L,0)),0)</f>
        <v>0</v>
      </c>
      <c r="D416">
        <f>IFERROR(INDEX(SBC_DIO_E1N004INF1!N:N,MATCH('По платам'!$B416,SBC_DIO_E1N004INF1!L:L,0)),0)</f>
        <v>0</v>
      </c>
      <c r="E416">
        <f>IFERROR(INDEX(SBC_35_2C3_1_E1E001CPU1E!N:N,MATCH('По платам'!$B416,SBC_35_2C3_1_E1E001CPU1E!L:L,0)),0)</f>
        <v>0</v>
      </c>
      <c r="F416">
        <f>IFERROR(INDEX(PCIe104_PSU_E1N001PWR1!N:N,MATCH('По платам'!$B416,PCIe104_PSU_E1N001PWR1!L:L,0)),0)</f>
        <v>0</v>
      </c>
      <c r="G416">
        <f>IFERROR(INDEX(PCIe104_INF2_E1N006INF1!N:N,MATCH('По платам'!$B416,PCIe104_INF2_E1N006INF1!L:L,0)),0)</f>
        <v>0</v>
      </c>
      <c r="H416">
        <f>IFERROR(INDEX(PCIe104_CON_E1N005INF1!N:N,MATCH('По платам'!$B416,PCIe104_CON_E1N005INF1!L:L,0)),0)</f>
        <v>0</v>
      </c>
      <c r="I416">
        <f>IFERROR(INDEX('EM-PCIE104-CPU_E1E001CPU1E'!N:N,MATCH('По платам'!$B416,'EM-PCIE104-CPU_E1E001CPU1E'!L:L,0)),0)</f>
        <v>1</v>
      </c>
      <c r="J416">
        <f>IFERROR(INDEX(PCIe104_INF_E1N001INF1!N:N,MATCH('По платам'!$B416,PCIe104_INF_E1N001INF1!L:L,0)),0)</f>
        <v>0</v>
      </c>
      <c r="K416">
        <f>IFERROR(INDEX(IB_2RS232_E1N002INF1!N:N,MATCH('По платам'!$B416,IB_2RS232_E1N002INF1!L:L,0)),0)</f>
        <v>0</v>
      </c>
      <c r="L416">
        <f>IFERROR(INDEX(IB_2CAN_E1N003INF1!N:N,MATCH('По платам'!$B416,IB_2CAN_E1N003INF1!L:L,0)),0)</f>
        <v>0</v>
      </c>
    </row>
    <row r="417" spans="2:12">
      <c r="B417" s="3" t="s">
        <v>1486</v>
      </c>
      <c r="C417">
        <f>IFERROR(INDEX('C2B004CPU2'!N:N,MATCH('По платам'!B417,'C2B004CPU2'!L:L,0)),0)</f>
        <v>0</v>
      </c>
      <c r="D417">
        <f>IFERROR(INDEX(SBC_DIO_E1N004INF1!N:N,MATCH('По платам'!$B417,SBC_DIO_E1N004INF1!L:L,0)),0)</f>
        <v>0</v>
      </c>
      <c r="E417">
        <f>IFERROR(INDEX(SBC_35_2C3_1_E1E001CPU1E!N:N,MATCH('По платам'!$B417,SBC_35_2C3_1_E1E001CPU1E!L:L,0)),0)</f>
        <v>3</v>
      </c>
      <c r="F417">
        <f>IFERROR(INDEX(PCIe104_PSU_E1N001PWR1!N:N,MATCH('По платам'!$B417,PCIe104_PSU_E1N001PWR1!L:L,0)),0)</f>
        <v>0</v>
      </c>
      <c r="G417">
        <f>IFERROR(INDEX(PCIe104_INF2_E1N006INF1!N:N,MATCH('По платам'!$B417,PCIe104_INF2_E1N006INF1!L:L,0)),0)</f>
        <v>0</v>
      </c>
      <c r="H417">
        <f>IFERROR(INDEX(PCIe104_CON_E1N005INF1!N:N,MATCH('По платам'!$B417,PCIe104_CON_E1N005INF1!L:L,0)),0)</f>
        <v>0</v>
      </c>
      <c r="I417">
        <f>IFERROR(INDEX('EM-PCIE104-CPU_E1E001CPU1E'!N:N,MATCH('По платам'!$B417,'EM-PCIE104-CPU_E1E001CPU1E'!L:L,0)),0)</f>
        <v>0</v>
      </c>
      <c r="J417">
        <f>IFERROR(INDEX(PCIe104_INF_E1N001INF1!N:N,MATCH('По платам'!$B417,PCIe104_INF_E1N001INF1!L:L,0)),0)</f>
        <v>0</v>
      </c>
      <c r="K417">
        <f>IFERROR(INDEX(IB_2RS232_E1N002INF1!N:N,MATCH('По платам'!$B417,IB_2RS232_E1N002INF1!L:L,0)),0)</f>
        <v>0</v>
      </c>
      <c r="L417">
        <f>IFERROR(INDEX(IB_2CAN_E1N003INF1!N:N,MATCH('По платам'!$B417,IB_2CAN_E1N003INF1!L:L,0)),0)</f>
        <v>0</v>
      </c>
    </row>
    <row r="418" spans="2:12">
      <c r="B418" s="3" t="s">
        <v>275</v>
      </c>
      <c r="C418">
        <f>IFERROR(INDEX('C2B004CPU2'!N:N,MATCH('По платам'!B418,'C2B004CPU2'!L:L,0)),0)</f>
        <v>0</v>
      </c>
      <c r="D418">
        <f>IFERROR(INDEX(SBC_DIO_E1N004INF1!N:N,MATCH('По платам'!$B418,SBC_DIO_E1N004INF1!L:L,0)),0)</f>
        <v>0</v>
      </c>
      <c r="E418">
        <f>IFERROR(INDEX(SBC_35_2C3_1_E1E001CPU1E!N:N,MATCH('По платам'!$B418,SBC_35_2C3_1_E1E001CPU1E!L:L,0)),0)</f>
        <v>0</v>
      </c>
      <c r="F418">
        <f>IFERROR(INDEX(PCIe104_PSU_E1N001PWR1!N:N,MATCH('По платам'!$B418,PCIe104_PSU_E1N001PWR1!L:L,0)),0)</f>
        <v>0</v>
      </c>
      <c r="G418">
        <f>IFERROR(INDEX(PCIe104_INF2_E1N006INF1!N:N,MATCH('По платам'!$B418,PCIe104_INF2_E1N006INF1!L:L,0)),0)</f>
        <v>0</v>
      </c>
      <c r="H418">
        <f>IFERROR(INDEX(PCIe104_CON_E1N005INF1!N:N,MATCH('По платам'!$B418,PCIe104_CON_E1N005INF1!L:L,0)),0)</f>
        <v>0</v>
      </c>
      <c r="I418">
        <f>IFERROR(INDEX('EM-PCIE104-CPU_E1E001CPU1E'!N:N,MATCH('По платам'!$B418,'EM-PCIE104-CPU_E1E001CPU1E'!L:L,0)),0)</f>
        <v>0</v>
      </c>
      <c r="J418">
        <f>IFERROR(INDEX(PCIe104_INF_E1N001INF1!N:N,MATCH('По платам'!$B418,PCIe104_INF_E1N001INF1!L:L,0)),0)</f>
        <v>1</v>
      </c>
      <c r="K418">
        <f>IFERROR(INDEX(IB_2RS232_E1N002INF1!N:N,MATCH('По платам'!$B418,IB_2RS232_E1N002INF1!L:L,0)),0)</f>
        <v>0</v>
      </c>
      <c r="L418">
        <f>IFERROR(INDEX(IB_2CAN_E1N003INF1!N:N,MATCH('По платам'!$B418,IB_2CAN_E1N003INF1!L:L,0)),0)</f>
        <v>0</v>
      </c>
    </row>
    <row r="419" spans="2:12">
      <c r="B419" s="3" t="s">
        <v>255</v>
      </c>
      <c r="C419">
        <f>IFERROR(INDEX('C2B004CPU2'!N:N,MATCH('По платам'!B419,'C2B004CPU2'!L:L,0)),0)</f>
        <v>0</v>
      </c>
      <c r="D419">
        <f>IFERROR(INDEX(SBC_DIO_E1N004INF1!N:N,MATCH('По платам'!$B419,SBC_DIO_E1N004INF1!L:L,0)),0)</f>
        <v>0</v>
      </c>
      <c r="E419">
        <f>IFERROR(INDEX(SBC_35_2C3_1_E1E001CPU1E!N:N,MATCH('По платам'!$B419,SBC_35_2C3_1_E1E001CPU1E!L:L,0)),0)</f>
        <v>0</v>
      </c>
      <c r="F419">
        <f>IFERROR(INDEX(PCIe104_PSU_E1N001PWR1!N:N,MATCH('По платам'!$B419,PCIe104_PSU_E1N001PWR1!L:L,0)),0)</f>
        <v>0</v>
      </c>
      <c r="G419">
        <f>IFERROR(INDEX(PCIe104_INF2_E1N006INF1!N:N,MATCH('По платам'!$B419,PCIe104_INF2_E1N006INF1!L:L,0)),0)</f>
        <v>0</v>
      </c>
      <c r="H419">
        <f>IFERROR(INDEX(PCIe104_CON_E1N005INF1!N:N,MATCH('По платам'!$B419,PCIe104_CON_E1N005INF1!L:L,0)),0)</f>
        <v>0</v>
      </c>
      <c r="I419">
        <f>IFERROR(INDEX('EM-PCIE104-CPU_E1E001CPU1E'!N:N,MATCH('По платам'!$B419,'EM-PCIE104-CPU_E1E001CPU1E'!L:L,0)),0)</f>
        <v>4</v>
      </c>
      <c r="J419">
        <f>IFERROR(INDEX(PCIe104_INF_E1N001INF1!N:N,MATCH('По платам'!$B419,PCIe104_INF_E1N001INF1!L:L,0)),0)</f>
        <v>2</v>
      </c>
      <c r="K419">
        <f>IFERROR(INDEX(IB_2RS232_E1N002INF1!N:N,MATCH('По платам'!$B419,IB_2RS232_E1N002INF1!L:L,0)),0)</f>
        <v>0</v>
      </c>
      <c r="L419">
        <f>IFERROR(INDEX(IB_2CAN_E1N003INF1!N:N,MATCH('По платам'!$B419,IB_2CAN_E1N003INF1!L:L,0)),0)</f>
        <v>0</v>
      </c>
    </row>
    <row r="420" spans="2:12">
      <c r="B420" s="3" t="s">
        <v>1533</v>
      </c>
      <c r="C420">
        <f>IFERROR(INDEX('C2B004CPU2'!N:N,MATCH('По платам'!B420,'C2B004CPU2'!L:L,0)),0)</f>
        <v>0</v>
      </c>
      <c r="D420">
        <f>IFERROR(INDEX(SBC_DIO_E1N004INF1!N:N,MATCH('По платам'!$B420,SBC_DIO_E1N004INF1!L:L,0)),0)</f>
        <v>0</v>
      </c>
      <c r="E420">
        <f>IFERROR(INDEX(SBC_35_2C3_1_E1E001CPU1E!N:N,MATCH('По платам'!$B420,SBC_35_2C3_1_E1E001CPU1E!L:L,0)),0)</f>
        <v>1</v>
      </c>
      <c r="F420">
        <f>IFERROR(INDEX(PCIe104_PSU_E1N001PWR1!N:N,MATCH('По платам'!$B420,PCIe104_PSU_E1N001PWR1!L:L,0)),0)</f>
        <v>0</v>
      </c>
      <c r="G420">
        <f>IFERROR(INDEX(PCIe104_INF2_E1N006INF1!N:N,MATCH('По платам'!$B420,PCIe104_INF2_E1N006INF1!L:L,0)),0)</f>
        <v>0</v>
      </c>
      <c r="H420">
        <f>IFERROR(INDEX(PCIe104_CON_E1N005INF1!N:N,MATCH('По платам'!$B420,PCIe104_CON_E1N005INF1!L:L,0)),0)</f>
        <v>0</v>
      </c>
      <c r="I420">
        <f>IFERROR(INDEX('EM-PCIE104-CPU_E1E001CPU1E'!N:N,MATCH('По платам'!$B420,'EM-PCIE104-CPU_E1E001CPU1E'!L:L,0)),0)</f>
        <v>0</v>
      </c>
      <c r="J420">
        <f>IFERROR(INDEX(PCIe104_INF_E1N001INF1!N:N,MATCH('По платам'!$B420,PCIe104_INF_E1N001INF1!L:L,0)),0)</f>
        <v>0</v>
      </c>
      <c r="K420">
        <f>IFERROR(INDEX(IB_2RS232_E1N002INF1!N:N,MATCH('По платам'!$B420,IB_2RS232_E1N002INF1!L:L,0)),0)</f>
        <v>0</v>
      </c>
      <c r="L420">
        <f>IFERROR(INDEX(IB_2CAN_E1N003INF1!N:N,MATCH('По платам'!$B420,IB_2CAN_E1N003INF1!L:L,0)),0)</f>
        <v>0</v>
      </c>
    </row>
    <row r="421" spans="2:12">
      <c r="B421" s="3" t="s">
        <v>2028</v>
      </c>
      <c r="C421">
        <f>IFERROR(INDEX('C2B004CPU2'!N:N,MATCH('По платам'!B421,'C2B004CPU2'!L:L,0)),0)</f>
        <v>0</v>
      </c>
      <c r="D421">
        <f>IFERROR(INDEX(SBC_DIO_E1N004INF1!N:N,MATCH('По платам'!$B421,SBC_DIO_E1N004INF1!L:L,0)),0)</f>
        <v>0</v>
      </c>
      <c r="E421">
        <f>IFERROR(INDEX(SBC_35_2C3_1_E1E001CPU1E!N:N,MATCH('По платам'!$B421,SBC_35_2C3_1_E1E001CPU1E!L:L,0)),0)</f>
        <v>1</v>
      </c>
      <c r="F421">
        <f>IFERROR(INDEX(PCIe104_PSU_E1N001PWR1!N:N,MATCH('По платам'!$B421,PCIe104_PSU_E1N001PWR1!L:L,0)),0)</f>
        <v>0</v>
      </c>
      <c r="G421">
        <f>IFERROR(INDEX(PCIe104_INF2_E1N006INF1!N:N,MATCH('По платам'!$B421,PCIe104_INF2_E1N006INF1!L:L,0)),0)</f>
        <v>0</v>
      </c>
      <c r="H421">
        <f>IFERROR(INDEX(PCIe104_CON_E1N005INF1!N:N,MATCH('По платам'!$B421,PCIe104_CON_E1N005INF1!L:L,0)),0)</f>
        <v>0</v>
      </c>
      <c r="I421">
        <f>IFERROR(INDEX('EM-PCIE104-CPU_E1E001CPU1E'!N:N,MATCH('По платам'!$B421,'EM-PCIE104-CPU_E1E001CPU1E'!L:L,0)),0)</f>
        <v>0</v>
      </c>
      <c r="J421">
        <f>IFERROR(INDEX(PCIe104_INF_E1N001INF1!N:N,MATCH('По платам'!$B421,PCIe104_INF_E1N001INF1!L:L,0)),0)</f>
        <v>0</v>
      </c>
      <c r="K421">
        <f>IFERROR(INDEX(IB_2RS232_E1N002INF1!N:N,MATCH('По платам'!$B421,IB_2RS232_E1N002INF1!L:L,0)),0)</f>
        <v>0</v>
      </c>
      <c r="L421">
        <f>IFERROR(INDEX(IB_2CAN_E1N003INF1!N:N,MATCH('По платам'!$B421,IB_2CAN_E1N003INF1!L:L,0)),0)</f>
        <v>0</v>
      </c>
    </row>
    <row r="422" spans="2:12">
      <c r="B422" s="3" t="s">
        <v>2257</v>
      </c>
      <c r="C422">
        <f>IFERROR(INDEX('C2B004CPU2'!N:N,MATCH('По платам'!B422,'C2B004CPU2'!L:L,0)),0)</f>
        <v>2</v>
      </c>
      <c r="D422">
        <f>IFERROR(INDEX(SBC_DIO_E1N004INF1!N:N,MATCH('По платам'!$B422,SBC_DIO_E1N004INF1!L:L,0)),0)</f>
        <v>0</v>
      </c>
      <c r="E422">
        <f>IFERROR(INDEX(SBC_35_2C3_1_E1E001CPU1E!N:N,MATCH('По платам'!$B422,SBC_35_2C3_1_E1E001CPU1E!L:L,0)),0)</f>
        <v>0</v>
      </c>
      <c r="F422">
        <f>IFERROR(INDEX(PCIe104_PSU_E1N001PWR1!N:N,MATCH('По платам'!$B422,PCIe104_PSU_E1N001PWR1!L:L,0)),0)</f>
        <v>0</v>
      </c>
      <c r="G422">
        <f>IFERROR(INDEX(PCIe104_INF2_E1N006INF1!N:N,MATCH('По платам'!$B422,PCIe104_INF2_E1N006INF1!L:L,0)),0)</f>
        <v>0</v>
      </c>
      <c r="H422">
        <f>IFERROR(INDEX(PCIe104_CON_E1N005INF1!N:N,MATCH('По платам'!$B422,PCIe104_CON_E1N005INF1!L:L,0)),0)</f>
        <v>0</v>
      </c>
      <c r="I422">
        <f>IFERROR(INDEX('EM-PCIE104-CPU_E1E001CPU1E'!N:N,MATCH('По платам'!$B422,'EM-PCIE104-CPU_E1E001CPU1E'!L:L,0)),0)</f>
        <v>0</v>
      </c>
      <c r="J422">
        <f>IFERROR(INDEX(PCIe104_INF_E1N001INF1!N:N,MATCH('По платам'!$B422,PCIe104_INF_E1N001INF1!L:L,0)),0)</f>
        <v>0</v>
      </c>
      <c r="K422">
        <f>IFERROR(INDEX(IB_2RS232_E1N002INF1!N:N,MATCH('По платам'!$B422,IB_2RS232_E1N002INF1!L:L,0)),0)</f>
        <v>0</v>
      </c>
      <c r="L422">
        <f>IFERROR(INDEX(IB_2CAN_E1N003INF1!N:N,MATCH('По платам'!$B422,IB_2CAN_E1N003INF1!L:L,0)),0)</f>
        <v>0</v>
      </c>
    </row>
    <row r="423" spans="2:12">
      <c r="B423" s="3" t="s">
        <v>713</v>
      </c>
      <c r="C423">
        <f>IFERROR(INDEX('C2B004CPU2'!N:N,MATCH('По платам'!B423,'C2B004CPU2'!L:L,0)),0)</f>
        <v>0</v>
      </c>
      <c r="D423">
        <f>IFERROR(INDEX(SBC_DIO_E1N004INF1!N:N,MATCH('По платам'!$B423,SBC_DIO_E1N004INF1!L:L,0)),0)</f>
        <v>0</v>
      </c>
      <c r="E423">
        <f>IFERROR(INDEX(SBC_35_2C3_1_E1E001CPU1E!N:N,MATCH('По платам'!$B423,SBC_35_2C3_1_E1E001CPU1E!L:L,0)),0)</f>
        <v>2</v>
      </c>
      <c r="F423">
        <f>IFERROR(INDEX(PCIe104_PSU_E1N001PWR1!N:N,MATCH('По платам'!$B423,PCIe104_PSU_E1N001PWR1!L:L,0)),0)</f>
        <v>0</v>
      </c>
      <c r="G423">
        <f>IFERROR(INDEX(PCIe104_INF2_E1N006INF1!N:N,MATCH('По платам'!$B423,PCIe104_INF2_E1N006INF1!L:L,0)),0)</f>
        <v>0</v>
      </c>
      <c r="H423">
        <f>IFERROR(INDEX(PCIe104_CON_E1N005INF1!N:N,MATCH('По платам'!$B423,PCIe104_CON_E1N005INF1!L:L,0)),0)</f>
        <v>0</v>
      </c>
      <c r="I423">
        <f>IFERROR(INDEX('EM-PCIE104-CPU_E1E001CPU1E'!N:N,MATCH('По платам'!$B423,'EM-PCIE104-CPU_E1E001CPU1E'!L:L,0)),0)</f>
        <v>2</v>
      </c>
      <c r="J423">
        <f>IFERROR(INDEX(PCIe104_INF_E1N001INF1!N:N,MATCH('По платам'!$B423,PCIe104_INF_E1N001INF1!L:L,0)),0)</f>
        <v>0</v>
      </c>
      <c r="K423">
        <f>IFERROR(INDEX(IB_2RS232_E1N002INF1!N:N,MATCH('По платам'!$B423,IB_2RS232_E1N002INF1!L:L,0)),0)</f>
        <v>0</v>
      </c>
      <c r="L423">
        <f>IFERROR(INDEX(IB_2CAN_E1N003INF1!N:N,MATCH('По платам'!$B423,IB_2CAN_E1N003INF1!L:L,0)),0)</f>
        <v>0</v>
      </c>
    </row>
    <row r="424" spans="2:12">
      <c r="B424" s="3" t="s">
        <v>317</v>
      </c>
      <c r="C424">
        <f>IFERROR(INDEX('C2B004CPU2'!N:N,MATCH('По платам'!B424,'C2B004CPU2'!L:L,0)),0)</f>
        <v>0</v>
      </c>
      <c r="D424">
        <f>IFERROR(INDEX(SBC_DIO_E1N004INF1!N:N,MATCH('По платам'!$B424,SBC_DIO_E1N004INF1!L:L,0)),0)</f>
        <v>0</v>
      </c>
      <c r="E424">
        <f>IFERROR(INDEX(SBC_35_2C3_1_E1E001CPU1E!N:N,MATCH('По платам'!$B424,SBC_35_2C3_1_E1E001CPU1E!L:L,0)),0)</f>
        <v>2</v>
      </c>
      <c r="F424">
        <f>IFERROR(INDEX(PCIe104_PSU_E1N001PWR1!N:N,MATCH('По платам'!$B424,PCIe104_PSU_E1N001PWR1!L:L,0)),0)</f>
        <v>0</v>
      </c>
      <c r="G424">
        <f>IFERROR(INDEX(PCIe104_INF2_E1N006INF1!N:N,MATCH('По платам'!$B424,PCIe104_INF2_E1N006INF1!L:L,0)),0)</f>
        <v>0</v>
      </c>
      <c r="H424">
        <f>IFERROR(INDEX(PCIe104_CON_E1N005INF1!N:N,MATCH('По платам'!$B424,PCIe104_CON_E1N005INF1!L:L,0)),0)</f>
        <v>0</v>
      </c>
      <c r="I424">
        <f>IFERROR(INDEX('EM-PCIE104-CPU_E1E001CPU1E'!N:N,MATCH('По платам'!$B424,'EM-PCIE104-CPU_E1E001CPU1E'!L:L,0)),0)</f>
        <v>2</v>
      </c>
      <c r="J424">
        <f>IFERROR(INDEX(PCIe104_INF_E1N001INF1!N:N,MATCH('По платам'!$B424,PCIe104_INF_E1N001INF1!L:L,0)),0)</f>
        <v>2</v>
      </c>
      <c r="K424">
        <f>IFERROR(INDEX(IB_2RS232_E1N002INF1!N:N,MATCH('По платам'!$B424,IB_2RS232_E1N002INF1!L:L,0)),0)</f>
        <v>0</v>
      </c>
      <c r="L424">
        <f>IFERROR(INDEX(IB_2CAN_E1N003INF1!N:N,MATCH('По платам'!$B424,IB_2CAN_E1N003INF1!L:L,0)),0)</f>
        <v>0</v>
      </c>
    </row>
    <row r="425" spans="2:12">
      <c r="B425" s="3" t="s">
        <v>1654</v>
      </c>
      <c r="C425">
        <f>IFERROR(INDEX('C2B004CPU2'!N:N,MATCH('По платам'!B425,'C2B004CPU2'!L:L,0)),0)</f>
        <v>0</v>
      </c>
      <c r="D425">
        <f>IFERROR(INDEX(SBC_DIO_E1N004INF1!N:N,MATCH('По платам'!$B425,SBC_DIO_E1N004INF1!L:L,0)),0)</f>
        <v>1</v>
      </c>
      <c r="E425">
        <f>IFERROR(INDEX(SBC_35_2C3_1_E1E001CPU1E!N:N,MATCH('По платам'!$B425,SBC_35_2C3_1_E1E001CPU1E!L:L,0)),0)</f>
        <v>1</v>
      </c>
      <c r="F425">
        <f>IFERROR(INDEX(PCIe104_PSU_E1N001PWR1!N:N,MATCH('По платам'!$B425,PCIe104_PSU_E1N001PWR1!L:L,0)),0)</f>
        <v>0</v>
      </c>
      <c r="G425">
        <f>IFERROR(INDEX(PCIe104_INF2_E1N006INF1!N:N,MATCH('По платам'!$B425,PCIe104_INF2_E1N006INF1!L:L,0)),0)</f>
        <v>0</v>
      </c>
      <c r="H425">
        <f>IFERROR(INDEX(PCIe104_CON_E1N005INF1!N:N,MATCH('По платам'!$B425,PCIe104_CON_E1N005INF1!L:L,0)),0)</f>
        <v>0</v>
      </c>
      <c r="I425">
        <f>IFERROR(INDEX('EM-PCIE104-CPU_E1E001CPU1E'!N:N,MATCH('По платам'!$B425,'EM-PCIE104-CPU_E1E001CPU1E'!L:L,0)),0)</f>
        <v>0</v>
      </c>
      <c r="J425">
        <f>IFERROR(INDEX(PCIe104_INF_E1N001INF1!N:N,MATCH('По платам'!$B425,PCIe104_INF_E1N001INF1!L:L,0)),0)</f>
        <v>0</v>
      </c>
      <c r="K425">
        <f>IFERROR(INDEX(IB_2RS232_E1N002INF1!N:N,MATCH('По платам'!$B425,IB_2RS232_E1N002INF1!L:L,0)),0)</f>
        <v>0</v>
      </c>
      <c r="L425">
        <f>IFERROR(INDEX(IB_2CAN_E1N003INF1!N:N,MATCH('По платам'!$B425,IB_2CAN_E1N003INF1!L:L,0)),0)</f>
        <v>0</v>
      </c>
    </row>
    <row r="426" spans="2:12">
      <c r="B426" s="3" t="s">
        <v>2779</v>
      </c>
      <c r="C426">
        <f>IFERROR(INDEX('C2B004CPU2'!N:N,MATCH('По платам'!B426,'C2B004CPU2'!L:L,0)),0)</f>
        <v>1</v>
      </c>
      <c r="D426">
        <f>IFERROR(INDEX(SBC_DIO_E1N004INF1!N:N,MATCH('По платам'!$B426,SBC_DIO_E1N004INF1!L:L,0)),0)</f>
        <v>0</v>
      </c>
      <c r="E426">
        <f>IFERROR(INDEX(SBC_35_2C3_1_E1E001CPU1E!N:N,MATCH('По платам'!$B426,SBC_35_2C3_1_E1E001CPU1E!L:L,0)),0)</f>
        <v>0</v>
      </c>
      <c r="F426">
        <f>IFERROR(INDEX(PCIe104_PSU_E1N001PWR1!N:N,MATCH('По платам'!$B426,PCIe104_PSU_E1N001PWR1!L:L,0)),0)</f>
        <v>0</v>
      </c>
      <c r="G426">
        <f>IFERROR(INDEX(PCIe104_INF2_E1N006INF1!N:N,MATCH('По платам'!$B426,PCIe104_INF2_E1N006INF1!L:L,0)),0)</f>
        <v>0</v>
      </c>
      <c r="H426">
        <f>IFERROR(INDEX(PCIe104_CON_E1N005INF1!N:N,MATCH('По платам'!$B426,PCIe104_CON_E1N005INF1!L:L,0)),0)</f>
        <v>0</v>
      </c>
      <c r="I426">
        <f>IFERROR(INDEX('EM-PCIE104-CPU_E1E001CPU1E'!N:N,MATCH('По платам'!$B426,'EM-PCIE104-CPU_E1E001CPU1E'!L:L,0)),0)</f>
        <v>0</v>
      </c>
      <c r="J426">
        <f>IFERROR(INDEX(PCIe104_INF_E1N001INF1!N:N,MATCH('По платам'!$B426,PCIe104_INF_E1N001INF1!L:L,0)),0)</f>
        <v>0</v>
      </c>
      <c r="K426">
        <f>IFERROR(INDEX(IB_2RS232_E1N002INF1!N:N,MATCH('По платам'!$B426,IB_2RS232_E1N002INF1!L:L,0)),0)</f>
        <v>0</v>
      </c>
      <c r="L426">
        <f>IFERROR(INDEX(IB_2CAN_E1N003INF1!N:N,MATCH('По платам'!$B426,IB_2CAN_E1N003INF1!L:L,0)),0)</f>
        <v>0</v>
      </c>
    </row>
    <row r="427" spans="2:12">
      <c r="B427" s="3" t="s">
        <v>2749</v>
      </c>
      <c r="C427">
        <f>IFERROR(INDEX('C2B004CPU2'!N:N,MATCH('По платам'!B427,'C2B004CPU2'!L:L,0)),0)</f>
        <v>2</v>
      </c>
      <c r="D427">
        <f>IFERROR(INDEX(SBC_DIO_E1N004INF1!N:N,MATCH('По платам'!$B427,SBC_DIO_E1N004INF1!L:L,0)),0)</f>
        <v>0</v>
      </c>
      <c r="E427">
        <f>IFERROR(INDEX(SBC_35_2C3_1_E1E001CPU1E!N:N,MATCH('По платам'!$B427,SBC_35_2C3_1_E1E001CPU1E!L:L,0)),0)</f>
        <v>0</v>
      </c>
      <c r="F427">
        <f>IFERROR(INDEX(PCIe104_PSU_E1N001PWR1!N:N,MATCH('По платам'!$B427,PCIe104_PSU_E1N001PWR1!L:L,0)),0)</f>
        <v>0</v>
      </c>
      <c r="G427">
        <f>IFERROR(INDEX(PCIe104_INF2_E1N006INF1!N:N,MATCH('По платам'!$B427,PCIe104_INF2_E1N006INF1!L:L,0)),0)</f>
        <v>0</v>
      </c>
      <c r="H427">
        <f>IFERROR(INDEX(PCIe104_CON_E1N005INF1!N:N,MATCH('По платам'!$B427,PCIe104_CON_E1N005INF1!L:L,0)),0)</f>
        <v>0</v>
      </c>
      <c r="I427">
        <f>IFERROR(INDEX('EM-PCIE104-CPU_E1E001CPU1E'!N:N,MATCH('По платам'!$B427,'EM-PCIE104-CPU_E1E001CPU1E'!L:L,0)),0)</f>
        <v>0</v>
      </c>
      <c r="J427">
        <f>IFERROR(INDEX(PCIe104_INF_E1N001INF1!N:N,MATCH('По платам'!$B427,PCIe104_INF_E1N001INF1!L:L,0)),0)</f>
        <v>0</v>
      </c>
      <c r="K427">
        <f>IFERROR(INDEX(IB_2RS232_E1N002INF1!N:N,MATCH('По платам'!$B427,IB_2RS232_E1N002INF1!L:L,0)),0)</f>
        <v>0</v>
      </c>
      <c r="L427">
        <f>IFERROR(INDEX(IB_2CAN_E1N003INF1!N:N,MATCH('По платам'!$B427,IB_2CAN_E1N003INF1!L:L,0)),0)</f>
        <v>0</v>
      </c>
    </row>
    <row r="428" spans="2:12">
      <c r="B428" s="3" t="s">
        <v>831</v>
      </c>
      <c r="C428">
        <f>IFERROR(INDEX('C2B004CPU2'!N:N,MATCH('По платам'!B428,'C2B004CPU2'!L:L,0)),0)</f>
        <v>0</v>
      </c>
      <c r="D428">
        <f>IFERROR(INDEX(SBC_DIO_E1N004INF1!N:N,MATCH('По платам'!$B428,SBC_DIO_E1N004INF1!L:L,0)),0)</f>
        <v>0</v>
      </c>
      <c r="E428">
        <f>IFERROR(INDEX(SBC_35_2C3_1_E1E001CPU1E!N:N,MATCH('По платам'!$B428,SBC_35_2C3_1_E1E001CPU1E!L:L,0)),0)</f>
        <v>0</v>
      </c>
      <c r="F428">
        <f>IFERROR(INDEX(PCIe104_PSU_E1N001PWR1!N:N,MATCH('По платам'!$B428,PCIe104_PSU_E1N001PWR1!L:L,0)),0)</f>
        <v>0</v>
      </c>
      <c r="G428">
        <f>IFERROR(INDEX(PCIe104_INF2_E1N006INF1!N:N,MATCH('По платам'!$B428,PCIe104_INF2_E1N006INF1!L:L,0)),0)</f>
        <v>0</v>
      </c>
      <c r="H428">
        <f>IFERROR(INDEX(PCIe104_CON_E1N005INF1!N:N,MATCH('По платам'!$B428,PCIe104_CON_E1N005INF1!L:L,0)),0)</f>
        <v>0</v>
      </c>
      <c r="I428">
        <f>IFERROR(INDEX('EM-PCIE104-CPU_E1E001CPU1E'!N:N,MATCH('По платам'!$B428,'EM-PCIE104-CPU_E1E001CPU1E'!L:L,0)),0)</f>
        <v>1</v>
      </c>
      <c r="J428">
        <f>IFERROR(INDEX(PCIe104_INF_E1N001INF1!N:N,MATCH('По платам'!$B428,PCIe104_INF_E1N001INF1!L:L,0)),0)</f>
        <v>0</v>
      </c>
      <c r="K428">
        <f>IFERROR(INDEX(IB_2RS232_E1N002INF1!N:N,MATCH('По платам'!$B428,IB_2RS232_E1N002INF1!L:L,0)),0)</f>
        <v>0</v>
      </c>
      <c r="L428">
        <f>IFERROR(INDEX(IB_2CAN_E1N003INF1!N:N,MATCH('По платам'!$B428,IB_2CAN_E1N003INF1!L:L,0)),0)</f>
        <v>0</v>
      </c>
    </row>
    <row r="429" spans="2:12">
      <c r="B429" s="3" t="s">
        <v>841</v>
      </c>
      <c r="C429">
        <f>IFERROR(INDEX('C2B004CPU2'!N:N,MATCH('По платам'!B429,'C2B004CPU2'!L:L,0)),0)</f>
        <v>0</v>
      </c>
      <c r="D429">
        <f>IFERROR(INDEX(SBC_DIO_E1N004INF1!N:N,MATCH('По платам'!$B429,SBC_DIO_E1N004INF1!L:L,0)),0)</f>
        <v>0</v>
      </c>
      <c r="E429">
        <f>IFERROR(INDEX(SBC_35_2C3_1_E1E001CPU1E!N:N,MATCH('По платам'!$B429,SBC_35_2C3_1_E1E001CPU1E!L:L,0)),0)</f>
        <v>57</v>
      </c>
      <c r="F429">
        <f>IFERROR(INDEX(PCIe104_PSU_E1N001PWR1!N:N,MATCH('По платам'!$B429,PCIe104_PSU_E1N001PWR1!L:L,0)),0)</f>
        <v>0</v>
      </c>
      <c r="G429">
        <f>IFERROR(INDEX(PCIe104_INF2_E1N006INF1!N:N,MATCH('По платам'!$B429,PCIe104_INF2_E1N006INF1!L:L,0)),0)</f>
        <v>0</v>
      </c>
      <c r="H429">
        <f>IFERROR(INDEX(PCIe104_CON_E1N005INF1!N:N,MATCH('По платам'!$B429,PCIe104_CON_E1N005INF1!L:L,0)),0)</f>
        <v>0</v>
      </c>
      <c r="I429">
        <f>IFERROR(INDEX('EM-PCIE104-CPU_E1E001CPU1E'!N:N,MATCH('По платам'!$B429,'EM-PCIE104-CPU_E1E001CPU1E'!L:L,0)),0)</f>
        <v>50</v>
      </c>
      <c r="J429">
        <f>IFERROR(INDEX(PCIe104_INF_E1N001INF1!N:N,MATCH('По платам'!$B429,PCIe104_INF_E1N001INF1!L:L,0)),0)</f>
        <v>0</v>
      </c>
      <c r="K429">
        <f>IFERROR(INDEX(IB_2RS232_E1N002INF1!N:N,MATCH('По платам'!$B429,IB_2RS232_E1N002INF1!L:L,0)),0)</f>
        <v>0</v>
      </c>
      <c r="L429">
        <f>IFERROR(INDEX(IB_2CAN_E1N003INF1!N:N,MATCH('По платам'!$B429,IB_2CAN_E1N003INF1!L:L,0)),0)</f>
        <v>0</v>
      </c>
    </row>
    <row r="430" spans="2:12">
      <c r="B430" s="3" t="s">
        <v>944</v>
      </c>
      <c r="C430">
        <f>IFERROR(INDEX('C2B004CPU2'!N:N,MATCH('По платам'!B430,'C2B004CPU2'!L:L,0)),0)</f>
        <v>0</v>
      </c>
      <c r="D430">
        <f>IFERROR(INDEX(SBC_DIO_E1N004INF1!N:N,MATCH('По платам'!$B430,SBC_DIO_E1N004INF1!L:L,0)),0)</f>
        <v>0</v>
      </c>
      <c r="E430">
        <f>IFERROR(INDEX(SBC_35_2C3_1_E1E001CPU1E!N:N,MATCH('По платам'!$B430,SBC_35_2C3_1_E1E001CPU1E!L:L,0)),0)</f>
        <v>7</v>
      </c>
      <c r="F430">
        <f>IFERROR(INDEX(PCIe104_PSU_E1N001PWR1!N:N,MATCH('По платам'!$B430,PCIe104_PSU_E1N001PWR1!L:L,0)),0)</f>
        <v>0</v>
      </c>
      <c r="G430">
        <f>IFERROR(INDEX(PCIe104_INF2_E1N006INF1!N:N,MATCH('По платам'!$B430,PCIe104_INF2_E1N006INF1!L:L,0)),0)</f>
        <v>0</v>
      </c>
      <c r="H430">
        <f>IFERROR(INDEX(PCIe104_CON_E1N005INF1!N:N,MATCH('По платам'!$B430,PCIe104_CON_E1N005INF1!L:L,0)),0)</f>
        <v>0</v>
      </c>
      <c r="I430">
        <f>IFERROR(INDEX('EM-PCIE104-CPU_E1E001CPU1E'!N:N,MATCH('По платам'!$B430,'EM-PCIE104-CPU_E1E001CPU1E'!L:L,0)),0)</f>
        <v>2</v>
      </c>
      <c r="J430">
        <f>IFERROR(INDEX(PCIe104_INF_E1N001INF1!N:N,MATCH('По платам'!$B430,PCIe104_INF_E1N001INF1!L:L,0)),0)</f>
        <v>0</v>
      </c>
      <c r="K430">
        <f>IFERROR(INDEX(IB_2RS232_E1N002INF1!N:N,MATCH('По платам'!$B430,IB_2RS232_E1N002INF1!L:L,0)),0)</f>
        <v>0</v>
      </c>
      <c r="L430">
        <f>IFERROR(INDEX(IB_2CAN_E1N003INF1!N:N,MATCH('По платам'!$B430,IB_2CAN_E1N003INF1!L:L,0)),0)</f>
        <v>0</v>
      </c>
    </row>
    <row r="431" spans="2:12">
      <c r="B431" s="3" t="s">
        <v>419</v>
      </c>
      <c r="C431">
        <f>IFERROR(INDEX('C2B004CPU2'!N:N,MATCH('По платам'!B431,'C2B004CPU2'!L:L,0)),0)</f>
        <v>0</v>
      </c>
      <c r="D431">
        <f>IFERROR(INDEX(SBC_DIO_E1N004INF1!N:N,MATCH('По платам'!$B431,SBC_DIO_E1N004INF1!L:L,0)),0)</f>
        <v>0</v>
      </c>
      <c r="E431">
        <f>IFERROR(INDEX(SBC_35_2C3_1_E1E001CPU1E!N:N,MATCH('По платам'!$B431,SBC_35_2C3_1_E1E001CPU1E!L:L,0)),0)</f>
        <v>131</v>
      </c>
      <c r="F431">
        <f>IFERROR(INDEX(PCIe104_PSU_E1N001PWR1!N:N,MATCH('По платам'!$B431,PCIe104_PSU_E1N001PWR1!L:L,0)),0)</f>
        <v>0</v>
      </c>
      <c r="G431">
        <f>IFERROR(INDEX(PCIe104_INF2_E1N006INF1!N:N,MATCH('По платам'!$B431,PCIe104_INF2_E1N006INF1!L:L,0)),0)</f>
        <v>0</v>
      </c>
      <c r="H431">
        <f>IFERROR(INDEX(PCIe104_CON_E1N005INF1!N:N,MATCH('По платам'!$B431,PCIe104_CON_E1N005INF1!L:L,0)),0)</f>
        <v>0</v>
      </c>
      <c r="I431">
        <f>IFERROR(INDEX('EM-PCIE104-CPU_E1E001CPU1E'!N:N,MATCH('По платам'!$B431,'EM-PCIE104-CPU_E1E001CPU1E'!L:L,0)),0)</f>
        <v>54</v>
      </c>
      <c r="J431">
        <f>IFERROR(INDEX(PCIe104_INF_E1N001INF1!N:N,MATCH('По платам'!$B431,PCIe104_INF_E1N001INF1!L:L,0)),0)</f>
        <v>3</v>
      </c>
      <c r="K431">
        <f>IFERROR(INDEX(IB_2RS232_E1N002INF1!N:N,MATCH('По платам'!$B431,IB_2RS232_E1N002INF1!L:L,0)),0)</f>
        <v>0</v>
      </c>
      <c r="L431">
        <f>IFERROR(INDEX(IB_2CAN_E1N003INF1!N:N,MATCH('По платам'!$B431,IB_2CAN_E1N003INF1!L:L,0)),0)</f>
        <v>0</v>
      </c>
    </row>
    <row r="432" spans="2:12">
      <c r="B432" s="3" t="s">
        <v>939</v>
      </c>
      <c r="C432">
        <f>IFERROR(INDEX('C2B004CPU2'!N:N,MATCH('По платам'!B432,'C2B004CPU2'!L:L,0)),0)</f>
        <v>0</v>
      </c>
      <c r="D432">
        <f>IFERROR(INDEX(SBC_DIO_E1N004INF1!N:N,MATCH('По платам'!$B432,SBC_DIO_E1N004INF1!L:L,0)),0)</f>
        <v>0</v>
      </c>
      <c r="E432">
        <f>IFERROR(INDEX(SBC_35_2C3_1_E1E001CPU1E!N:N,MATCH('По платам'!$B432,SBC_35_2C3_1_E1E001CPU1E!L:L,0)),0)</f>
        <v>0</v>
      </c>
      <c r="F432">
        <f>IFERROR(INDEX(PCIe104_PSU_E1N001PWR1!N:N,MATCH('По платам'!$B432,PCIe104_PSU_E1N001PWR1!L:L,0)),0)</f>
        <v>0</v>
      </c>
      <c r="G432">
        <f>IFERROR(INDEX(PCIe104_INF2_E1N006INF1!N:N,MATCH('По платам'!$B432,PCIe104_INF2_E1N006INF1!L:L,0)),0)</f>
        <v>0</v>
      </c>
      <c r="H432">
        <f>IFERROR(INDEX(PCIe104_CON_E1N005INF1!N:N,MATCH('По платам'!$B432,PCIe104_CON_E1N005INF1!L:L,0)),0)</f>
        <v>0</v>
      </c>
      <c r="I432">
        <f>IFERROR(INDEX('EM-PCIE104-CPU_E1E001CPU1E'!N:N,MATCH('По платам'!$B432,'EM-PCIE104-CPU_E1E001CPU1E'!L:L,0)),0)</f>
        <v>2</v>
      </c>
      <c r="J432">
        <f>IFERROR(INDEX(PCIe104_INF_E1N001INF1!N:N,MATCH('По платам'!$B432,PCIe104_INF_E1N001INF1!L:L,0)),0)</f>
        <v>0</v>
      </c>
      <c r="K432">
        <f>IFERROR(INDEX(IB_2RS232_E1N002INF1!N:N,MATCH('По платам'!$B432,IB_2RS232_E1N002INF1!L:L,0)),0)</f>
        <v>0</v>
      </c>
      <c r="L432">
        <f>IFERROR(INDEX(IB_2CAN_E1N003INF1!N:N,MATCH('По платам'!$B432,IB_2CAN_E1N003INF1!L:L,0)),0)</f>
        <v>0</v>
      </c>
    </row>
    <row r="433" spans="2:12">
      <c r="B433" s="3" t="s">
        <v>2589</v>
      </c>
      <c r="C433">
        <f>IFERROR(INDEX('C2B004CPU2'!N:N,MATCH('По платам'!B433,'C2B004CPU2'!L:L,0)),0)</f>
        <v>2</v>
      </c>
      <c r="D433">
        <f>IFERROR(INDEX(SBC_DIO_E1N004INF1!N:N,MATCH('По платам'!$B433,SBC_DIO_E1N004INF1!L:L,0)),0)</f>
        <v>0</v>
      </c>
      <c r="E433">
        <f>IFERROR(INDEX(SBC_35_2C3_1_E1E001CPU1E!N:N,MATCH('По платам'!$B433,SBC_35_2C3_1_E1E001CPU1E!L:L,0)),0)</f>
        <v>0</v>
      </c>
      <c r="F433">
        <f>IFERROR(INDEX(PCIe104_PSU_E1N001PWR1!N:N,MATCH('По платам'!$B433,PCIe104_PSU_E1N001PWR1!L:L,0)),0)</f>
        <v>0</v>
      </c>
      <c r="G433">
        <f>IFERROR(INDEX(PCIe104_INF2_E1N006INF1!N:N,MATCH('По платам'!$B433,PCIe104_INF2_E1N006INF1!L:L,0)),0)</f>
        <v>0</v>
      </c>
      <c r="H433">
        <f>IFERROR(INDEX(PCIe104_CON_E1N005INF1!N:N,MATCH('По платам'!$B433,PCIe104_CON_E1N005INF1!L:L,0)),0)</f>
        <v>0</v>
      </c>
      <c r="I433">
        <f>IFERROR(INDEX('EM-PCIE104-CPU_E1E001CPU1E'!N:N,MATCH('По платам'!$B433,'EM-PCIE104-CPU_E1E001CPU1E'!L:L,0)),0)</f>
        <v>0</v>
      </c>
      <c r="J433">
        <f>IFERROR(INDEX(PCIe104_INF_E1N001INF1!N:N,MATCH('По платам'!$B433,PCIe104_INF_E1N001INF1!L:L,0)),0)</f>
        <v>0</v>
      </c>
      <c r="K433">
        <f>IFERROR(INDEX(IB_2RS232_E1N002INF1!N:N,MATCH('По платам'!$B433,IB_2RS232_E1N002INF1!L:L,0)),0)</f>
        <v>0</v>
      </c>
      <c r="L433">
        <f>IFERROR(INDEX(IB_2CAN_E1N003INF1!N:N,MATCH('По платам'!$B433,IB_2CAN_E1N003INF1!L:L,0)),0)</f>
        <v>0</v>
      </c>
    </row>
    <row r="434" spans="2:12">
      <c r="B434" s="3" t="s">
        <v>2593</v>
      </c>
      <c r="C434">
        <f>IFERROR(INDEX('C2B004CPU2'!N:N,MATCH('По платам'!B434,'C2B004CPU2'!L:L,0)),0)</f>
        <v>3</v>
      </c>
      <c r="D434">
        <f>IFERROR(INDEX(SBC_DIO_E1N004INF1!N:N,MATCH('По платам'!$B434,SBC_DIO_E1N004INF1!L:L,0)),0)</f>
        <v>0</v>
      </c>
      <c r="E434">
        <f>IFERROR(INDEX(SBC_35_2C3_1_E1E001CPU1E!N:N,MATCH('По платам'!$B434,SBC_35_2C3_1_E1E001CPU1E!L:L,0)),0)</f>
        <v>0</v>
      </c>
      <c r="F434">
        <f>IFERROR(INDEX(PCIe104_PSU_E1N001PWR1!N:N,MATCH('По платам'!$B434,PCIe104_PSU_E1N001PWR1!L:L,0)),0)</f>
        <v>0</v>
      </c>
      <c r="G434">
        <f>IFERROR(INDEX(PCIe104_INF2_E1N006INF1!N:N,MATCH('По платам'!$B434,PCIe104_INF2_E1N006INF1!L:L,0)),0)</f>
        <v>0</v>
      </c>
      <c r="H434">
        <f>IFERROR(INDEX(PCIe104_CON_E1N005INF1!N:N,MATCH('По платам'!$B434,PCIe104_CON_E1N005INF1!L:L,0)),0)</f>
        <v>0</v>
      </c>
      <c r="I434">
        <f>IFERROR(INDEX('EM-PCIE104-CPU_E1E001CPU1E'!N:N,MATCH('По платам'!$B434,'EM-PCIE104-CPU_E1E001CPU1E'!L:L,0)),0)</f>
        <v>0</v>
      </c>
      <c r="J434">
        <f>IFERROR(INDEX(PCIe104_INF_E1N001INF1!N:N,MATCH('По платам'!$B434,PCIe104_INF_E1N001INF1!L:L,0)),0)</f>
        <v>0</v>
      </c>
      <c r="K434">
        <f>IFERROR(INDEX(IB_2RS232_E1N002INF1!N:N,MATCH('По платам'!$B434,IB_2RS232_E1N002INF1!L:L,0)),0)</f>
        <v>0</v>
      </c>
      <c r="L434">
        <f>IFERROR(INDEX(IB_2CAN_E1N003INF1!N:N,MATCH('По платам'!$B434,IB_2CAN_E1N003INF1!L:L,0)),0)</f>
        <v>0</v>
      </c>
    </row>
    <row r="435" spans="2:12">
      <c r="B435" s="3" t="s">
        <v>866</v>
      </c>
      <c r="C435">
        <f>IFERROR(INDEX('C2B004CPU2'!N:N,MATCH('По платам'!B435,'C2B004CPU2'!L:L,0)),0)</f>
        <v>0</v>
      </c>
      <c r="D435">
        <f>IFERROR(INDEX(SBC_DIO_E1N004INF1!N:N,MATCH('По платам'!$B435,SBC_DIO_E1N004INF1!L:L,0)),0)</f>
        <v>0</v>
      </c>
      <c r="E435">
        <f>IFERROR(INDEX(SBC_35_2C3_1_E1E001CPU1E!N:N,MATCH('По платам'!$B435,SBC_35_2C3_1_E1E001CPU1E!L:L,0)),0)</f>
        <v>1</v>
      </c>
      <c r="F435">
        <f>IFERROR(INDEX(PCIe104_PSU_E1N001PWR1!N:N,MATCH('По платам'!$B435,PCIe104_PSU_E1N001PWR1!L:L,0)),0)</f>
        <v>0</v>
      </c>
      <c r="G435">
        <f>IFERROR(INDEX(PCIe104_INF2_E1N006INF1!N:N,MATCH('По платам'!$B435,PCIe104_INF2_E1N006INF1!L:L,0)),0)</f>
        <v>0</v>
      </c>
      <c r="H435">
        <f>IFERROR(INDEX(PCIe104_CON_E1N005INF1!N:N,MATCH('По платам'!$B435,PCIe104_CON_E1N005INF1!L:L,0)),0)</f>
        <v>0</v>
      </c>
      <c r="I435">
        <f>IFERROR(INDEX('EM-PCIE104-CPU_E1E001CPU1E'!N:N,MATCH('По платам'!$B435,'EM-PCIE104-CPU_E1E001CPU1E'!L:L,0)),0)</f>
        <v>1</v>
      </c>
      <c r="J435">
        <f>IFERROR(INDEX(PCIe104_INF_E1N001INF1!N:N,MATCH('По платам'!$B435,PCIe104_INF_E1N001INF1!L:L,0)),0)</f>
        <v>0</v>
      </c>
      <c r="K435">
        <f>IFERROR(INDEX(IB_2RS232_E1N002INF1!N:N,MATCH('По платам'!$B435,IB_2RS232_E1N002INF1!L:L,0)),0)</f>
        <v>0</v>
      </c>
      <c r="L435">
        <f>IFERROR(INDEX(IB_2CAN_E1N003INF1!N:N,MATCH('По платам'!$B435,IB_2CAN_E1N003INF1!L:L,0)),0)</f>
        <v>0</v>
      </c>
    </row>
    <row r="436" spans="2:12">
      <c r="B436" s="3" t="s">
        <v>817</v>
      </c>
      <c r="C436">
        <f>IFERROR(INDEX('C2B004CPU2'!N:N,MATCH('По платам'!B436,'C2B004CPU2'!L:L,0)),0)</f>
        <v>0</v>
      </c>
      <c r="D436">
        <f>IFERROR(INDEX(SBC_DIO_E1N004INF1!N:N,MATCH('По платам'!$B436,SBC_DIO_E1N004INF1!L:L,0)),0)</f>
        <v>0</v>
      </c>
      <c r="E436">
        <f>IFERROR(INDEX(SBC_35_2C3_1_E1E001CPU1E!N:N,MATCH('По платам'!$B436,SBC_35_2C3_1_E1E001CPU1E!L:L,0)),0)</f>
        <v>4</v>
      </c>
      <c r="F436">
        <f>IFERROR(INDEX(PCIe104_PSU_E1N001PWR1!N:N,MATCH('По платам'!$B436,PCIe104_PSU_E1N001PWR1!L:L,0)),0)</f>
        <v>0</v>
      </c>
      <c r="G436">
        <f>IFERROR(INDEX(PCIe104_INF2_E1N006INF1!N:N,MATCH('По платам'!$B436,PCIe104_INF2_E1N006INF1!L:L,0)),0)</f>
        <v>0</v>
      </c>
      <c r="H436">
        <f>IFERROR(INDEX(PCIe104_CON_E1N005INF1!N:N,MATCH('По платам'!$B436,PCIe104_CON_E1N005INF1!L:L,0)),0)</f>
        <v>0</v>
      </c>
      <c r="I436">
        <f>IFERROR(INDEX('EM-PCIE104-CPU_E1E001CPU1E'!N:N,MATCH('По платам'!$B436,'EM-PCIE104-CPU_E1E001CPU1E'!L:L,0)),0)</f>
        <v>59</v>
      </c>
      <c r="J436">
        <f>IFERROR(INDEX(PCIe104_INF_E1N001INF1!N:N,MATCH('По платам'!$B436,PCIe104_INF_E1N001INF1!L:L,0)),0)</f>
        <v>0</v>
      </c>
      <c r="K436">
        <f>IFERROR(INDEX(IB_2RS232_E1N002INF1!N:N,MATCH('По платам'!$B436,IB_2RS232_E1N002INF1!L:L,0)),0)</f>
        <v>0</v>
      </c>
      <c r="L436">
        <f>IFERROR(INDEX(IB_2CAN_E1N003INF1!N:N,MATCH('По платам'!$B436,IB_2CAN_E1N003INF1!L:L,0)),0)</f>
        <v>0</v>
      </c>
    </row>
    <row r="437" spans="2:12">
      <c r="B437" s="3" t="s">
        <v>896</v>
      </c>
      <c r="C437">
        <f>IFERROR(INDEX('C2B004CPU2'!N:N,MATCH('По платам'!B437,'C2B004CPU2'!L:L,0)),0)</f>
        <v>0</v>
      </c>
      <c r="D437">
        <f>IFERROR(INDEX(SBC_DIO_E1N004INF1!N:N,MATCH('По платам'!$B437,SBC_DIO_E1N004INF1!L:L,0)),0)</f>
        <v>0</v>
      </c>
      <c r="E437">
        <f>IFERROR(INDEX(SBC_35_2C3_1_E1E001CPU1E!N:N,MATCH('По платам'!$B437,SBC_35_2C3_1_E1E001CPU1E!L:L,0)),0)</f>
        <v>44</v>
      </c>
      <c r="F437">
        <f>IFERROR(INDEX(PCIe104_PSU_E1N001PWR1!N:N,MATCH('По платам'!$B437,PCIe104_PSU_E1N001PWR1!L:L,0)),0)</f>
        <v>0</v>
      </c>
      <c r="G437">
        <f>IFERROR(INDEX(PCIe104_INF2_E1N006INF1!N:N,MATCH('По платам'!$B437,PCIe104_INF2_E1N006INF1!L:L,0)),0)</f>
        <v>0</v>
      </c>
      <c r="H437">
        <f>IFERROR(INDEX(PCIe104_CON_E1N005INF1!N:N,MATCH('По платам'!$B437,PCIe104_CON_E1N005INF1!L:L,0)),0)</f>
        <v>0</v>
      </c>
      <c r="I437">
        <f>IFERROR(INDEX('EM-PCIE104-CPU_E1E001CPU1E'!N:N,MATCH('По платам'!$B437,'EM-PCIE104-CPU_E1E001CPU1E'!L:L,0)),0)</f>
        <v>5</v>
      </c>
      <c r="J437">
        <f>IFERROR(INDEX(PCIe104_INF_E1N001INF1!N:N,MATCH('По платам'!$B437,PCIe104_INF_E1N001INF1!L:L,0)),0)</f>
        <v>0</v>
      </c>
      <c r="K437">
        <f>IFERROR(INDEX(IB_2RS232_E1N002INF1!N:N,MATCH('По платам'!$B437,IB_2RS232_E1N002INF1!L:L,0)),0)</f>
        <v>0</v>
      </c>
      <c r="L437">
        <f>IFERROR(INDEX(IB_2CAN_E1N003INF1!N:N,MATCH('По платам'!$B437,IB_2CAN_E1N003INF1!L:L,0)),0)</f>
        <v>0</v>
      </c>
    </row>
    <row r="438" spans="2:12">
      <c r="B438" s="3" t="s">
        <v>889</v>
      </c>
      <c r="C438">
        <f>IFERROR(INDEX('C2B004CPU2'!N:N,MATCH('По платам'!B438,'C2B004CPU2'!L:L,0)),0)</f>
        <v>0</v>
      </c>
      <c r="D438">
        <f>IFERROR(INDEX(SBC_DIO_E1N004INF1!N:N,MATCH('По платам'!$B438,SBC_DIO_E1N004INF1!L:L,0)),0)</f>
        <v>0</v>
      </c>
      <c r="E438">
        <f>IFERROR(INDEX(SBC_35_2C3_1_E1E001CPU1E!N:N,MATCH('По платам'!$B438,SBC_35_2C3_1_E1E001CPU1E!L:L,0)),0)</f>
        <v>21</v>
      </c>
      <c r="F438">
        <f>IFERROR(INDEX(PCIe104_PSU_E1N001PWR1!N:N,MATCH('По платам'!$B438,PCIe104_PSU_E1N001PWR1!L:L,0)),0)</f>
        <v>0</v>
      </c>
      <c r="G438">
        <f>IFERROR(INDEX(PCIe104_INF2_E1N006INF1!N:N,MATCH('По платам'!$B438,PCIe104_INF2_E1N006INF1!L:L,0)),0)</f>
        <v>0</v>
      </c>
      <c r="H438">
        <f>IFERROR(INDEX(PCIe104_CON_E1N005INF1!N:N,MATCH('По платам'!$B438,PCIe104_CON_E1N005INF1!L:L,0)),0)</f>
        <v>0</v>
      </c>
      <c r="I438">
        <f>IFERROR(INDEX('EM-PCIE104-CPU_E1E001CPU1E'!N:N,MATCH('По платам'!$B438,'EM-PCIE104-CPU_E1E001CPU1E'!L:L,0)),0)</f>
        <v>1</v>
      </c>
      <c r="J438">
        <f>IFERROR(INDEX(PCIe104_INF_E1N001INF1!N:N,MATCH('По платам'!$B438,PCIe104_INF_E1N001INF1!L:L,0)),0)</f>
        <v>0</v>
      </c>
      <c r="K438">
        <f>IFERROR(INDEX(IB_2RS232_E1N002INF1!N:N,MATCH('По платам'!$B438,IB_2RS232_E1N002INF1!L:L,0)),0)</f>
        <v>0</v>
      </c>
      <c r="L438">
        <f>IFERROR(INDEX(IB_2CAN_E1N003INF1!N:N,MATCH('По платам'!$B438,IB_2CAN_E1N003INF1!L:L,0)),0)</f>
        <v>0</v>
      </c>
    </row>
    <row r="439" spans="2:12">
      <c r="B439" s="3" t="s">
        <v>886</v>
      </c>
      <c r="C439">
        <f>IFERROR(INDEX('C2B004CPU2'!N:N,MATCH('По платам'!B439,'C2B004CPU2'!L:L,0)),0)</f>
        <v>0</v>
      </c>
      <c r="D439">
        <f>IFERROR(INDEX(SBC_DIO_E1N004INF1!N:N,MATCH('По платам'!$B439,SBC_DIO_E1N004INF1!L:L,0)),0)</f>
        <v>0</v>
      </c>
      <c r="E439">
        <f>IFERROR(INDEX(SBC_35_2C3_1_E1E001CPU1E!N:N,MATCH('По платам'!$B439,SBC_35_2C3_1_E1E001CPU1E!L:L,0)),0)</f>
        <v>1</v>
      </c>
      <c r="F439">
        <f>IFERROR(INDEX(PCIe104_PSU_E1N001PWR1!N:N,MATCH('По платам'!$B439,PCIe104_PSU_E1N001PWR1!L:L,0)),0)</f>
        <v>0</v>
      </c>
      <c r="G439">
        <f>IFERROR(INDEX(PCIe104_INF2_E1N006INF1!N:N,MATCH('По платам'!$B439,PCIe104_INF2_E1N006INF1!L:L,0)),0)</f>
        <v>0</v>
      </c>
      <c r="H439">
        <f>IFERROR(INDEX(PCIe104_CON_E1N005INF1!N:N,MATCH('По платам'!$B439,PCIe104_CON_E1N005INF1!L:L,0)),0)</f>
        <v>0</v>
      </c>
      <c r="I439">
        <f>IFERROR(INDEX('EM-PCIE104-CPU_E1E001CPU1E'!N:N,MATCH('По платам'!$B439,'EM-PCIE104-CPU_E1E001CPU1E'!L:L,0)),0)</f>
        <v>3</v>
      </c>
      <c r="J439">
        <f>IFERROR(INDEX(PCIe104_INF_E1N001INF1!N:N,MATCH('По платам'!$B439,PCIe104_INF_E1N001INF1!L:L,0)),0)</f>
        <v>0</v>
      </c>
      <c r="K439">
        <f>IFERROR(INDEX(IB_2RS232_E1N002INF1!N:N,MATCH('По платам'!$B439,IB_2RS232_E1N002INF1!L:L,0)),0)</f>
        <v>0</v>
      </c>
      <c r="L439">
        <f>IFERROR(INDEX(IB_2CAN_E1N003INF1!N:N,MATCH('По платам'!$B439,IB_2CAN_E1N003INF1!L:L,0)),0)</f>
        <v>0</v>
      </c>
    </row>
    <row r="440" spans="2:12">
      <c r="B440" s="3" t="s">
        <v>1877</v>
      </c>
      <c r="C440">
        <f>IFERROR(INDEX('C2B004CPU2'!N:N,MATCH('По платам'!B440,'C2B004CPU2'!L:L,0)),0)</f>
        <v>0</v>
      </c>
      <c r="D440">
        <f>IFERROR(INDEX(SBC_DIO_E1N004INF1!N:N,MATCH('По платам'!$B440,SBC_DIO_E1N004INF1!L:L,0)),0)</f>
        <v>0</v>
      </c>
      <c r="E440">
        <f>IFERROR(INDEX(SBC_35_2C3_1_E1E001CPU1E!N:N,MATCH('По платам'!$B440,SBC_35_2C3_1_E1E001CPU1E!L:L,0)),0)</f>
        <v>1</v>
      </c>
      <c r="F440">
        <f>IFERROR(INDEX(PCIe104_PSU_E1N001PWR1!N:N,MATCH('По платам'!$B440,PCIe104_PSU_E1N001PWR1!L:L,0)),0)</f>
        <v>0</v>
      </c>
      <c r="G440">
        <f>IFERROR(INDEX(PCIe104_INF2_E1N006INF1!N:N,MATCH('По платам'!$B440,PCIe104_INF2_E1N006INF1!L:L,0)),0)</f>
        <v>0</v>
      </c>
      <c r="H440">
        <f>IFERROR(INDEX(PCIe104_CON_E1N005INF1!N:N,MATCH('По платам'!$B440,PCIe104_CON_E1N005INF1!L:L,0)),0)</f>
        <v>0</v>
      </c>
      <c r="I440">
        <f>IFERROR(INDEX('EM-PCIE104-CPU_E1E001CPU1E'!N:N,MATCH('По платам'!$B440,'EM-PCIE104-CPU_E1E001CPU1E'!L:L,0)),0)</f>
        <v>0</v>
      </c>
      <c r="J440">
        <f>IFERROR(INDEX(PCIe104_INF_E1N001INF1!N:N,MATCH('По платам'!$B440,PCIe104_INF_E1N001INF1!L:L,0)),0)</f>
        <v>0</v>
      </c>
      <c r="K440">
        <f>IFERROR(INDEX(IB_2RS232_E1N002INF1!N:N,MATCH('По платам'!$B440,IB_2RS232_E1N002INF1!L:L,0)),0)</f>
        <v>0</v>
      </c>
      <c r="L440">
        <f>IFERROR(INDEX(IB_2CAN_E1N003INF1!N:N,MATCH('По платам'!$B440,IB_2CAN_E1N003INF1!L:L,0)),0)</f>
        <v>0</v>
      </c>
    </row>
    <row r="441" spans="2:12">
      <c r="B441" s="3" t="s">
        <v>1914</v>
      </c>
      <c r="C441">
        <f>IFERROR(INDEX('C2B004CPU2'!N:N,MATCH('По платам'!B441,'C2B004CPU2'!L:L,0)),0)</f>
        <v>0</v>
      </c>
      <c r="D441">
        <f>IFERROR(INDEX(SBC_DIO_E1N004INF1!N:N,MATCH('По платам'!$B441,SBC_DIO_E1N004INF1!L:L,0)),0)</f>
        <v>0</v>
      </c>
      <c r="E441">
        <f>IFERROR(INDEX(SBC_35_2C3_1_E1E001CPU1E!N:N,MATCH('По платам'!$B441,SBC_35_2C3_1_E1E001CPU1E!L:L,0)),0)</f>
        <v>1</v>
      </c>
      <c r="F441">
        <f>IFERROR(INDEX(PCIe104_PSU_E1N001PWR1!N:N,MATCH('По платам'!$B441,PCIe104_PSU_E1N001PWR1!L:L,0)),0)</f>
        <v>0</v>
      </c>
      <c r="G441">
        <f>IFERROR(INDEX(PCIe104_INF2_E1N006INF1!N:N,MATCH('По платам'!$B441,PCIe104_INF2_E1N006INF1!L:L,0)),0)</f>
        <v>0</v>
      </c>
      <c r="H441">
        <f>IFERROR(INDEX(PCIe104_CON_E1N005INF1!N:N,MATCH('По платам'!$B441,PCIe104_CON_E1N005INF1!L:L,0)),0)</f>
        <v>0</v>
      </c>
      <c r="I441">
        <f>IFERROR(INDEX('EM-PCIE104-CPU_E1E001CPU1E'!N:N,MATCH('По платам'!$B441,'EM-PCIE104-CPU_E1E001CPU1E'!L:L,0)),0)</f>
        <v>0</v>
      </c>
      <c r="J441">
        <f>IFERROR(INDEX(PCIe104_INF_E1N001INF1!N:N,MATCH('По платам'!$B441,PCIe104_INF_E1N001INF1!L:L,0)),0)</f>
        <v>0</v>
      </c>
      <c r="K441">
        <f>IFERROR(INDEX(IB_2RS232_E1N002INF1!N:N,MATCH('По платам'!$B441,IB_2RS232_E1N002INF1!L:L,0)),0)</f>
        <v>0</v>
      </c>
      <c r="L441">
        <f>IFERROR(INDEX(IB_2CAN_E1N003INF1!N:N,MATCH('По платам'!$B441,IB_2CAN_E1N003INF1!L:L,0)),0)</f>
        <v>0</v>
      </c>
    </row>
    <row r="442" spans="2:12">
      <c r="B442" s="3" t="s">
        <v>883</v>
      </c>
      <c r="C442">
        <f>IFERROR(INDEX('C2B004CPU2'!N:N,MATCH('По платам'!B442,'C2B004CPU2'!L:L,0)),0)</f>
        <v>0</v>
      </c>
      <c r="D442">
        <f>IFERROR(INDEX(SBC_DIO_E1N004INF1!N:N,MATCH('По платам'!$B442,SBC_DIO_E1N004INF1!L:L,0)),0)</f>
        <v>0</v>
      </c>
      <c r="E442">
        <f>IFERROR(INDEX(SBC_35_2C3_1_E1E001CPU1E!N:N,MATCH('По платам'!$B442,SBC_35_2C3_1_E1E001CPU1E!L:L,0)),0)</f>
        <v>1</v>
      </c>
      <c r="F442">
        <f>IFERROR(INDEX(PCIe104_PSU_E1N001PWR1!N:N,MATCH('По платам'!$B442,PCIe104_PSU_E1N001PWR1!L:L,0)),0)</f>
        <v>0</v>
      </c>
      <c r="G442">
        <f>IFERROR(INDEX(PCIe104_INF2_E1N006INF1!N:N,MATCH('По платам'!$B442,PCIe104_INF2_E1N006INF1!L:L,0)),0)</f>
        <v>0</v>
      </c>
      <c r="H442">
        <f>IFERROR(INDEX(PCIe104_CON_E1N005INF1!N:N,MATCH('По платам'!$B442,PCIe104_CON_E1N005INF1!L:L,0)),0)</f>
        <v>0</v>
      </c>
      <c r="I442">
        <f>IFERROR(INDEX('EM-PCIE104-CPU_E1E001CPU1E'!N:N,MATCH('По платам'!$B442,'EM-PCIE104-CPU_E1E001CPU1E'!L:L,0)),0)</f>
        <v>3</v>
      </c>
      <c r="J442">
        <f>IFERROR(INDEX(PCIe104_INF_E1N001INF1!N:N,MATCH('По платам'!$B442,PCIe104_INF_E1N001INF1!L:L,0)),0)</f>
        <v>0</v>
      </c>
      <c r="K442">
        <f>IFERROR(INDEX(IB_2RS232_E1N002INF1!N:N,MATCH('По платам'!$B442,IB_2RS232_E1N002INF1!L:L,0)),0)</f>
        <v>0</v>
      </c>
      <c r="L442">
        <f>IFERROR(INDEX(IB_2CAN_E1N003INF1!N:N,MATCH('По платам'!$B442,IB_2CAN_E1N003INF1!L:L,0)),0)</f>
        <v>0</v>
      </c>
    </row>
    <row r="443" spans="2:12">
      <c r="B443" s="3" t="s">
        <v>846</v>
      </c>
      <c r="C443">
        <f>IFERROR(INDEX('C2B004CPU2'!N:N,MATCH('По платам'!B443,'C2B004CPU2'!L:L,0)),0)</f>
        <v>0</v>
      </c>
      <c r="D443">
        <f>IFERROR(INDEX(SBC_DIO_E1N004INF1!N:N,MATCH('По платам'!$B443,SBC_DIO_E1N004INF1!L:L,0)),0)</f>
        <v>0</v>
      </c>
      <c r="E443">
        <f>IFERROR(INDEX(SBC_35_2C3_1_E1E001CPU1E!N:N,MATCH('По платам'!$B443,SBC_35_2C3_1_E1E001CPU1E!L:L,0)),0)</f>
        <v>2</v>
      </c>
      <c r="F443">
        <f>IFERROR(INDEX(PCIe104_PSU_E1N001PWR1!N:N,MATCH('По платам'!$B443,PCIe104_PSU_E1N001PWR1!L:L,0)),0)</f>
        <v>0</v>
      </c>
      <c r="G443">
        <f>IFERROR(INDEX(PCIe104_INF2_E1N006INF1!N:N,MATCH('По платам'!$B443,PCIe104_INF2_E1N006INF1!L:L,0)),0)</f>
        <v>0</v>
      </c>
      <c r="H443">
        <f>IFERROR(INDEX(PCIe104_CON_E1N005INF1!N:N,MATCH('По платам'!$B443,PCIe104_CON_E1N005INF1!L:L,0)),0)</f>
        <v>0</v>
      </c>
      <c r="I443">
        <f>IFERROR(INDEX('EM-PCIE104-CPU_E1E001CPU1E'!N:N,MATCH('По платам'!$B443,'EM-PCIE104-CPU_E1E001CPU1E'!L:L,0)),0)</f>
        <v>2</v>
      </c>
      <c r="J443">
        <f>IFERROR(INDEX(PCIe104_INF_E1N001INF1!N:N,MATCH('По платам'!$B443,PCIe104_INF_E1N001INF1!L:L,0)),0)</f>
        <v>0</v>
      </c>
      <c r="K443">
        <f>IFERROR(INDEX(IB_2RS232_E1N002INF1!N:N,MATCH('По платам'!$B443,IB_2RS232_E1N002INF1!L:L,0)),0)</f>
        <v>0</v>
      </c>
      <c r="L443">
        <f>IFERROR(INDEX(IB_2CAN_E1N003INF1!N:N,MATCH('По платам'!$B443,IB_2CAN_E1N003INF1!L:L,0)),0)</f>
        <v>0</v>
      </c>
    </row>
    <row r="444" spans="2:12">
      <c r="B444" s="3" t="s">
        <v>437</v>
      </c>
      <c r="C444">
        <f>IFERROR(INDEX('C2B004CPU2'!N:N,MATCH('По платам'!B444,'C2B004CPU2'!L:L,0)),0)</f>
        <v>0</v>
      </c>
      <c r="D444">
        <f>IFERROR(INDEX(SBC_DIO_E1N004INF1!N:N,MATCH('По платам'!$B444,SBC_DIO_E1N004INF1!L:L,0)),0)</f>
        <v>0</v>
      </c>
      <c r="E444">
        <f>IFERROR(INDEX(SBC_35_2C3_1_E1E001CPU1E!N:N,MATCH('По платам'!$B444,SBC_35_2C3_1_E1E001CPU1E!L:L,0)),0)</f>
        <v>29</v>
      </c>
      <c r="F444">
        <f>IFERROR(INDEX(PCIe104_PSU_E1N001PWR1!N:N,MATCH('По платам'!$B444,PCIe104_PSU_E1N001PWR1!L:L,0)),0)</f>
        <v>0</v>
      </c>
      <c r="G444">
        <f>IFERROR(INDEX(PCIe104_INF2_E1N006INF1!N:N,MATCH('По платам'!$B444,PCIe104_INF2_E1N006INF1!L:L,0)),0)</f>
        <v>0</v>
      </c>
      <c r="H444">
        <f>IFERROR(INDEX(PCIe104_CON_E1N005INF1!N:N,MATCH('По платам'!$B444,PCIe104_CON_E1N005INF1!L:L,0)),0)</f>
        <v>0</v>
      </c>
      <c r="I444">
        <f>IFERROR(INDEX('EM-PCIE104-CPU_E1E001CPU1E'!N:N,MATCH('По платам'!$B444,'EM-PCIE104-CPU_E1E001CPU1E'!L:L,0)),0)</f>
        <v>16</v>
      </c>
      <c r="J444">
        <f>IFERROR(INDEX(PCIe104_INF_E1N001INF1!N:N,MATCH('По платам'!$B444,PCIe104_INF_E1N001INF1!L:L,0)),0)</f>
        <v>8</v>
      </c>
      <c r="K444">
        <f>IFERROR(INDEX(IB_2RS232_E1N002INF1!N:N,MATCH('По платам'!$B444,IB_2RS232_E1N002INF1!L:L,0)),0)</f>
        <v>0</v>
      </c>
      <c r="L444">
        <f>IFERROR(INDEX(IB_2CAN_E1N003INF1!N:N,MATCH('По платам'!$B444,IB_2CAN_E1N003INF1!L:L,0)),0)</f>
        <v>0</v>
      </c>
    </row>
    <row r="445" spans="2:12">
      <c r="B445" s="3" t="s">
        <v>1729</v>
      </c>
      <c r="C445">
        <f>IFERROR(INDEX('C2B004CPU2'!N:N,MATCH('По платам'!B445,'C2B004CPU2'!L:L,0)),0)</f>
        <v>0</v>
      </c>
      <c r="D445">
        <f>IFERROR(INDEX(SBC_DIO_E1N004INF1!N:N,MATCH('По платам'!$B445,SBC_DIO_E1N004INF1!L:L,0)),0)</f>
        <v>0</v>
      </c>
      <c r="E445">
        <f>IFERROR(INDEX(SBC_35_2C3_1_E1E001CPU1E!N:N,MATCH('По платам'!$B445,SBC_35_2C3_1_E1E001CPU1E!L:L,0)),0)</f>
        <v>3</v>
      </c>
      <c r="F445">
        <f>IFERROR(INDEX(PCIe104_PSU_E1N001PWR1!N:N,MATCH('По платам'!$B445,PCIe104_PSU_E1N001PWR1!L:L,0)),0)</f>
        <v>0</v>
      </c>
      <c r="G445">
        <f>IFERROR(INDEX(PCIe104_INF2_E1N006INF1!N:N,MATCH('По платам'!$B445,PCIe104_INF2_E1N006INF1!L:L,0)),0)</f>
        <v>0</v>
      </c>
      <c r="H445">
        <f>IFERROR(INDEX(PCIe104_CON_E1N005INF1!N:N,MATCH('По платам'!$B445,PCIe104_CON_E1N005INF1!L:L,0)),0)</f>
        <v>0</v>
      </c>
      <c r="I445">
        <f>IFERROR(INDEX('EM-PCIE104-CPU_E1E001CPU1E'!N:N,MATCH('По платам'!$B445,'EM-PCIE104-CPU_E1E001CPU1E'!L:L,0)),0)</f>
        <v>0</v>
      </c>
      <c r="J445">
        <f>IFERROR(INDEX(PCIe104_INF_E1N001INF1!N:N,MATCH('По платам'!$B445,PCIe104_INF_E1N001INF1!L:L,0)),0)</f>
        <v>0</v>
      </c>
      <c r="K445">
        <f>IFERROR(INDEX(IB_2RS232_E1N002INF1!N:N,MATCH('По платам'!$B445,IB_2RS232_E1N002INF1!L:L,0)),0)</f>
        <v>0</v>
      </c>
      <c r="L445">
        <f>IFERROR(INDEX(IB_2CAN_E1N003INF1!N:N,MATCH('По платам'!$B445,IB_2CAN_E1N003INF1!L:L,0)),0)</f>
        <v>0</v>
      </c>
    </row>
    <row r="446" spans="2:12">
      <c r="B446" s="3" t="s">
        <v>827</v>
      </c>
      <c r="C446">
        <f>IFERROR(INDEX('C2B004CPU2'!N:N,MATCH('По платам'!B446,'C2B004CPU2'!L:L,0)),0)</f>
        <v>0</v>
      </c>
      <c r="D446">
        <f>IFERROR(INDEX(SBC_DIO_E1N004INF1!N:N,MATCH('По платам'!$B446,SBC_DIO_E1N004INF1!L:L,0)),0)</f>
        <v>0</v>
      </c>
      <c r="E446">
        <f>IFERROR(INDEX(SBC_35_2C3_1_E1E001CPU1E!N:N,MATCH('По платам'!$B446,SBC_35_2C3_1_E1E001CPU1E!L:L,0)),0)</f>
        <v>6</v>
      </c>
      <c r="F446">
        <f>IFERROR(INDEX(PCIe104_PSU_E1N001PWR1!N:N,MATCH('По платам'!$B446,PCIe104_PSU_E1N001PWR1!L:L,0)),0)</f>
        <v>0</v>
      </c>
      <c r="G446">
        <f>IFERROR(INDEX(PCIe104_INF2_E1N006INF1!N:N,MATCH('По платам'!$B446,PCIe104_INF2_E1N006INF1!L:L,0)),0)</f>
        <v>0</v>
      </c>
      <c r="H446">
        <f>IFERROR(INDEX(PCIe104_CON_E1N005INF1!N:N,MATCH('По платам'!$B446,PCIe104_CON_E1N005INF1!L:L,0)),0)</f>
        <v>0</v>
      </c>
      <c r="I446">
        <f>IFERROR(INDEX('EM-PCIE104-CPU_E1E001CPU1E'!N:N,MATCH('По платам'!$B446,'EM-PCIE104-CPU_E1E001CPU1E'!L:L,0)),0)</f>
        <v>1</v>
      </c>
      <c r="J446">
        <f>IFERROR(INDEX(PCIe104_INF_E1N001INF1!N:N,MATCH('По платам'!$B446,PCIe104_INF_E1N001INF1!L:L,0)),0)</f>
        <v>0</v>
      </c>
      <c r="K446">
        <f>IFERROR(INDEX(IB_2RS232_E1N002INF1!N:N,MATCH('По платам'!$B446,IB_2RS232_E1N002INF1!L:L,0)),0)</f>
        <v>0</v>
      </c>
      <c r="L446">
        <f>IFERROR(INDEX(IB_2CAN_E1N003INF1!N:N,MATCH('По платам'!$B446,IB_2CAN_E1N003INF1!L:L,0)),0)</f>
        <v>0</v>
      </c>
    </row>
    <row r="447" spans="2:12">
      <c r="B447" s="3" t="s">
        <v>1726</v>
      </c>
      <c r="C447">
        <f>IFERROR(INDEX('C2B004CPU2'!N:N,MATCH('По платам'!B447,'C2B004CPU2'!L:L,0)),0)</f>
        <v>0</v>
      </c>
      <c r="D447">
        <f>IFERROR(INDEX(SBC_DIO_E1N004INF1!N:N,MATCH('По платам'!$B447,SBC_DIO_E1N004INF1!L:L,0)),0)</f>
        <v>0</v>
      </c>
      <c r="E447">
        <f>IFERROR(INDEX(SBC_35_2C3_1_E1E001CPU1E!N:N,MATCH('По платам'!$B447,SBC_35_2C3_1_E1E001CPU1E!L:L,0)),0)</f>
        <v>18</v>
      </c>
      <c r="F447">
        <f>IFERROR(INDEX(PCIe104_PSU_E1N001PWR1!N:N,MATCH('По платам'!$B447,PCIe104_PSU_E1N001PWR1!L:L,0)),0)</f>
        <v>0</v>
      </c>
      <c r="G447">
        <f>IFERROR(INDEX(PCIe104_INF2_E1N006INF1!N:N,MATCH('По платам'!$B447,PCIe104_INF2_E1N006INF1!L:L,0)),0)</f>
        <v>0</v>
      </c>
      <c r="H447">
        <f>IFERROR(INDEX(PCIe104_CON_E1N005INF1!N:N,MATCH('По платам'!$B447,PCIe104_CON_E1N005INF1!L:L,0)),0)</f>
        <v>0</v>
      </c>
      <c r="I447">
        <f>IFERROR(INDEX('EM-PCIE104-CPU_E1E001CPU1E'!N:N,MATCH('По платам'!$B447,'EM-PCIE104-CPU_E1E001CPU1E'!L:L,0)),0)</f>
        <v>0</v>
      </c>
      <c r="J447">
        <f>IFERROR(INDEX(PCIe104_INF_E1N001INF1!N:N,MATCH('По платам'!$B447,PCIe104_INF_E1N001INF1!L:L,0)),0)</f>
        <v>0</v>
      </c>
      <c r="K447">
        <f>IFERROR(INDEX(IB_2RS232_E1N002INF1!N:N,MATCH('По платам'!$B447,IB_2RS232_E1N002INF1!L:L,0)),0)</f>
        <v>0</v>
      </c>
      <c r="L447">
        <f>IFERROR(INDEX(IB_2CAN_E1N003INF1!N:N,MATCH('По платам'!$B447,IB_2CAN_E1N003INF1!L:L,0)),0)</f>
        <v>0</v>
      </c>
    </row>
    <row r="448" spans="2:12">
      <c r="B448" s="3" t="s">
        <v>1787</v>
      </c>
      <c r="C448">
        <f>IFERROR(INDEX('C2B004CPU2'!N:N,MATCH('По платам'!B448,'C2B004CPU2'!L:L,0)),0)</f>
        <v>0</v>
      </c>
      <c r="D448">
        <f>IFERROR(INDEX(SBC_DIO_E1N004INF1!N:N,MATCH('По платам'!$B448,SBC_DIO_E1N004INF1!L:L,0)),0)</f>
        <v>0</v>
      </c>
      <c r="E448">
        <f>IFERROR(INDEX(SBC_35_2C3_1_E1E001CPU1E!N:N,MATCH('По платам'!$B448,SBC_35_2C3_1_E1E001CPU1E!L:L,0)),0)</f>
        <v>10</v>
      </c>
      <c r="F448">
        <f>IFERROR(INDEX(PCIe104_PSU_E1N001PWR1!N:N,MATCH('По платам'!$B448,PCIe104_PSU_E1N001PWR1!L:L,0)),0)</f>
        <v>0</v>
      </c>
      <c r="G448">
        <f>IFERROR(INDEX(PCIe104_INF2_E1N006INF1!N:N,MATCH('По платам'!$B448,PCIe104_INF2_E1N006INF1!L:L,0)),0)</f>
        <v>0</v>
      </c>
      <c r="H448">
        <f>IFERROR(INDEX(PCIe104_CON_E1N005INF1!N:N,MATCH('По платам'!$B448,PCIe104_CON_E1N005INF1!L:L,0)),0)</f>
        <v>0</v>
      </c>
      <c r="I448">
        <f>IFERROR(INDEX('EM-PCIE104-CPU_E1E001CPU1E'!N:N,MATCH('По платам'!$B448,'EM-PCIE104-CPU_E1E001CPU1E'!L:L,0)),0)</f>
        <v>0</v>
      </c>
      <c r="J448">
        <f>IFERROR(INDEX(PCIe104_INF_E1N001INF1!N:N,MATCH('По платам'!$B448,PCIe104_INF_E1N001INF1!L:L,0)),0)</f>
        <v>0</v>
      </c>
      <c r="K448">
        <f>IFERROR(INDEX(IB_2RS232_E1N002INF1!N:N,MATCH('По платам'!$B448,IB_2RS232_E1N002INF1!L:L,0)),0)</f>
        <v>0</v>
      </c>
      <c r="L448">
        <f>IFERROR(INDEX(IB_2CAN_E1N003INF1!N:N,MATCH('По платам'!$B448,IB_2CAN_E1N003INF1!L:L,0)),0)</f>
        <v>0</v>
      </c>
    </row>
    <row r="449" spans="2:12">
      <c r="B449" s="3" t="s">
        <v>928</v>
      </c>
      <c r="C449">
        <f>IFERROR(INDEX('C2B004CPU2'!N:N,MATCH('По платам'!B449,'C2B004CPU2'!L:L,0)),0)</f>
        <v>0</v>
      </c>
      <c r="D449">
        <f>IFERROR(INDEX(SBC_DIO_E1N004INF1!N:N,MATCH('По платам'!$B449,SBC_DIO_E1N004INF1!L:L,0)),0)</f>
        <v>0</v>
      </c>
      <c r="E449">
        <f>IFERROR(INDEX(SBC_35_2C3_1_E1E001CPU1E!N:N,MATCH('По платам'!$B449,SBC_35_2C3_1_E1E001CPU1E!L:L,0)),0)</f>
        <v>23</v>
      </c>
      <c r="F449">
        <f>IFERROR(INDEX(PCIe104_PSU_E1N001PWR1!N:N,MATCH('По платам'!$B449,PCIe104_PSU_E1N001PWR1!L:L,0)),0)</f>
        <v>0</v>
      </c>
      <c r="G449">
        <f>IFERROR(INDEX(PCIe104_INF2_E1N006INF1!N:N,MATCH('По платам'!$B449,PCIe104_INF2_E1N006INF1!L:L,0)),0)</f>
        <v>0</v>
      </c>
      <c r="H449">
        <f>IFERROR(INDEX(PCIe104_CON_E1N005INF1!N:N,MATCH('По платам'!$B449,PCIe104_CON_E1N005INF1!L:L,0)),0)</f>
        <v>0</v>
      </c>
      <c r="I449">
        <f>IFERROR(INDEX('EM-PCIE104-CPU_E1E001CPU1E'!N:N,MATCH('По платам'!$B449,'EM-PCIE104-CPU_E1E001CPU1E'!L:L,0)),0)</f>
        <v>6</v>
      </c>
      <c r="J449">
        <f>IFERROR(INDEX(PCIe104_INF_E1N001INF1!N:N,MATCH('По платам'!$B449,PCIe104_INF_E1N001INF1!L:L,0)),0)</f>
        <v>0</v>
      </c>
      <c r="K449">
        <f>IFERROR(INDEX(IB_2RS232_E1N002INF1!N:N,MATCH('По платам'!$B449,IB_2RS232_E1N002INF1!L:L,0)),0)</f>
        <v>0</v>
      </c>
      <c r="L449">
        <f>IFERROR(INDEX(IB_2CAN_E1N003INF1!N:N,MATCH('По платам'!$B449,IB_2CAN_E1N003INF1!L:L,0)),0)</f>
        <v>0</v>
      </c>
    </row>
    <row r="450" spans="2:12">
      <c r="B450" s="3" t="s">
        <v>822</v>
      </c>
      <c r="C450">
        <f>IFERROR(INDEX('C2B004CPU2'!N:N,MATCH('По платам'!B450,'C2B004CPU2'!L:L,0)),0)</f>
        <v>0</v>
      </c>
      <c r="D450">
        <f>IFERROR(INDEX(SBC_DIO_E1N004INF1!N:N,MATCH('По платам'!$B450,SBC_DIO_E1N004INF1!L:L,0)),0)</f>
        <v>0</v>
      </c>
      <c r="E450">
        <f>IFERROR(INDEX(SBC_35_2C3_1_E1E001CPU1E!N:N,MATCH('По платам'!$B450,SBC_35_2C3_1_E1E001CPU1E!L:L,0)),0)</f>
        <v>2</v>
      </c>
      <c r="F450">
        <f>IFERROR(INDEX(PCIe104_PSU_E1N001PWR1!N:N,MATCH('По платам'!$B450,PCIe104_PSU_E1N001PWR1!L:L,0)),0)</f>
        <v>0</v>
      </c>
      <c r="G450">
        <f>IFERROR(INDEX(PCIe104_INF2_E1N006INF1!N:N,MATCH('По платам'!$B450,PCIe104_INF2_E1N006INF1!L:L,0)),0)</f>
        <v>0</v>
      </c>
      <c r="H450">
        <f>IFERROR(INDEX(PCIe104_CON_E1N005INF1!N:N,MATCH('По платам'!$B450,PCIe104_CON_E1N005INF1!L:L,0)),0)</f>
        <v>0</v>
      </c>
      <c r="I450">
        <f>IFERROR(INDEX('EM-PCIE104-CPU_E1E001CPU1E'!N:N,MATCH('По платам'!$B450,'EM-PCIE104-CPU_E1E001CPU1E'!L:L,0)),0)</f>
        <v>12</v>
      </c>
      <c r="J450">
        <f>IFERROR(INDEX(PCIe104_INF_E1N001INF1!N:N,MATCH('По платам'!$B450,PCIe104_INF_E1N001INF1!L:L,0)),0)</f>
        <v>0</v>
      </c>
      <c r="K450">
        <f>IFERROR(INDEX(IB_2RS232_E1N002INF1!N:N,MATCH('По платам'!$B450,IB_2RS232_E1N002INF1!L:L,0)),0)</f>
        <v>0</v>
      </c>
      <c r="L450">
        <f>IFERROR(INDEX(IB_2CAN_E1N003INF1!N:N,MATCH('По платам'!$B450,IB_2CAN_E1N003INF1!L:L,0)),0)</f>
        <v>0</v>
      </c>
    </row>
    <row r="451" spans="2:12">
      <c r="B451" s="3" t="s">
        <v>850</v>
      </c>
      <c r="C451">
        <f>IFERROR(INDEX('C2B004CPU2'!N:N,MATCH('По платам'!B451,'C2B004CPU2'!L:L,0)),0)</f>
        <v>0</v>
      </c>
      <c r="D451">
        <f>IFERROR(INDEX(SBC_DIO_E1N004INF1!N:N,MATCH('По платам'!$B451,SBC_DIO_E1N004INF1!L:L,0)),0)</f>
        <v>0</v>
      </c>
      <c r="E451">
        <f>IFERROR(INDEX(SBC_35_2C3_1_E1E001CPU1E!N:N,MATCH('По платам'!$B451,SBC_35_2C3_1_E1E001CPU1E!L:L,0)),0)</f>
        <v>55</v>
      </c>
      <c r="F451">
        <f>IFERROR(INDEX(PCIe104_PSU_E1N001PWR1!N:N,MATCH('По платам'!$B451,PCIe104_PSU_E1N001PWR1!L:L,0)),0)</f>
        <v>0</v>
      </c>
      <c r="G451">
        <f>IFERROR(INDEX(PCIe104_INF2_E1N006INF1!N:N,MATCH('По платам'!$B451,PCIe104_INF2_E1N006INF1!L:L,0)),0)</f>
        <v>0</v>
      </c>
      <c r="H451">
        <f>IFERROR(INDEX(PCIe104_CON_E1N005INF1!N:N,MATCH('По платам'!$B451,PCIe104_CON_E1N005INF1!L:L,0)),0)</f>
        <v>0</v>
      </c>
      <c r="I451">
        <f>IFERROR(INDEX('EM-PCIE104-CPU_E1E001CPU1E'!N:N,MATCH('По платам'!$B451,'EM-PCIE104-CPU_E1E001CPU1E'!L:L,0)),0)</f>
        <v>10</v>
      </c>
      <c r="J451">
        <f>IFERROR(INDEX(PCIe104_INF_E1N001INF1!N:N,MATCH('По платам'!$B451,PCIe104_INF_E1N001INF1!L:L,0)),0)</f>
        <v>0</v>
      </c>
      <c r="K451">
        <f>IFERROR(INDEX(IB_2RS232_E1N002INF1!N:N,MATCH('По платам'!$B451,IB_2RS232_E1N002INF1!L:L,0)),0)</f>
        <v>0</v>
      </c>
      <c r="L451">
        <f>IFERROR(INDEX(IB_2CAN_E1N003INF1!N:N,MATCH('По платам'!$B451,IB_2CAN_E1N003INF1!L:L,0)),0)</f>
        <v>0</v>
      </c>
    </row>
    <row r="452" spans="2:12">
      <c r="B452" s="3" t="s">
        <v>1804</v>
      </c>
      <c r="C452">
        <f>IFERROR(INDEX('C2B004CPU2'!N:N,MATCH('По платам'!B452,'C2B004CPU2'!L:L,0)),0)</f>
        <v>0</v>
      </c>
      <c r="D452">
        <f>IFERROR(INDEX(SBC_DIO_E1N004INF1!N:N,MATCH('По платам'!$B452,SBC_DIO_E1N004INF1!L:L,0)),0)</f>
        <v>0</v>
      </c>
      <c r="E452">
        <f>IFERROR(INDEX(SBC_35_2C3_1_E1E001CPU1E!N:N,MATCH('По платам'!$B452,SBC_35_2C3_1_E1E001CPU1E!L:L,0)),0)</f>
        <v>2</v>
      </c>
      <c r="F452">
        <f>IFERROR(INDEX(PCIe104_PSU_E1N001PWR1!N:N,MATCH('По платам'!$B452,PCIe104_PSU_E1N001PWR1!L:L,0)),0)</f>
        <v>0</v>
      </c>
      <c r="G452">
        <f>IFERROR(INDEX(PCIe104_INF2_E1N006INF1!N:N,MATCH('По платам'!$B452,PCIe104_INF2_E1N006INF1!L:L,0)),0)</f>
        <v>0</v>
      </c>
      <c r="H452">
        <f>IFERROR(INDEX(PCIe104_CON_E1N005INF1!N:N,MATCH('По платам'!$B452,PCIe104_CON_E1N005INF1!L:L,0)),0)</f>
        <v>0</v>
      </c>
      <c r="I452">
        <f>IFERROR(INDEX('EM-PCIE104-CPU_E1E001CPU1E'!N:N,MATCH('По платам'!$B452,'EM-PCIE104-CPU_E1E001CPU1E'!L:L,0)),0)</f>
        <v>0</v>
      </c>
      <c r="J452">
        <f>IFERROR(INDEX(PCIe104_INF_E1N001INF1!N:N,MATCH('По платам'!$B452,PCIe104_INF_E1N001INF1!L:L,0)),0)</f>
        <v>0</v>
      </c>
      <c r="K452">
        <f>IFERROR(INDEX(IB_2RS232_E1N002INF1!N:N,MATCH('По платам'!$B452,IB_2RS232_E1N002INF1!L:L,0)),0)</f>
        <v>0</v>
      </c>
      <c r="L452">
        <f>IFERROR(INDEX(IB_2CAN_E1N003INF1!N:N,MATCH('По платам'!$B452,IB_2CAN_E1N003INF1!L:L,0)),0)</f>
        <v>0</v>
      </c>
    </row>
    <row r="453" spans="2:12">
      <c r="B453" s="3" t="s">
        <v>961</v>
      </c>
      <c r="C453">
        <f>IFERROR(INDEX('C2B004CPU2'!N:N,MATCH('По платам'!B453,'C2B004CPU2'!L:L,0)),0)</f>
        <v>0</v>
      </c>
      <c r="D453">
        <f>IFERROR(INDEX(SBC_DIO_E1N004INF1!N:N,MATCH('По платам'!$B453,SBC_DIO_E1N004INF1!L:L,0)),0)</f>
        <v>0</v>
      </c>
      <c r="E453">
        <f>IFERROR(INDEX(SBC_35_2C3_1_E1E001CPU1E!N:N,MATCH('По платам'!$B453,SBC_35_2C3_1_E1E001CPU1E!L:L,0)),0)</f>
        <v>5</v>
      </c>
      <c r="F453">
        <f>IFERROR(INDEX(PCIe104_PSU_E1N001PWR1!N:N,MATCH('По платам'!$B453,PCIe104_PSU_E1N001PWR1!L:L,0)),0)</f>
        <v>0</v>
      </c>
      <c r="G453">
        <f>IFERROR(INDEX(PCIe104_INF2_E1N006INF1!N:N,MATCH('По платам'!$B453,PCIe104_INF2_E1N006INF1!L:L,0)),0)</f>
        <v>0</v>
      </c>
      <c r="H453">
        <f>IFERROR(INDEX(PCIe104_CON_E1N005INF1!N:N,MATCH('По платам'!$B453,PCIe104_CON_E1N005INF1!L:L,0)),0)</f>
        <v>0</v>
      </c>
      <c r="I453">
        <f>IFERROR(INDEX('EM-PCIE104-CPU_E1E001CPU1E'!N:N,MATCH('По платам'!$B453,'EM-PCIE104-CPU_E1E001CPU1E'!L:L,0)),0)</f>
        <v>6</v>
      </c>
      <c r="J453">
        <f>IFERROR(INDEX(PCIe104_INF_E1N001INF1!N:N,MATCH('По платам'!$B453,PCIe104_INF_E1N001INF1!L:L,0)),0)</f>
        <v>0</v>
      </c>
      <c r="K453">
        <f>IFERROR(INDEX(IB_2RS232_E1N002INF1!N:N,MATCH('По платам'!$B453,IB_2RS232_E1N002INF1!L:L,0)),0)</f>
        <v>0</v>
      </c>
      <c r="L453">
        <f>IFERROR(INDEX(IB_2CAN_E1N003INF1!N:N,MATCH('По платам'!$B453,IB_2CAN_E1N003INF1!L:L,0)),0)</f>
        <v>0</v>
      </c>
    </row>
    <row r="454" spans="2:12">
      <c r="B454" s="3" t="s">
        <v>1873</v>
      </c>
      <c r="C454">
        <f>IFERROR(INDEX('C2B004CPU2'!N:N,MATCH('По платам'!B454,'C2B004CPU2'!L:L,0)),0)</f>
        <v>0</v>
      </c>
      <c r="D454">
        <f>IFERROR(INDEX(SBC_DIO_E1N004INF1!N:N,MATCH('По платам'!$B454,SBC_DIO_E1N004INF1!L:L,0)),0)</f>
        <v>0</v>
      </c>
      <c r="E454">
        <f>IFERROR(INDEX(SBC_35_2C3_1_E1E001CPU1E!N:N,MATCH('По платам'!$B454,SBC_35_2C3_1_E1E001CPU1E!L:L,0)),0)</f>
        <v>1</v>
      </c>
      <c r="F454">
        <f>IFERROR(INDEX(PCIe104_PSU_E1N001PWR1!N:N,MATCH('По платам'!$B454,PCIe104_PSU_E1N001PWR1!L:L,0)),0)</f>
        <v>0</v>
      </c>
      <c r="G454">
        <f>IFERROR(INDEX(PCIe104_INF2_E1N006INF1!N:N,MATCH('По платам'!$B454,PCIe104_INF2_E1N006INF1!L:L,0)),0)</f>
        <v>0</v>
      </c>
      <c r="H454">
        <f>IFERROR(INDEX(PCIe104_CON_E1N005INF1!N:N,MATCH('По платам'!$B454,PCIe104_CON_E1N005INF1!L:L,0)),0)</f>
        <v>0</v>
      </c>
      <c r="I454">
        <f>IFERROR(INDEX('EM-PCIE104-CPU_E1E001CPU1E'!N:N,MATCH('По платам'!$B454,'EM-PCIE104-CPU_E1E001CPU1E'!L:L,0)),0)</f>
        <v>0</v>
      </c>
      <c r="J454">
        <f>IFERROR(INDEX(PCIe104_INF_E1N001INF1!N:N,MATCH('По платам'!$B454,PCIe104_INF_E1N001INF1!L:L,0)),0)</f>
        <v>0</v>
      </c>
      <c r="K454">
        <f>IFERROR(INDEX(IB_2RS232_E1N002INF1!N:N,MATCH('По платам'!$B454,IB_2RS232_E1N002INF1!L:L,0)),0)</f>
        <v>0</v>
      </c>
      <c r="L454">
        <f>IFERROR(INDEX(IB_2CAN_E1N003INF1!N:N,MATCH('По платам'!$B454,IB_2CAN_E1N003INF1!L:L,0)),0)</f>
        <v>0</v>
      </c>
    </row>
    <row r="455" spans="2:12">
      <c r="B455" s="3" t="s">
        <v>909</v>
      </c>
      <c r="C455">
        <f>IFERROR(INDEX('C2B004CPU2'!N:N,MATCH('По платам'!B455,'C2B004CPU2'!L:L,0)),0)</f>
        <v>0</v>
      </c>
      <c r="D455">
        <f>IFERROR(INDEX(SBC_DIO_E1N004INF1!N:N,MATCH('По платам'!$B455,SBC_DIO_E1N004INF1!L:L,0)),0)</f>
        <v>0</v>
      </c>
      <c r="E455">
        <f>IFERROR(INDEX(SBC_35_2C3_1_E1E001CPU1E!N:N,MATCH('По платам'!$B455,SBC_35_2C3_1_E1E001CPU1E!L:L,0)),0)</f>
        <v>2</v>
      </c>
      <c r="F455">
        <f>IFERROR(INDEX(PCIe104_PSU_E1N001PWR1!N:N,MATCH('По платам'!$B455,PCIe104_PSU_E1N001PWR1!L:L,0)),0)</f>
        <v>0</v>
      </c>
      <c r="G455">
        <f>IFERROR(INDEX(PCIe104_INF2_E1N006INF1!N:N,MATCH('По платам'!$B455,PCIe104_INF2_E1N006INF1!L:L,0)),0)</f>
        <v>0</v>
      </c>
      <c r="H455">
        <f>IFERROR(INDEX(PCIe104_CON_E1N005INF1!N:N,MATCH('По платам'!$B455,PCIe104_CON_E1N005INF1!L:L,0)),0)</f>
        <v>0</v>
      </c>
      <c r="I455">
        <f>IFERROR(INDEX('EM-PCIE104-CPU_E1E001CPU1E'!N:N,MATCH('По платам'!$B455,'EM-PCIE104-CPU_E1E001CPU1E'!L:L,0)),0)</f>
        <v>1</v>
      </c>
      <c r="J455">
        <f>IFERROR(INDEX(PCIe104_INF_E1N001INF1!N:N,MATCH('По платам'!$B455,PCIe104_INF_E1N001INF1!L:L,0)),0)</f>
        <v>0</v>
      </c>
      <c r="K455">
        <f>IFERROR(INDEX(IB_2RS232_E1N002INF1!N:N,MATCH('По платам'!$B455,IB_2RS232_E1N002INF1!L:L,0)),0)</f>
        <v>0</v>
      </c>
      <c r="L455">
        <f>IFERROR(INDEX(IB_2CAN_E1N003INF1!N:N,MATCH('По платам'!$B455,IB_2CAN_E1N003INF1!L:L,0)),0)</f>
        <v>0</v>
      </c>
    </row>
    <row r="456" spans="2:12">
      <c r="B456" s="3" t="s">
        <v>958</v>
      </c>
      <c r="C456">
        <f>IFERROR(INDEX('C2B004CPU2'!N:N,MATCH('По платам'!B456,'C2B004CPU2'!L:L,0)),0)</f>
        <v>0</v>
      </c>
      <c r="D456">
        <f>IFERROR(INDEX(SBC_DIO_E1N004INF1!N:N,MATCH('По платам'!$B456,SBC_DIO_E1N004INF1!L:L,0)),0)</f>
        <v>0</v>
      </c>
      <c r="E456">
        <f>IFERROR(INDEX(SBC_35_2C3_1_E1E001CPU1E!N:N,MATCH('По платам'!$B456,SBC_35_2C3_1_E1E001CPU1E!L:L,0)),0)</f>
        <v>0</v>
      </c>
      <c r="F456">
        <f>IFERROR(INDEX(PCIe104_PSU_E1N001PWR1!N:N,MATCH('По платам'!$B456,PCIe104_PSU_E1N001PWR1!L:L,0)),0)</f>
        <v>0</v>
      </c>
      <c r="G456">
        <f>IFERROR(INDEX(PCIe104_INF2_E1N006INF1!N:N,MATCH('По платам'!$B456,PCIe104_INF2_E1N006INF1!L:L,0)),0)</f>
        <v>0</v>
      </c>
      <c r="H456">
        <f>IFERROR(INDEX(PCIe104_CON_E1N005INF1!N:N,MATCH('По платам'!$B456,PCIe104_CON_E1N005INF1!L:L,0)),0)</f>
        <v>0</v>
      </c>
      <c r="I456">
        <f>IFERROR(INDEX('EM-PCIE104-CPU_E1E001CPU1E'!N:N,MATCH('По платам'!$B456,'EM-PCIE104-CPU_E1E001CPU1E'!L:L,0)),0)</f>
        <v>1</v>
      </c>
      <c r="J456">
        <f>IFERROR(INDEX(PCIe104_INF_E1N001INF1!N:N,MATCH('По платам'!$B456,PCIe104_INF_E1N001INF1!L:L,0)),0)</f>
        <v>0</v>
      </c>
      <c r="K456">
        <f>IFERROR(INDEX(IB_2RS232_E1N002INF1!N:N,MATCH('По платам'!$B456,IB_2RS232_E1N002INF1!L:L,0)),0)</f>
        <v>0</v>
      </c>
      <c r="L456">
        <f>IFERROR(INDEX(IB_2CAN_E1N003INF1!N:N,MATCH('По платам'!$B456,IB_2CAN_E1N003INF1!L:L,0)),0)</f>
        <v>0</v>
      </c>
    </row>
    <row r="457" spans="2:12">
      <c r="B457" s="3" t="s">
        <v>2585</v>
      </c>
      <c r="C457">
        <f>IFERROR(INDEX('C2B004CPU2'!N:N,MATCH('По платам'!B457,'C2B004CPU2'!L:L,0)),0)</f>
        <v>1</v>
      </c>
      <c r="D457">
        <f>IFERROR(INDEX(SBC_DIO_E1N004INF1!N:N,MATCH('По платам'!$B457,SBC_DIO_E1N004INF1!L:L,0)),0)</f>
        <v>0</v>
      </c>
      <c r="E457">
        <f>IFERROR(INDEX(SBC_35_2C3_1_E1E001CPU1E!N:N,MATCH('По платам'!$B457,SBC_35_2C3_1_E1E001CPU1E!L:L,0)),0)</f>
        <v>0</v>
      </c>
      <c r="F457">
        <f>IFERROR(INDEX(PCIe104_PSU_E1N001PWR1!N:N,MATCH('По платам'!$B457,PCIe104_PSU_E1N001PWR1!L:L,0)),0)</f>
        <v>0</v>
      </c>
      <c r="G457">
        <f>IFERROR(INDEX(PCIe104_INF2_E1N006INF1!N:N,MATCH('По платам'!$B457,PCIe104_INF2_E1N006INF1!L:L,0)),0)</f>
        <v>0</v>
      </c>
      <c r="H457">
        <f>IFERROR(INDEX(PCIe104_CON_E1N005INF1!N:N,MATCH('По платам'!$B457,PCIe104_CON_E1N005INF1!L:L,0)),0)</f>
        <v>0</v>
      </c>
      <c r="I457">
        <f>IFERROR(INDEX('EM-PCIE104-CPU_E1E001CPU1E'!N:N,MATCH('По платам'!$B457,'EM-PCIE104-CPU_E1E001CPU1E'!L:L,0)),0)</f>
        <v>0</v>
      </c>
      <c r="J457">
        <f>IFERROR(INDEX(PCIe104_INF_E1N001INF1!N:N,MATCH('По платам'!$B457,PCIe104_INF_E1N001INF1!L:L,0)),0)</f>
        <v>0</v>
      </c>
      <c r="K457">
        <f>IFERROR(INDEX(IB_2RS232_E1N002INF1!N:N,MATCH('По платам'!$B457,IB_2RS232_E1N002INF1!L:L,0)),0)</f>
        <v>0</v>
      </c>
      <c r="L457">
        <f>IFERROR(INDEX(IB_2CAN_E1N003INF1!N:N,MATCH('По платам'!$B457,IB_2CAN_E1N003INF1!L:L,0)),0)</f>
        <v>0</v>
      </c>
    </row>
    <row r="458" spans="2:12">
      <c r="B458" s="3" t="s">
        <v>899</v>
      </c>
      <c r="C458">
        <f>IFERROR(INDEX('C2B004CPU2'!N:N,MATCH('По платам'!B458,'C2B004CPU2'!L:L,0)),0)</f>
        <v>0</v>
      </c>
      <c r="D458">
        <f>IFERROR(INDEX(SBC_DIO_E1N004INF1!N:N,MATCH('По платам'!$B458,SBC_DIO_E1N004INF1!L:L,0)),0)</f>
        <v>0</v>
      </c>
      <c r="E458">
        <f>IFERROR(INDEX(SBC_35_2C3_1_E1E001CPU1E!N:N,MATCH('По платам'!$B458,SBC_35_2C3_1_E1E001CPU1E!L:L,0)),0)</f>
        <v>32</v>
      </c>
      <c r="F458">
        <f>IFERROR(INDEX(PCIe104_PSU_E1N001PWR1!N:N,MATCH('По платам'!$B458,PCIe104_PSU_E1N001PWR1!L:L,0)),0)</f>
        <v>0</v>
      </c>
      <c r="G458">
        <f>IFERROR(INDEX(PCIe104_INF2_E1N006INF1!N:N,MATCH('По платам'!$B458,PCIe104_INF2_E1N006INF1!L:L,0)),0)</f>
        <v>0</v>
      </c>
      <c r="H458">
        <f>IFERROR(INDEX(PCIe104_CON_E1N005INF1!N:N,MATCH('По платам'!$B458,PCIe104_CON_E1N005INF1!L:L,0)),0)</f>
        <v>0</v>
      </c>
      <c r="I458">
        <f>IFERROR(INDEX('EM-PCIE104-CPU_E1E001CPU1E'!N:N,MATCH('По платам'!$B458,'EM-PCIE104-CPU_E1E001CPU1E'!L:L,0)),0)</f>
        <v>5</v>
      </c>
      <c r="J458">
        <f>IFERROR(INDEX(PCIe104_INF_E1N001INF1!N:N,MATCH('По платам'!$B458,PCIe104_INF_E1N001INF1!L:L,0)),0)</f>
        <v>0</v>
      </c>
      <c r="K458">
        <f>IFERROR(INDEX(IB_2RS232_E1N002INF1!N:N,MATCH('По платам'!$B458,IB_2RS232_E1N002INF1!L:L,0)),0)</f>
        <v>0</v>
      </c>
      <c r="L458">
        <f>IFERROR(INDEX(IB_2CAN_E1N003INF1!N:N,MATCH('По платам'!$B458,IB_2CAN_E1N003INF1!L:L,0)),0)</f>
        <v>0</v>
      </c>
    </row>
    <row r="459" spans="2:12">
      <c r="B459" s="3" t="s">
        <v>905</v>
      </c>
      <c r="C459">
        <f>IFERROR(INDEX('C2B004CPU2'!N:N,MATCH('По платам'!B459,'C2B004CPU2'!L:L,0)),0)</f>
        <v>0</v>
      </c>
      <c r="D459">
        <f>IFERROR(INDEX(SBC_DIO_E1N004INF1!N:N,MATCH('По платам'!$B459,SBC_DIO_E1N004INF1!L:L,0)),0)</f>
        <v>0</v>
      </c>
      <c r="E459">
        <f>IFERROR(INDEX(SBC_35_2C3_1_E1E001CPU1E!N:N,MATCH('По платам'!$B459,SBC_35_2C3_1_E1E001CPU1E!L:L,0)),0)</f>
        <v>1</v>
      </c>
      <c r="F459">
        <f>IFERROR(INDEX(PCIe104_PSU_E1N001PWR1!N:N,MATCH('По платам'!$B459,PCIe104_PSU_E1N001PWR1!L:L,0)),0)</f>
        <v>0</v>
      </c>
      <c r="G459">
        <f>IFERROR(INDEX(PCIe104_INF2_E1N006INF1!N:N,MATCH('По платам'!$B459,PCIe104_INF2_E1N006INF1!L:L,0)),0)</f>
        <v>0</v>
      </c>
      <c r="H459">
        <f>IFERROR(INDEX(PCIe104_CON_E1N005INF1!N:N,MATCH('По платам'!$B459,PCIe104_CON_E1N005INF1!L:L,0)),0)</f>
        <v>0</v>
      </c>
      <c r="I459">
        <f>IFERROR(INDEX('EM-PCIE104-CPU_E1E001CPU1E'!N:N,MATCH('По платам'!$B459,'EM-PCIE104-CPU_E1E001CPU1E'!L:L,0)),0)</f>
        <v>1</v>
      </c>
      <c r="J459">
        <f>IFERROR(INDEX(PCIe104_INF_E1N001INF1!N:N,MATCH('По платам'!$B459,PCIe104_INF_E1N001INF1!L:L,0)),0)</f>
        <v>0</v>
      </c>
      <c r="K459">
        <f>IFERROR(INDEX(IB_2RS232_E1N002INF1!N:N,MATCH('По платам'!$B459,IB_2RS232_E1N002INF1!L:L,0)),0)</f>
        <v>0</v>
      </c>
      <c r="L459">
        <f>IFERROR(INDEX(IB_2CAN_E1N003INF1!N:N,MATCH('По платам'!$B459,IB_2CAN_E1N003INF1!L:L,0)),0)</f>
        <v>0</v>
      </c>
    </row>
    <row r="460" spans="2:12">
      <c r="B460" s="3" t="s">
        <v>1739</v>
      </c>
      <c r="C460">
        <f>IFERROR(INDEX('C2B004CPU2'!N:N,MATCH('По платам'!B460,'C2B004CPU2'!L:L,0)),0)</f>
        <v>0</v>
      </c>
      <c r="D460">
        <f>IFERROR(INDEX(SBC_DIO_E1N004INF1!N:N,MATCH('По платам'!$B460,SBC_DIO_E1N004INF1!L:L,0)),0)</f>
        <v>0</v>
      </c>
      <c r="E460">
        <f>IFERROR(INDEX(SBC_35_2C3_1_E1E001CPU1E!N:N,MATCH('По платам'!$B460,SBC_35_2C3_1_E1E001CPU1E!L:L,0)),0)</f>
        <v>1</v>
      </c>
      <c r="F460">
        <f>IFERROR(INDEX(PCIe104_PSU_E1N001PWR1!N:N,MATCH('По платам'!$B460,PCIe104_PSU_E1N001PWR1!L:L,0)),0)</f>
        <v>0</v>
      </c>
      <c r="G460">
        <f>IFERROR(INDEX(PCIe104_INF2_E1N006INF1!N:N,MATCH('По платам'!$B460,PCIe104_INF2_E1N006INF1!L:L,0)),0)</f>
        <v>0</v>
      </c>
      <c r="H460">
        <f>IFERROR(INDEX(PCIe104_CON_E1N005INF1!N:N,MATCH('По платам'!$B460,PCIe104_CON_E1N005INF1!L:L,0)),0)</f>
        <v>0</v>
      </c>
      <c r="I460">
        <f>IFERROR(INDEX('EM-PCIE104-CPU_E1E001CPU1E'!N:N,MATCH('По платам'!$B460,'EM-PCIE104-CPU_E1E001CPU1E'!L:L,0)),0)</f>
        <v>0</v>
      </c>
      <c r="J460">
        <f>IFERROR(INDEX(PCIe104_INF_E1N001INF1!N:N,MATCH('По платам'!$B460,PCIe104_INF_E1N001INF1!L:L,0)),0)</f>
        <v>0</v>
      </c>
      <c r="K460">
        <f>IFERROR(INDEX(IB_2RS232_E1N002INF1!N:N,MATCH('По платам'!$B460,IB_2RS232_E1N002INF1!L:L,0)),0)</f>
        <v>0</v>
      </c>
      <c r="L460">
        <f>IFERROR(INDEX(IB_2CAN_E1N003INF1!N:N,MATCH('По платам'!$B460,IB_2CAN_E1N003INF1!L:L,0)),0)</f>
        <v>0</v>
      </c>
    </row>
    <row r="461" spans="2:12">
      <c r="B461" s="3" t="s">
        <v>1757</v>
      </c>
      <c r="C461">
        <f>IFERROR(INDEX('C2B004CPU2'!N:N,MATCH('По платам'!B461,'C2B004CPU2'!L:L,0)),0)</f>
        <v>0</v>
      </c>
      <c r="D461">
        <f>IFERROR(INDEX(SBC_DIO_E1N004INF1!N:N,MATCH('По платам'!$B461,SBC_DIO_E1N004INF1!L:L,0)),0)</f>
        <v>0</v>
      </c>
      <c r="E461">
        <f>IFERROR(INDEX(SBC_35_2C3_1_E1E001CPU1E!N:N,MATCH('По платам'!$B461,SBC_35_2C3_1_E1E001CPU1E!L:L,0)),0)</f>
        <v>2</v>
      </c>
      <c r="F461">
        <f>IFERROR(INDEX(PCIe104_PSU_E1N001PWR1!N:N,MATCH('По платам'!$B461,PCIe104_PSU_E1N001PWR1!L:L,0)),0)</f>
        <v>0</v>
      </c>
      <c r="G461">
        <f>IFERROR(INDEX(PCIe104_INF2_E1N006INF1!N:N,MATCH('По платам'!$B461,PCIe104_INF2_E1N006INF1!L:L,0)),0)</f>
        <v>0</v>
      </c>
      <c r="H461">
        <f>IFERROR(INDEX(PCIe104_CON_E1N005INF1!N:N,MATCH('По платам'!$B461,PCIe104_CON_E1N005INF1!L:L,0)),0)</f>
        <v>0</v>
      </c>
      <c r="I461">
        <f>IFERROR(INDEX('EM-PCIE104-CPU_E1E001CPU1E'!N:N,MATCH('По платам'!$B461,'EM-PCIE104-CPU_E1E001CPU1E'!L:L,0)),0)</f>
        <v>0</v>
      </c>
      <c r="J461">
        <f>IFERROR(INDEX(PCIe104_INF_E1N001INF1!N:N,MATCH('По платам'!$B461,PCIe104_INF_E1N001INF1!L:L,0)),0)</f>
        <v>0</v>
      </c>
      <c r="K461">
        <f>IFERROR(INDEX(IB_2RS232_E1N002INF1!N:N,MATCH('По платам'!$B461,IB_2RS232_E1N002INF1!L:L,0)),0)</f>
        <v>0</v>
      </c>
      <c r="L461">
        <f>IFERROR(INDEX(IB_2CAN_E1N003INF1!N:N,MATCH('По платам'!$B461,IB_2CAN_E1N003INF1!L:L,0)),0)</f>
        <v>0</v>
      </c>
    </row>
    <row r="462" spans="2:12">
      <c r="B462" s="3" t="s">
        <v>1796</v>
      </c>
      <c r="C462">
        <f>IFERROR(INDEX('C2B004CPU2'!N:N,MATCH('По платам'!B462,'C2B004CPU2'!L:L,0)),0)</f>
        <v>0</v>
      </c>
      <c r="D462">
        <f>IFERROR(INDEX(SBC_DIO_E1N004INF1!N:N,MATCH('По платам'!$B462,SBC_DIO_E1N004INF1!L:L,0)),0)</f>
        <v>0</v>
      </c>
      <c r="E462">
        <f>IFERROR(INDEX(SBC_35_2C3_1_E1E001CPU1E!N:N,MATCH('По платам'!$B462,SBC_35_2C3_1_E1E001CPU1E!L:L,0)),0)</f>
        <v>2</v>
      </c>
      <c r="F462">
        <f>IFERROR(INDEX(PCIe104_PSU_E1N001PWR1!N:N,MATCH('По платам'!$B462,PCIe104_PSU_E1N001PWR1!L:L,0)),0)</f>
        <v>0</v>
      </c>
      <c r="G462">
        <f>IFERROR(INDEX(PCIe104_INF2_E1N006INF1!N:N,MATCH('По платам'!$B462,PCIe104_INF2_E1N006INF1!L:L,0)),0)</f>
        <v>0</v>
      </c>
      <c r="H462">
        <f>IFERROR(INDEX(PCIe104_CON_E1N005INF1!N:N,MATCH('По платам'!$B462,PCIe104_CON_E1N005INF1!L:L,0)),0)</f>
        <v>0</v>
      </c>
      <c r="I462">
        <f>IFERROR(INDEX('EM-PCIE104-CPU_E1E001CPU1E'!N:N,MATCH('По платам'!$B462,'EM-PCIE104-CPU_E1E001CPU1E'!L:L,0)),0)</f>
        <v>0</v>
      </c>
      <c r="J462">
        <f>IFERROR(INDEX(PCIe104_INF_E1N001INF1!N:N,MATCH('По платам'!$B462,PCIe104_INF_E1N001INF1!L:L,0)),0)</f>
        <v>0</v>
      </c>
      <c r="K462">
        <f>IFERROR(INDEX(IB_2RS232_E1N002INF1!N:N,MATCH('По платам'!$B462,IB_2RS232_E1N002INF1!L:L,0)),0)</f>
        <v>0</v>
      </c>
      <c r="L462">
        <f>IFERROR(INDEX(IB_2CAN_E1N003INF1!N:N,MATCH('По платам'!$B462,IB_2CAN_E1N003INF1!L:L,0)),0)</f>
        <v>0</v>
      </c>
    </row>
    <row r="463" spans="2:12">
      <c r="B463" s="3" t="s">
        <v>1763</v>
      </c>
      <c r="C463">
        <f>IFERROR(INDEX('C2B004CPU2'!N:N,MATCH('По платам'!B463,'C2B004CPU2'!L:L,0)),0)</f>
        <v>0</v>
      </c>
      <c r="D463">
        <f>IFERROR(INDEX(SBC_DIO_E1N004INF1!N:N,MATCH('По платам'!$B463,SBC_DIO_E1N004INF1!L:L,0)),0)</f>
        <v>0</v>
      </c>
      <c r="E463">
        <f>IFERROR(INDEX(SBC_35_2C3_1_E1E001CPU1E!N:N,MATCH('По платам'!$B463,SBC_35_2C3_1_E1E001CPU1E!L:L,0)),0)</f>
        <v>2</v>
      </c>
      <c r="F463">
        <f>IFERROR(INDEX(PCIe104_PSU_E1N001PWR1!N:N,MATCH('По платам'!$B463,PCIe104_PSU_E1N001PWR1!L:L,0)),0)</f>
        <v>0</v>
      </c>
      <c r="G463">
        <f>IFERROR(INDEX(PCIe104_INF2_E1N006INF1!N:N,MATCH('По платам'!$B463,PCIe104_INF2_E1N006INF1!L:L,0)),0)</f>
        <v>0</v>
      </c>
      <c r="H463">
        <f>IFERROR(INDEX(PCIe104_CON_E1N005INF1!N:N,MATCH('По платам'!$B463,PCIe104_CON_E1N005INF1!L:L,0)),0)</f>
        <v>0</v>
      </c>
      <c r="I463">
        <f>IFERROR(INDEX('EM-PCIE104-CPU_E1E001CPU1E'!N:N,MATCH('По платам'!$B463,'EM-PCIE104-CPU_E1E001CPU1E'!L:L,0)),0)</f>
        <v>0</v>
      </c>
      <c r="J463">
        <f>IFERROR(INDEX(PCIe104_INF_E1N001INF1!N:N,MATCH('По платам'!$B463,PCIe104_INF_E1N001INF1!L:L,0)),0)</f>
        <v>0</v>
      </c>
      <c r="K463">
        <f>IFERROR(INDEX(IB_2RS232_E1N002INF1!N:N,MATCH('По платам'!$B463,IB_2RS232_E1N002INF1!L:L,0)),0)</f>
        <v>0</v>
      </c>
      <c r="L463">
        <f>IFERROR(INDEX(IB_2CAN_E1N003INF1!N:N,MATCH('По платам'!$B463,IB_2CAN_E1N003INF1!L:L,0)),0)</f>
        <v>0</v>
      </c>
    </row>
    <row r="464" spans="2:12">
      <c r="B464" s="3" t="s">
        <v>1779</v>
      </c>
      <c r="C464">
        <f>IFERROR(INDEX('C2B004CPU2'!N:N,MATCH('По платам'!B464,'C2B004CPU2'!L:L,0)),0)</f>
        <v>0</v>
      </c>
      <c r="D464">
        <f>IFERROR(INDEX(SBC_DIO_E1N004INF1!N:N,MATCH('По платам'!$B464,SBC_DIO_E1N004INF1!L:L,0)),0)</f>
        <v>0</v>
      </c>
      <c r="E464">
        <f>IFERROR(INDEX(SBC_35_2C3_1_E1E001CPU1E!N:N,MATCH('По платам'!$B464,SBC_35_2C3_1_E1E001CPU1E!L:L,0)),0)</f>
        <v>3</v>
      </c>
      <c r="F464">
        <f>IFERROR(INDEX(PCIe104_PSU_E1N001PWR1!N:N,MATCH('По платам'!$B464,PCIe104_PSU_E1N001PWR1!L:L,0)),0)</f>
        <v>0</v>
      </c>
      <c r="G464">
        <f>IFERROR(INDEX(PCIe104_INF2_E1N006INF1!N:N,MATCH('По платам'!$B464,PCIe104_INF2_E1N006INF1!L:L,0)),0)</f>
        <v>0</v>
      </c>
      <c r="H464">
        <f>IFERROR(INDEX(PCIe104_CON_E1N005INF1!N:N,MATCH('По платам'!$B464,PCIe104_CON_E1N005INF1!L:L,0)),0)</f>
        <v>0</v>
      </c>
      <c r="I464">
        <f>IFERROR(INDEX('EM-PCIE104-CPU_E1E001CPU1E'!N:N,MATCH('По платам'!$B464,'EM-PCIE104-CPU_E1E001CPU1E'!L:L,0)),0)</f>
        <v>0</v>
      </c>
      <c r="J464">
        <f>IFERROR(INDEX(PCIe104_INF_E1N001INF1!N:N,MATCH('По платам'!$B464,PCIe104_INF_E1N001INF1!L:L,0)),0)</f>
        <v>0</v>
      </c>
      <c r="K464">
        <f>IFERROR(INDEX(IB_2RS232_E1N002INF1!N:N,MATCH('По платам'!$B464,IB_2RS232_E1N002INF1!L:L,0)),0)</f>
        <v>0</v>
      </c>
      <c r="L464">
        <f>IFERROR(INDEX(IB_2CAN_E1N003INF1!N:N,MATCH('По платам'!$B464,IB_2CAN_E1N003INF1!L:L,0)),0)</f>
        <v>0</v>
      </c>
    </row>
    <row r="465" spans="2:12">
      <c r="B465" s="3" t="s">
        <v>1745</v>
      </c>
      <c r="C465">
        <f>IFERROR(INDEX('C2B004CPU2'!N:N,MATCH('По платам'!B465,'C2B004CPU2'!L:L,0)),0)</f>
        <v>0</v>
      </c>
      <c r="D465">
        <f>IFERROR(INDEX(SBC_DIO_E1N004INF1!N:N,MATCH('По платам'!$B465,SBC_DIO_E1N004INF1!L:L,0)),0)</f>
        <v>0</v>
      </c>
      <c r="E465">
        <f>IFERROR(INDEX(SBC_35_2C3_1_E1E001CPU1E!N:N,MATCH('По платам'!$B465,SBC_35_2C3_1_E1E001CPU1E!L:L,0)),0)</f>
        <v>1</v>
      </c>
      <c r="F465">
        <f>IFERROR(INDEX(PCIe104_PSU_E1N001PWR1!N:N,MATCH('По платам'!$B465,PCIe104_PSU_E1N001PWR1!L:L,0)),0)</f>
        <v>0</v>
      </c>
      <c r="G465">
        <f>IFERROR(INDEX(PCIe104_INF2_E1N006INF1!N:N,MATCH('По платам'!$B465,PCIe104_INF2_E1N006INF1!L:L,0)),0)</f>
        <v>0</v>
      </c>
      <c r="H465">
        <f>IFERROR(INDEX(PCIe104_CON_E1N005INF1!N:N,MATCH('По платам'!$B465,PCIe104_CON_E1N005INF1!L:L,0)),0)</f>
        <v>0</v>
      </c>
      <c r="I465">
        <f>IFERROR(INDEX('EM-PCIE104-CPU_E1E001CPU1E'!N:N,MATCH('По платам'!$B465,'EM-PCIE104-CPU_E1E001CPU1E'!L:L,0)),0)</f>
        <v>0</v>
      </c>
      <c r="J465">
        <f>IFERROR(INDEX(PCIe104_INF_E1N001INF1!N:N,MATCH('По платам'!$B465,PCIe104_INF_E1N001INF1!L:L,0)),0)</f>
        <v>0</v>
      </c>
      <c r="K465">
        <f>IFERROR(INDEX(IB_2RS232_E1N002INF1!N:N,MATCH('По платам'!$B465,IB_2RS232_E1N002INF1!L:L,0)),0)</f>
        <v>0</v>
      </c>
      <c r="L465">
        <f>IFERROR(INDEX(IB_2CAN_E1N003INF1!N:N,MATCH('По платам'!$B465,IB_2CAN_E1N003INF1!L:L,0)),0)</f>
        <v>0</v>
      </c>
    </row>
    <row r="466" spans="2:12">
      <c r="B466" s="3" t="s">
        <v>1861</v>
      </c>
      <c r="C466">
        <f>IFERROR(INDEX('C2B004CPU2'!N:N,MATCH('По платам'!B466,'C2B004CPU2'!L:L,0)),0)</f>
        <v>0</v>
      </c>
      <c r="D466">
        <f>IFERROR(INDEX(SBC_DIO_E1N004INF1!N:N,MATCH('По платам'!$B466,SBC_DIO_E1N004INF1!L:L,0)),0)</f>
        <v>0</v>
      </c>
      <c r="E466">
        <f>IFERROR(INDEX(SBC_35_2C3_1_E1E001CPU1E!N:N,MATCH('По платам'!$B466,SBC_35_2C3_1_E1E001CPU1E!L:L,0)),0)</f>
        <v>1</v>
      </c>
      <c r="F466">
        <f>IFERROR(INDEX(PCIe104_PSU_E1N001PWR1!N:N,MATCH('По платам'!$B466,PCIe104_PSU_E1N001PWR1!L:L,0)),0)</f>
        <v>0</v>
      </c>
      <c r="G466">
        <f>IFERROR(INDEX(PCIe104_INF2_E1N006INF1!N:N,MATCH('По платам'!$B466,PCIe104_INF2_E1N006INF1!L:L,0)),0)</f>
        <v>0</v>
      </c>
      <c r="H466">
        <f>IFERROR(INDEX(PCIe104_CON_E1N005INF1!N:N,MATCH('По платам'!$B466,PCIe104_CON_E1N005INF1!L:L,0)),0)</f>
        <v>0</v>
      </c>
      <c r="I466">
        <f>IFERROR(INDEX('EM-PCIE104-CPU_E1E001CPU1E'!N:N,MATCH('По платам'!$B466,'EM-PCIE104-CPU_E1E001CPU1E'!L:L,0)),0)</f>
        <v>0</v>
      </c>
      <c r="J466">
        <f>IFERROR(INDEX(PCIe104_INF_E1N001INF1!N:N,MATCH('По платам'!$B466,PCIe104_INF_E1N001INF1!L:L,0)),0)</f>
        <v>0</v>
      </c>
      <c r="K466">
        <f>IFERROR(INDEX(IB_2RS232_E1N002INF1!N:N,MATCH('По платам'!$B466,IB_2RS232_E1N002INF1!L:L,0)),0)</f>
        <v>0</v>
      </c>
      <c r="L466">
        <f>IFERROR(INDEX(IB_2CAN_E1N003INF1!N:N,MATCH('По платам'!$B466,IB_2CAN_E1N003INF1!L:L,0)),0)</f>
        <v>0</v>
      </c>
    </row>
    <row r="467" spans="2:12">
      <c r="B467" s="3" t="s">
        <v>1749</v>
      </c>
      <c r="C467">
        <f>IFERROR(INDEX('C2B004CPU2'!N:N,MATCH('По платам'!B467,'C2B004CPU2'!L:L,0)),0)</f>
        <v>0</v>
      </c>
      <c r="D467">
        <f>IFERROR(INDEX(SBC_DIO_E1N004INF1!N:N,MATCH('По платам'!$B467,SBC_DIO_E1N004INF1!L:L,0)),0)</f>
        <v>0</v>
      </c>
      <c r="E467">
        <f>IFERROR(INDEX(SBC_35_2C3_1_E1E001CPU1E!N:N,MATCH('По платам'!$B467,SBC_35_2C3_1_E1E001CPU1E!L:L,0)),0)</f>
        <v>1</v>
      </c>
      <c r="F467">
        <f>IFERROR(INDEX(PCIe104_PSU_E1N001PWR1!N:N,MATCH('По платам'!$B467,PCIe104_PSU_E1N001PWR1!L:L,0)),0)</f>
        <v>0</v>
      </c>
      <c r="G467">
        <f>IFERROR(INDEX(PCIe104_INF2_E1N006INF1!N:N,MATCH('По платам'!$B467,PCIe104_INF2_E1N006INF1!L:L,0)),0)</f>
        <v>0</v>
      </c>
      <c r="H467">
        <f>IFERROR(INDEX(PCIe104_CON_E1N005INF1!N:N,MATCH('По платам'!$B467,PCIe104_CON_E1N005INF1!L:L,0)),0)</f>
        <v>0</v>
      </c>
      <c r="I467">
        <f>IFERROR(INDEX('EM-PCIE104-CPU_E1E001CPU1E'!N:N,MATCH('По платам'!$B467,'EM-PCIE104-CPU_E1E001CPU1E'!L:L,0)),0)</f>
        <v>0</v>
      </c>
      <c r="J467">
        <f>IFERROR(INDEX(PCIe104_INF_E1N001INF1!N:N,MATCH('По платам'!$B467,PCIe104_INF_E1N001INF1!L:L,0)),0)</f>
        <v>0</v>
      </c>
      <c r="K467">
        <f>IFERROR(INDEX(IB_2RS232_E1N002INF1!N:N,MATCH('По платам'!$B467,IB_2RS232_E1N002INF1!L:L,0)),0)</f>
        <v>0</v>
      </c>
      <c r="L467">
        <f>IFERROR(INDEX(IB_2CAN_E1N003INF1!N:N,MATCH('По платам'!$B467,IB_2CAN_E1N003INF1!L:L,0)),0)</f>
        <v>0</v>
      </c>
    </row>
    <row r="468" spans="2:12">
      <c r="B468" s="3" t="s">
        <v>1909</v>
      </c>
      <c r="C468">
        <f>IFERROR(INDEX('C2B004CPU2'!N:N,MATCH('По платам'!B468,'C2B004CPU2'!L:L,0)),0)</f>
        <v>0</v>
      </c>
      <c r="D468">
        <f>IFERROR(INDEX(SBC_DIO_E1N004INF1!N:N,MATCH('По платам'!$B468,SBC_DIO_E1N004INF1!L:L,0)),0)</f>
        <v>0</v>
      </c>
      <c r="E468">
        <f>IFERROR(INDEX(SBC_35_2C3_1_E1E001CPU1E!N:N,MATCH('По платам'!$B468,SBC_35_2C3_1_E1E001CPU1E!L:L,0)),0)</f>
        <v>1</v>
      </c>
      <c r="F468">
        <f>IFERROR(INDEX(PCIe104_PSU_E1N001PWR1!N:N,MATCH('По платам'!$B468,PCIe104_PSU_E1N001PWR1!L:L,0)),0)</f>
        <v>0</v>
      </c>
      <c r="G468">
        <f>IFERROR(INDEX(PCIe104_INF2_E1N006INF1!N:N,MATCH('По платам'!$B468,PCIe104_INF2_E1N006INF1!L:L,0)),0)</f>
        <v>0</v>
      </c>
      <c r="H468">
        <f>IFERROR(INDEX(PCIe104_CON_E1N005INF1!N:N,MATCH('По платам'!$B468,PCIe104_CON_E1N005INF1!L:L,0)),0)</f>
        <v>0</v>
      </c>
      <c r="I468">
        <f>IFERROR(INDEX('EM-PCIE104-CPU_E1E001CPU1E'!N:N,MATCH('По платам'!$B468,'EM-PCIE104-CPU_E1E001CPU1E'!L:L,0)),0)</f>
        <v>0</v>
      </c>
      <c r="J468">
        <f>IFERROR(INDEX(PCIe104_INF_E1N001INF1!N:N,MATCH('По платам'!$B468,PCIe104_INF_E1N001INF1!L:L,0)),0)</f>
        <v>0</v>
      </c>
      <c r="K468">
        <f>IFERROR(INDEX(IB_2RS232_E1N002INF1!N:N,MATCH('По платам'!$B468,IB_2RS232_E1N002INF1!L:L,0)),0)</f>
        <v>0</v>
      </c>
      <c r="L468">
        <f>IFERROR(INDEX(IB_2CAN_E1N003INF1!N:N,MATCH('По платам'!$B468,IB_2CAN_E1N003INF1!L:L,0)),0)</f>
        <v>0</v>
      </c>
    </row>
    <row r="469" spans="2:12">
      <c r="B469" s="3" t="s">
        <v>1893</v>
      </c>
      <c r="C469">
        <f>IFERROR(INDEX('C2B004CPU2'!N:N,MATCH('По платам'!B469,'C2B004CPU2'!L:L,0)),0)</f>
        <v>0</v>
      </c>
      <c r="D469">
        <f>IFERROR(INDEX(SBC_DIO_E1N004INF1!N:N,MATCH('По платам'!$B469,SBC_DIO_E1N004INF1!L:L,0)),0)</f>
        <v>0</v>
      </c>
      <c r="E469">
        <f>IFERROR(INDEX(SBC_35_2C3_1_E1E001CPU1E!N:N,MATCH('По платам'!$B469,SBC_35_2C3_1_E1E001CPU1E!L:L,0)),0)</f>
        <v>4</v>
      </c>
      <c r="F469">
        <f>IFERROR(INDEX(PCIe104_PSU_E1N001PWR1!N:N,MATCH('По платам'!$B469,PCIe104_PSU_E1N001PWR1!L:L,0)),0)</f>
        <v>0</v>
      </c>
      <c r="G469">
        <f>IFERROR(INDEX(PCIe104_INF2_E1N006INF1!N:N,MATCH('По платам'!$B469,PCIe104_INF2_E1N006INF1!L:L,0)),0)</f>
        <v>0</v>
      </c>
      <c r="H469">
        <f>IFERROR(INDEX(PCIe104_CON_E1N005INF1!N:N,MATCH('По платам'!$B469,PCIe104_CON_E1N005INF1!L:L,0)),0)</f>
        <v>0</v>
      </c>
      <c r="I469">
        <f>IFERROR(INDEX('EM-PCIE104-CPU_E1E001CPU1E'!N:N,MATCH('По платам'!$B469,'EM-PCIE104-CPU_E1E001CPU1E'!L:L,0)),0)</f>
        <v>0</v>
      </c>
      <c r="J469">
        <f>IFERROR(INDEX(PCIe104_INF_E1N001INF1!N:N,MATCH('По платам'!$B469,PCIe104_INF_E1N001INF1!L:L,0)),0)</f>
        <v>0</v>
      </c>
      <c r="K469">
        <f>IFERROR(INDEX(IB_2RS232_E1N002INF1!N:N,MATCH('По платам'!$B469,IB_2RS232_E1N002INF1!L:L,0)),0)</f>
        <v>0</v>
      </c>
      <c r="L469">
        <f>IFERROR(INDEX(IB_2CAN_E1N003INF1!N:N,MATCH('По платам'!$B469,IB_2CAN_E1N003INF1!L:L,0)),0)</f>
        <v>0</v>
      </c>
    </row>
    <row r="470" spans="2:12">
      <c r="B470" s="3" t="s">
        <v>1835</v>
      </c>
      <c r="C470">
        <f>IFERROR(INDEX('C2B004CPU2'!N:N,MATCH('По платам'!B470,'C2B004CPU2'!L:L,0)),0)</f>
        <v>0</v>
      </c>
      <c r="D470">
        <f>IFERROR(INDEX(SBC_DIO_E1N004INF1!N:N,MATCH('По платам'!$B470,SBC_DIO_E1N004INF1!L:L,0)),0)</f>
        <v>0</v>
      </c>
      <c r="E470">
        <f>IFERROR(INDEX(SBC_35_2C3_1_E1E001CPU1E!N:N,MATCH('По платам'!$B470,SBC_35_2C3_1_E1E001CPU1E!L:L,0)),0)</f>
        <v>3</v>
      </c>
      <c r="F470">
        <f>IFERROR(INDEX(PCIe104_PSU_E1N001PWR1!N:N,MATCH('По платам'!$B470,PCIe104_PSU_E1N001PWR1!L:L,0)),0)</f>
        <v>0</v>
      </c>
      <c r="G470">
        <f>IFERROR(INDEX(PCIe104_INF2_E1N006INF1!N:N,MATCH('По платам'!$B470,PCIe104_INF2_E1N006INF1!L:L,0)),0)</f>
        <v>0</v>
      </c>
      <c r="H470">
        <f>IFERROR(INDEX(PCIe104_CON_E1N005INF1!N:N,MATCH('По платам'!$B470,PCIe104_CON_E1N005INF1!L:L,0)),0)</f>
        <v>0</v>
      </c>
      <c r="I470">
        <f>IFERROR(INDEX('EM-PCIE104-CPU_E1E001CPU1E'!N:N,MATCH('По платам'!$B470,'EM-PCIE104-CPU_E1E001CPU1E'!L:L,0)),0)</f>
        <v>0</v>
      </c>
      <c r="J470">
        <f>IFERROR(INDEX(PCIe104_INF_E1N001INF1!N:N,MATCH('По платам'!$B470,PCIe104_INF_E1N001INF1!L:L,0)),0)</f>
        <v>0</v>
      </c>
      <c r="K470">
        <f>IFERROR(INDEX(IB_2RS232_E1N002INF1!N:N,MATCH('По платам'!$B470,IB_2RS232_E1N002INF1!L:L,0)),0)</f>
        <v>0</v>
      </c>
      <c r="L470">
        <f>IFERROR(INDEX(IB_2CAN_E1N003INF1!N:N,MATCH('По платам'!$B470,IB_2CAN_E1N003INF1!L:L,0)),0)</f>
        <v>0</v>
      </c>
    </row>
    <row r="471" spans="2:12">
      <c r="B471" s="3" t="s">
        <v>969</v>
      </c>
      <c r="C471">
        <f>IFERROR(INDEX('C2B004CPU2'!N:N,MATCH('По платам'!B471,'C2B004CPU2'!L:L,0)),0)</f>
        <v>0</v>
      </c>
      <c r="D471">
        <f>IFERROR(INDEX(SBC_DIO_E1N004INF1!N:N,MATCH('По платам'!$B471,SBC_DIO_E1N004INF1!L:L,0)),0)</f>
        <v>0</v>
      </c>
      <c r="E471">
        <f>IFERROR(INDEX(SBC_35_2C3_1_E1E001CPU1E!N:N,MATCH('По платам'!$B471,SBC_35_2C3_1_E1E001CPU1E!L:L,0)),0)</f>
        <v>1</v>
      </c>
      <c r="F471">
        <f>IFERROR(INDEX(PCIe104_PSU_E1N001PWR1!N:N,MATCH('По платам'!$B471,PCIe104_PSU_E1N001PWR1!L:L,0)),0)</f>
        <v>0</v>
      </c>
      <c r="G471">
        <f>IFERROR(INDEX(PCIe104_INF2_E1N006INF1!N:N,MATCH('По платам'!$B471,PCIe104_INF2_E1N006INF1!L:L,0)),0)</f>
        <v>0</v>
      </c>
      <c r="H471">
        <f>IFERROR(INDEX(PCIe104_CON_E1N005INF1!N:N,MATCH('По платам'!$B471,PCIe104_CON_E1N005INF1!L:L,0)),0)</f>
        <v>0</v>
      </c>
      <c r="I471">
        <f>IFERROR(INDEX('EM-PCIE104-CPU_E1E001CPU1E'!N:N,MATCH('По платам'!$B471,'EM-PCIE104-CPU_E1E001CPU1E'!L:L,0)),0)</f>
        <v>1</v>
      </c>
      <c r="J471">
        <f>IFERROR(INDEX(PCIe104_INF_E1N001INF1!N:N,MATCH('По платам'!$B471,PCIe104_INF_E1N001INF1!L:L,0)),0)</f>
        <v>0</v>
      </c>
      <c r="K471">
        <f>IFERROR(INDEX(IB_2RS232_E1N002INF1!N:N,MATCH('По платам'!$B471,IB_2RS232_E1N002INF1!L:L,0)),0)</f>
        <v>0</v>
      </c>
      <c r="L471">
        <f>IFERROR(INDEX(IB_2CAN_E1N003INF1!N:N,MATCH('По платам'!$B471,IB_2CAN_E1N003INF1!L:L,0)),0)</f>
        <v>0</v>
      </c>
    </row>
    <row r="472" spans="2:12">
      <c r="B472" s="3" t="s">
        <v>912</v>
      </c>
      <c r="C472">
        <f>IFERROR(INDEX('C2B004CPU2'!N:N,MATCH('По платам'!B472,'C2B004CPU2'!L:L,0)),0)</f>
        <v>0</v>
      </c>
      <c r="D472">
        <f>IFERROR(INDEX(SBC_DIO_E1N004INF1!N:N,MATCH('По платам'!$B472,SBC_DIO_E1N004INF1!L:L,0)),0)</f>
        <v>0</v>
      </c>
      <c r="E472">
        <f>IFERROR(INDEX(SBC_35_2C3_1_E1E001CPU1E!N:N,MATCH('По платам'!$B472,SBC_35_2C3_1_E1E001CPU1E!L:L,0)),0)</f>
        <v>1</v>
      </c>
      <c r="F472">
        <f>IFERROR(INDEX(PCIe104_PSU_E1N001PWR1!N:N,MATCH('По платам'!$B472,PCIe104_PSU_E1N001PWR1!L:L,0)),0)</f>
        <v>0</v>
      </c>
      <c r="G472">
        <f>IFERROR(INDEX(PCIe104_INF2_E1N006INF1!N:N,MATCH('По платам'!$B472,PCIe104_INF2_E1N006INF1!L:L,0)),0)</f>
        <v>0</v>
      </c>
      <c r="H472">
        <f>IFERROR(INDEX(PCIe104_CON_E1N005INF1!N:N,MATCH('По платам'!$B472,PCIe104_CON_E1N005INF1!L:L,0)),0)</f>
        <v>0</v>
      </c>
      <c r="I472">
        <f>IFERROR(INDEX('EM-PCIE104-CPU_E1E001CPU1E'!N:N,MATCH('По платам'!$B472,'EM-PCIE104-CPU_E1E001CPU1E'!L:L,0)),0)</f>
        <v>1</v>
      </c>
      <c r="J472">
        <f>IFERROR(INDEX(PCIe104_INF_E1N001INF1!N:N,MATCH('По платам'!$B472,PCIe104_INF_E1N001INF1!L:L,0)),0)</f>
        <v>0</v>
      </c>
      <c r="K472">
        <f>IFERROR(INDEX(IB_2RS232_E1N002INF1!N:N,MATCH('По платам'!$B472,IB_2RS232_E1N002INF1!L:L,0)),0)</f>
        <v>0</v>
      </c>
      <c r="L472">
        <f>IFERROR(INDEX(IB_2CAN_E1N003INF1!N:N,MATCH('По платам'!$B472,IB_2CAN_E1N003INF1!L:L,0)),0)</f>
        <v>0</v>
      </c>
    </row>
    <row r="473" spans="2:12">
      <c r="B473" s="3" t="s">
        <v>1901</v>
      </c>
      <c r="C473">
        <f>IFERROR(INDEX('C2B004CPU2'!N:N,MATCH('По платам'!B473,'C2B004CPU2'!L:L,0)),0)</f>
        <v>0</v>
      </c>
      <c r="D473">
        <f>IFERROR(INDEX(SBC_DIO_E1N004INF1!N:N,MATCH('По платам'!$B473,SBC_DIO_E1N004INF1!L:L,0)),0)</f>
        <v>0</v>
      </c>
      <c r="E473">
        <f>IFERROR(INDEX(SBC_35_2C3_1_E1E001CPU1E!N:N,MATCH('По платам'!$B473,SBC_35_2C3_1_E1E001CPU1E!L:L,0)),0)</f>
        <v>1</v>
      </c>
      <c r="F473">
        <f>IFERROR(INDEX(PCIe104_PSU_E1N001PWR1!N:N,MATCH('По платам'!$B473,PCIe104_PSU_E1N001PWR1!L:L,0)),0)</f>
        <v>0</v>
      </c>
      <c r="G473">
        <f>IFERROR(INDEX(PCIe104_INF2_E1N006INF1!N:N,MATCH('По платам'!$B473,PCIe104_INF2_E1N006INF1!L:L,0)),0)</f>
        <v>0</v>
      </c>
      <c r="H473">
        <f>IFERROR(INDEX(PCIe104_CON_E1N005INF1!N:N,MATCH('По платам'!$B473,PCIe104_CON_E1N005INF1!L:L,0)),0)</f>
        <v>0</v>
      </c>
      <c r="I473">
        <f>IFERROR(INDEX('EM-PCIE104-CPU_E1E001CPU1E'!N:N,MATCH('По платам'!$B473,'EM-PCIE104-CPU_E1E001CPU1E'!L:L,0)),0)</f>
        <v>0</v>
      </c>
      <c r="J473">
        <f>IFERROR(INDEX(PCIe104_INF_E1N001INF1!N:N,MATCH('По платам'!$B473,PCIe104_INF_E1N001INF1!L:L,0)),0)</f>
        <v>0</v>
      </c>
      <c r="K473">
        <f>IFERROR(INDEX(IB_2RS232_E1N002INF1!N:N,MATCH('По платам'!$B473,IB_2RS232_E1N002INF1!L:L,0)),0)</f>
        <v>0</v>
      </c>
      <c r="L473">
        <f>IFERROR(INDEX(IB_2CAN_E1N003INF1!N:N,MATCH('По платам'!$B473,IB_2CAN_E1N003INF1!L:L,0)),0)</f>
        <v>0</v>
      </c>
    </row>
    <row r="474" spans="2:12">
      <c r="B474" s="3" t="s">
        <v>1885</v>
      </c>
      <c r="C474">
        <f>IFERROR(INDEX('C2B004CPU2'!N:N,MATCH('По платам'!B474,'C2B004CPU2'!L:L,0)),0)</f>
        <v>0</v>
      </c>
      <c r="D474">
        <f>IFERROR(INDEX(SBC_DIO_E1N004INF1!N:N,MATCH('По платам'!$B474,SBC_DIO_E1N004INF1!L:L,0)),0)</f>
        <v>0</v>
      </c>
      <c r="E474">
        <f>IFERROR(INDEX(SBC_35_2C3_1_E1E001CPU1E!N:N,MATCH('По платам'!$B474,SBC_35_2C3_1_E1E001CPU1E!L:L,0)),0)</f>
        <v>1</v>
      </c>
      <c r="F474">
        <f>IFERROR(INDEX(PCIe104_PSU_E1N001PWR1!N:N,MATCH('По платам'!$B474,PCIe104_PSU_E1N001PWR1!L:L,0)),0)</f>
        <v>0</v>
      </c>
      <c r="G474">
        <f>IFERROR(INDEX(PCIe104_INF2_E1N006INF1!N:N,MATCH('По платам'!$B474,PCIe104_INF2_E1N006INF1!L:L,0)),0)</f>
        <v>0</v>
      </c>
      <c r="H474">
        <f>IFERROR(INDEX(PCIe104_CON_E1N005INF1!N:N,MATCH('По платам'!$B474,PCIe104_CON_E1N005INF1!L:L,0)),0)</f>
        <v>0</v>
      </c>
      <c r="I474">
        <f>IFERROR(INDEX('EM-PCIE104-CPU_E1E001CPU1E'!N:N,MATCH('По платам'!$B474,'EM-PCIE104-CPU_E1E001CPU1E'!L:L,0)),0)</f>
        <v>0</v>
      </c>
      <c r="J474">
        <f>IFERROR(INDEX(PCIe104_INF_E1N001INF1!N:N,MATCH('По платам'!$B474,PCIe104_INF_E1N001INF1!L:L,0)),0)</f>
        <v>0</v>
      </c>
      <c r="K474">
        <f>IFERROR(INDEX(IB_2RS232_E1N002INF1!N:N,MATCH('По платам'!$B474,IB_2RS232_E1N002INF1!L:L,0)),0)</f>
        <v>0</v>
      </c>
      <c r="L474">
        <f>IFERROR(INDEX(IB_2CAN_E1N003INF1!N:N,MATCH('По платам'!$B474,IB_2CAN_E1N003INF1!L:L,0)),0)</f>
        <v>0</v>
      </c>
    </row>
    <row r="475" spans="2:12">
      <c r="B475" s="3" t="s">
        <v>202</v>
      </c>
      <c r="C475">
        <f>IFERROR(INDEX('C2B004CPU2'!N:N,MATCH('По платам'!B475,'C2B004CPU2'!L:L,0)),0)</f>
        <v>0</v>
      </c>
      <c r="D475">
        <f>IFERROR(INDEX(SBC_DIO_E1N004INF1!N:N,MATCH('По платам'!$B475,SBC_DIO_E1N004INF1!L:L,0)),0)</f>
        <v>0</v>
      </c>
      <c r="E475">
        <f>IFERROR(INDEX(SBC_35_2C3_1_E1E001CPU1E!N:N,MATCH('По платам'!$B475,SBC_35_2C3_1_E1E001CPU1E!L:L,0)),0)</f>
        <v>0</v>
      </c>
      <c r="F475">
        <f>IFERROR(INDEX(PCIe104_PSU_E1N001PWR1!N:N,MATCH('По платам'!$B475,PCIe104_PSU_E1N001PWR1!L:L,0)),0)</f>
        <v>0</v>
      </c>
      <c r="G475">
        <f>IFERROR(INDEX(PCIe104_INF2_E1N006INF1!N:N,MATCH('По платам'!$B475,PCIe104_INF2_E1N006INF1!L:L,0)),0)</f>
        <v>0</v>
      </c>
      <c r="H475">
        <f>IFERROR(INDEX(PCIe104_CON_E1N005INF1!N:N,MATCH('По платам'!$B475,PCIe104_CON_E1N005INF1!L:L,0)),0)</f>
        <v>0</v>
      </c>
      <c r="I475">
        <f>IFERROR(INDEX('EM-PCIE104-CPU_E1E001CPU1E'!N:N,MATCH('По платам'!$B475,'EM-PCIE104-CPU_E1E001CPU1E'!L:L,0)),0)</f>
        <v>0</v>
      </c>
      <c r="J475">
        <f>IFERROR(INDEX(PCIe104_INF_E1N001INF1!N:N,MATCH('По платам'!$B475,PCIe104_INF_E1N001INF1!L:L,0)),0)</f>
        <v>0</v>
      </c>
      <c r="K475">
        <f>IFERROR(INDEX(IB_2RS232_E1N002INF1!N:N,MATCH('По платам'!$B475,IB_2RS232_E1N002INF1!L:L,0)),0)</f>
        <v>2</v>
      </c>
      <c r="L475">
        <f>IFERROR(INDEX(IB_2CAN_E1N003INF1!N:N,MATCH('По платам'!$B475,IB_2CAN_E1N003INF1!L:L,0)),0)</f>
        <v>0</v>
      </c>
    </row>
    <row r="476" spans="2:12">
      <c r="B476" s="3" t="s">
        <v>1777</v>
      </c>
      <c r="C476">
        <f>IFERROR(INDEX('C2B004CPU2'!N:N,MATCH('По платам'!B476,'C2B004CPU2'!L:L,0)),0)</f>
        <v>0</v>
      </c>
      <c r="D476">
        <f>IFERROR(INDEX(SBC_DIO_E1N004INF1!N:N,MATCH('По платам'!$B476,SBC_DIO_E1N004INF1!L:L,0)),0)</f>
        <v>0</v>
      </c>
      <c r="E476">
        <f>IFERROR(INDEX(SBC_35_2C3_1_E1E001CPU1E!N:N,MATCH('По платам'!$B476,SBC_35_2C3_1_E1E001CPU1E!L:L,0)),0)</f>
        <v>1</v>
      </c>
      <c r="F476">
        <f>IFERROR(INDEX(PCIe104_PSU_E1N001PWR1!N:N,MATCH('По платам'!$B476,PCIe104_PSU_E1N001PWR1!L:L,0)),0)</f>
        <v>0</v>
      </c>
      <c r="G476">
        <f>IFERROR(INDEX(PCIe104_INF2_E1N006INF1!N:N,MATCH('По платам'!$B476,PCIe104_INF2_E1N006INF1!L:L,0)),0)</f>
        <v>0</v>
      </c>
      <c r="H476">
        <f>IFERROR(INDEX(PCIe104_CON_E1N005INF1!N:N,MATCH('По платам'!$B476,PCIe104_CON_E1N005INF1!L:L,0)),0)</f>
        <v>0</v>
      </c>
      <c r="I476">
        <f>IFERROR(INDEX('EM-PCIE104-CPU_E1E001CPU1E'!N:N,MATCH('По платам'!$B476,'EM-PCIE104-CPU_E1E001CPU1E'!L:L,0)),0)</f>
        <v>0</v>
      </c>
      <c r="J476">
        <f>IFERROR(INDEX(PCIe104_INF_E1N001INF1!N:N,MATCH('По платам'!$B476,PCIe104_INF_E1N001INF1!L:L,0)),0)</f>
        <v>0</v>
      </c>
      <c r="K476">
        <f>IFERROR(INDEX(IB_2RS232_E1N002INF1!N:N,MATCH('По платам'!$B476,IB_2RS232_E1N002INF1!L:L,0)),0)</f>
        <v>0</v>
      </c>
      <c r="L476">
        <f>IFERROR(INDEX(IB_2CAN_E1N003INF1!N:N,MATCH('По платам'!$B476,IB_2CAN_E1N003INF1!L:L,0)),0)</f>
        <v>0</v>
      </c>
    </row>
    <row r="477" spans="2:12">
      <c r="B477" s="3" t="s">
        <v>1838</v>
      </c>
      <c r="C477">
        <f>IFERROR(INDEX('C2B004CPU2'!N:N,MATCH('По платам'!B477,'C2B004CPU2'!L:L,0)),0)</f>
        <v>0</v>
      </c>
      <c r="D477">
        <f>IFERROR(INDEX(SBC_DIO_E1N004INF1!N:N,MATCH('По платам'!$B477,SBC_DIO_E1N004INF1!L:L,0)),0)</f>
        <v>0</v>
      </c>
      <c r="E477">
        <f>IFERROR(INDEX(SBC_35_2C3_1_E1E001CPU1E!N:N,MATCH('По платам'!$B477,SBC_35_2C3_1_E1E001CPU1E!L:L,0)),0)</f>
        <v>1</v>
      </c>
      <c r="F477">
        <f>IFERROR(INDEX(PCIe104_PSU_E1N001PWR1!N:N,MATCH('По платам'!$B477,PCIe104_PSU_E1N001PWR1!L:L,0)),0)</f>
        <v>0</v>
      </c>
      <c r="G477">
        <f>IFERROR(INDEX(PCIe104_INF2_E1N006INF1!N:N,MATCH('По платам'!$B477,PCIe104_INF2_E1N006INF1!L:L,0)),0)</f>
        <v>0</v>
      </c>
      <c r="H477">
        <f>IFERROR(INDEX(PCIe104_CON_E1N005INF1!N:N,MATCH('По платам'!$B477,PCIe104_CON_E1N005INF1!L:L,0)),0)</f>
        <v>0</v>
      </c>
      <c r="I477">
        <f>IFERROR(INDEX('EM-PCIE104-CPU_E1E001CPU1E'!N:N,MATCH('По платам'!$B477,'EM-PCIE104-CPU_E1E001CPU1E'!L:L,0)),0)</f>
        <v>0</v>
      </c>
      <c r="J477">
        <f>IFERROR(INDEX(PCIe104_INF_E1N001INF1!N:N,MATCH('По платам'!$B477,PCIe104_INF_E1N001INF1!L:L,0)),0)</f>
        <v>0</v>
      </c>
      <c r="K477">
        <f>IFERROR(INDEX(IB_2RS232_E1N002INF1!N:N,MATCH('По платам'!$B477,IB_2RS232_E1N002INF1!L:L,0)),0)</f>
        <v>0</v>
      </c>
      <c r="L477">
        <f>IFERROR(INDEX(IB_2CAN_E1N003INF1!N:N,MATCH('По платам'!$B477,IB_2CAN_E1N003INF1!L:L,0)),0)</f>
        <v>0</v>
      </c>
    </row>
    <row r="478" spans="2:12">
      <c r="B478" s="3" t="s">
        <v>1852</v>
      </c>
      <c r="C478">
        <f>IFERROR(INDEX('C2B004CPU2'!N:N,MATCH('По платам'!B478,'C2B004CPU2'!L:L,0)),0)</f>
        <v>0</v>
      </c>
      <c r="D478">
        <f>IFERROR(INDEX(SBC_DIO_E1N004INF1!N:N,MATCH('По платам'!$B478,SBC_DIO_E1N004INF1!L:L,0)),0)</f>
        <v>0</v>
      </c>
      <c r="E478">
        <f>IFERROR(INDEX(SBC_35_2C3_1_E1E001CPU1E!N:N,MATCH('По платам'!$B478,SBC_35_2C3_1_E1E001CPU1E!L:L,0)),0)</f>
        <v>1</v>
      </c>
      <c r="F478">
        <f>IFERROR(INDEX(PCIe104_PSU_E1N001PWR1!N:N,MATCH('По платам'!$B478,PCIe104_PSU_E1N001PWR1!L:L,0)),0)</f>
        <v>0</v>
      </c>
      <c r="G478">
        <f>IFERROR(INDEX(PCIe104_INF2_E1N006INF1!N:N,MATCH('По платам'!$B478,PCIe104_INF2_E1N006INF1!L:L,0)),0)</f>
        <v>0</v>
      </c>
      <c r="H478">
        <f>IFERROR(INDEX(PCIe104_CON_E1N005INF1!N:N,MATCH('По платам'!$B478,PCIe104_CON_E1N005INF1!L:L,0)),0)</f>
        <v>0</v>
      </c>
      <c r="I478">
        <f>IFERROR(INDEX('EM-PCIE104-CPU_E1E001CPU1E'!N:N,MATCH('По платам'!$B478,'EM-PCIE104-CPU_E1E001CPU1E'!L:L,0)),0)</f>
        <v>0</v>
      </c>
      <c r="J478">
        <f>IFERROR(INDEX(PCIe104_INF_E1N001INF1!N:N,MATCH('По платам'!$B478,PCIe104_INF_E1N001INF1!L:L,0)),0)</f>
        <v>0</v>
      </c>
      <c r="K478">
        <f>IFERROR(INDEX(IB_2RS232_E1N002INF1!N:N,MATCH('По платам'!$B478,IB_2RS232_E1N002INF1!L:L,0)),0)</f>
        <v>0</v>
      </c>
      <c r="L478">
        <f>IFERROR(INDEX(IB_2CAN_E1N003INF1!N:N,MATCH('По платам'!$B478,IB_2CAN_E1N003INF1!L:L,0)),0)</f>
        <v>0</v>
      </c>
    </row>
    <row r="479" spans="2:12">
      <c r="B479" s="3" t="s">
        <v>973</v>
      </c>
      <c r="C479">
        <f>IFERROR(INDEX('C2B004CPU2'!N:N,MATCH('По платам'!B479,'C2B004CPU2'!L:L,0)),0)</f>
        <v>0</v>
      </c>
      <c r="D479">
        <f>IFERROR(INDEX(SBC_DIO_E1N004INF1!N:N,MATCH('По платам'!$B479,SBC_DIO_E1N004INF1!L:L,0)),0)</f>
        <v>0</v>
      </c>
      <c r="E479">
        <f>IFERROR(INDEX(SBC_35_2C3_1_E1E001CPU1E!N:N,MATCH('По платам'!$B479,SBC_35_2C3_1_E1E001CPU1E!L:L,0)),0)</f>
        <v>1</v>
      </c>
      <c r="F479">
        <f>IFERROR(INDEX(PCIe104_PSU_E1N001PWR1!N:N,MATCH('По платам'!$B479,PCIe104_PSU_E1N001PWR1!L:L,0)),0)</f>
        <v>0</v>
      </c>
      <c r="G479">
        <f>IFERROR(INDEX(PCIe104_INF2_E1N006INF1!N:N,MATCH('По платам'!$B479,PCIe104_INF2_E1N006INF1!L:L,0)),0)</f>
        <v>0</v>
      </c>
      <c r="H479">
        <f>IFERROR(INDEX(PCIe104_CON_E1N005INF1!N:N,MATCH('По платам'!$B479,PCIe104_CON_E1N005INF1!L:L,0)),0)</f>
        <v>0</v>
      </c>
      <c r="I479">
        <f>IFERROR(INDEX('EM-PCIE104-CPU_E1E001CPU1E'!N:N,MATCH('По платам'!$B479,'EM-PCIE104-CPU_E1E001CPU1E'!L:L,0)),0)</f>
        <v>1</v>
      </c>
      <c r="J479">
        <f>IFERROR(INDEX(PCIe104_INF_E1N001INF1!N:N,MATCH('По платам'!$B479,PCIe104_INF_E1N001INF1!L:L,0)),0)</f>
        <v>0</v>
      </c>
      <c r="K479">
        <f>IFERROR(INDEX(IB_2RS232_E1N002INF1!N:N,MATCH('По платам'!$B479,IB_2RS232_E1N002INF1!L:L,0)),0)</f>
        <v>0</v>
      </c>
      <c r="L479">
        <f>IFERROR(INDEX(IB_2CAN_E1N003INF1!N:N,MATCH('По платам'!$B479,IB_2CAN_E1N003INF1!L:L,0)),0)</f>
        <v>0</v>
      </c>
    </row>
    <row r="480" spans="2:12">
      <c r="B480" s="3" t="s">
        <v>200</v>
      </c>
      <c r="C480">
        <f>IFERROR(INDEX('C2B004CPU2'!N:N,MATCH('По платам'!B480,'C2B004CPU2'!L:L,0)),0)</f>
        <v>0</v>
      </c>
      <c r="D480">
        <f>IFERROR(INDEX(SBC_DIO_E1N004INF1!N:N,MATCH('По платам'!$B480,SBC_DIO_E1N004INF1!L:L,0)),0)</f>
        <v>0</v>
      </c>
      <c r="E480">
        <f>IFERROR(INDEX(SBC_35_2C3_1_E1E001CPU1E!N:N,MATCH('По платам'!$B480,SBC_35_2C3_1_E1E001CPU1E!L:L,0)),0)</f>
        <v>0</v>
      </c>
      <c r="F480">
        <f>IFERROR(INDEX(PCIe104_PSU_E1N001PWR1!N:N,MATCH('По платам'!$B480,PCIe104_PSU_E1N001PWR1!L:L,0)),0)</f>
        <v>0</v>
      </c>
      <c r="G480">
        <f>IFERROR(INDEX(PCIe104_INF2_E1N006INF1!N:N,MATCH('По платам'!$B480,PCIe104_INF2_E1N006INF1!L:L,0)),0)</f>
        <v>0</v>
      </c>
      <c r="H480">
        <f>IFERROR(INDEX(PCIe104_CON_E1N005INF1!N:N,MATCH('По платам'!$B480,PCIe104_CON_E1N005INF1!L:L,0)),0)</f>
        <v>0</v>
      </c>
      <c r="I480">
        <f>IFERROR(INDEX('EM-PCIE104-CPU_E1E001CPU1E'!N:N,MATCH('По платам'!$B480,'EM-PCIE104-CPU_E1E001CPU1E'!L:L,0)),0)</f>
        <v>0</v>
      </c>
      <c r="J480">
        <f>IFERROR(INDEX(PCIe104_INF_E1N001INF1!N:N,MATCH('По платам'!$B480,PCIe104_INF_E1N001INF1!L:L,0)),0)</f>
        <v>0</v>
      </c>
      <c r="K480">
        <f>IFERROR(INDEX(IB_2RS232_E1N002INF1!N:N,MATCH('По платам'!$B480,IB_2RS232_E1N002INF1!L:L,0)),0)</f>
        <v>2</v>
      </c>
      <c r="L480">
        <f>IFERROR(INDEX(IB_2CAN_E1N003INF1!N:N,MATCH('По платам'!$B480,IB_2CAN_E1N003INF1!L:L,0)),0)</f>
        <v>0</v>
      </c>
    </row>
    <row r="481" spans="2:12">
      <c r="B481" s="3" t="s">
        <v>1869</v>
      </c>
      <c r="C481">
        <f>IFERROR(INDEX('C2B004CPU2'!N:N,MATCH('По платам'!B481,'C2B004CPU2'!L:L,0)),0)</f>
        <v>0</v>
      </c>
      <c r="D481">
        <f>IFERROR(INDEX(SBC_DIO_E1N004INF1!N:N,MATCH('По платам'!$B481,SBC_DIO_E1N004INF1!L:L,0)),0)</f>
        <v>0</v>
      </c>
      <c r="E481">
        <f>IFERROR(INDEX(SBC_35_2C3_1_E1E001CPU1E!N:N,MATCH('По платам'!$B481,SBC_35_2C3_1_E1E001CPU1E!L:L,0)),0)</f>
        <v>1</v>
      </c>
      <c r="F481">
        <f>IFERROR(INDEX(PCIe104_PSU_E1N001PWR1!N:N,MATCH('По платам'!$B481,PCIe104_PSU_E1N001PWR1!L:L,0)),0)</f>
        <v>0</v>
      </c>
      <c r="G481">
        <f>IFERROR(INDEX(PCIe104_INF2_E1N006INF1!N:N,MATCH('По платам'!$B481,PCIe104_INF2_E1N006INF1!L:L,0)),0)</f>
        <v>0</v>
      </c>
      <c r="H481">
        <f>IFERROR(INDEX(PCIe104_CON_E1N005INF1!N:N,MATCH('По платам'!$B481,PCIe104_CON_E1N005INF1!L:L,0)),0)</f>
        <v>0</v>
      </c>
      <c r="I481">
        <f>IFERROR(INDEX('EM-PCIE104-CPU_E1E001CPU1E'!N:N,MATCH('По платам'!$B481,'EM-PCIE104-CPU_E1E001CPU1E'!L:L,0)),0)</f>
        <v>0</v>
      </c>
      <c r="J481">
        <f>IFERROR(INDEX(PCIe104_INF_E1N001INF1!N:N,MATCH('По платам'!$B481,PCIe104_INF_E1N001INF1!L:L,0)),0)</f>
        <v>0</v>
      </c>
      <c r="K481">
        <f>IFERROR(INDEX(IB_2RS232_E1N002INF1!N:N,MATCH('По платам'!$B481,IB_2RS232_E1N002INF1!L:L,0)),0)</f>
        <v>0</v>
      </c>
      <c r="L481">
        <f>IFERROR(INDEX(IB_2CAN_E1N003INF1!N:N,MATCH('По платам'!$B481,IB_2CAN_E1N003INF1!L:L,0)),0)</f>
        <v>0</v>
      </c>
    </row>
    <row r="482" spans="2:12">
      <c r="B482" s="3" t="s">
        <v>869</v>
      </c>
      <c r="C482">
        <f>IFERROR(INDEX('C2B004CPU2'!N:N,MATCH('По платам'!B482,'C2B004CPU2'!L:L,0)),0)</f>
        <v>0</v>
      </c>
      <c r="D482">
        <f>IFERROR(INDEX(SBC_DIO_E1N004INF1!N:N,MATCH('По платам'!$B482,SBC_DIO_E1N004INF1!L:L,0)),0)</f>
        <v>0</v>
      </c>
      <c r="E482">
        <f>IFERROR(INDEX(SBC_35_2C3_1_E1E001CPU1E!N:N,MATCH('По платам'!$B482,SBC_35_2C3_1_E1E001CPU1E!L:L,0)),0)</f>
        <v>5</v>
      </c>
      <c r="F482">
        <f>IFERROR(INDEX(PCIe104_PSU_E1N001PWR1!N:N,MATCH('По платам'!$B482,PCIe104_PSU_E1N001PWR1!L:L,0)),0)</f>
        <v>0</v>
      </c>
      <c r="G482">
        <f>IFERROR(INDEX(PCIe104_INF2_E1N006INF1!N:N,MATCH('По платам'!$B482,PCIe104_INF2_E1N006INF1!L:L,0)),0)</f>
        <v>0</v>
      </c>
      <c r="H482">
        <f>IFERROR(INDEX(PCIe104_CON_E1N005INF1!N:N,MATCH('По платам'!$B482,PCIe104_CON_E1N005INF1!L:L,0)),0)</f>
        <v>0</v>
      </c>
      <c r="I482">
        <f>IFERROR(INDEX('EM-PCIE104-CPU_E1E001CPU1E'!N:N,MATCH('По платам'!$B482,'EM-PCIE104-CPU_E1E001CPU1E'!L:L,0)),0)</f>
        <v>1</v>
      </c>
      <c r="J482">
        <f>IFERROR(INDEX(PCIe104_INF_E1N001INF1!N:N,MATCH('По платам'!$B482,PCIe104_INF_E1N001INF1!L:L,0)),0)</f>
        <v>0</v>
      </c>
      <c r="K482">
        <f>IFERROR(INDEX(IB_2RS232_E1N002INF1!N:N,MATCH('По платам'!$B482,IB_2RS232_E1N002INF1!L:L,0)),0)</f>
        <v>0</v>
      </c>
      <c r="L482">
        <f>IFERROR(INDEX(IB_2CAN_E1N003INF1!N:N,MATCH('По платам'!$B482,IB_2CAN_E1N003INF1!L:L,0)),0)</f>
        <v>0</v>
      </c>
    </row>
    <row r="483" spans="2:12">
      <c r="B483" s="3" t="s">
        <v>981</v>
      </c>
      <c r="C483">
        <f>IFERROR(INDEX('C2B004CPU2'!N:N,MATCH('По платам'!B483,'C2B004CPU2'!L:L,0)),0)</f>
        <v>0</v>
      </c>
      <c r="D483">
        <f>IFERROR(INDEX(SBC_DIO_E1N004INF1!N:N,MATCH('По платам'!$B483,SBC_DIO_E1N004INF1!L:L,0)),0)</f>
        <v>0</v>
      </c>
      <c r="E483">
        <f>IFERROR(INDEX(SBC_35_2C3_1_E1E001CPU1E!N:N,MATCH('По платам'!$B483,SBC_35_2C3_1_E1E001CPU1E!L:L,0)),0)</f>
        <v>1</v>
      </c>
      <c r="F483">
        <f>IFERROR(INDEX(PCIe104_PSU_E1N001PWR1!N:N,MATCH('По платам'!$B483,PCIe104_PSU_E1N001PWR1!L:L,0)),0)</f>
        <v>0</v>
      </c>
      <c r="G483">
        <f>IFERROR(INDEX(PCIe104_INF2_E1N006INF1!N:N,MATCH('По платам'!$B483,PCIe104_INF2_E1N006INF1!L:L,0)),0)</f>
        <v>0</v>
      </c>
      <c r="H483">
        <f>IFERROR(INDEX(PCIe104_CON_E1N005INF1!N:N,MATCH('По платам'!$B483,PCIe104_CON_E1N005INF1!L:L,0)),0)</f>
        <v>0</v>
      </c>
      <c r="I483">
        <f>IFERROR(INDEX('EM-PCIE104-CPU_E1E001CPU1E'!N:N,MATCH('По платам'!$B483,'EM-PCIE104-CPU_E1E001CPU1E'!L:L,0)),0)</f>
        <v>1</v>
      </c>
      <c r="J483">
        <f>IFERROR(INDEX(PCIe104_INF_E1N001INF1!N:N,MATCH('По платам'!$B483,PCIe104_INF_E1N001INF1!L:L,0)),0)</f>
        <v>0</v>
      </c>
      <c r="K483">
        <f>IFERROR(INDEX(IB_2RS232_E1N002INF1!N:N,MATCH('По платам'!$B483,IB_2RS232_E1N002INF1!L:L,0)),0)</f>
        <v>0</v>
      </c>
      <c r="L483">
        <f>IFERROR(INDEX(IB_2CAN_E1N003INF1!N:N,MATCH('По платам'!$B483,IB_2CAN_E1N003INF1!L:L,0)),0)</f>
        <v>0</v>
      </c>
    </row>
    <row r="484" spans="2:12">
      <c r="B484" s="3" t="s">
        <v>1791</v>
      </c>
      <c r="C484">
        <f>IFERROR(INDEX('C2B004CPU2'!N:N,MATCH('По платам'!B484,'C2B004CPU2'!L:L,0)),0)</f>
        <v>0</v>
      </c>
      <c r="D484">
        <f>IFERROR(INDEX(SBC_DIO_E1N004INF1!N:N,MATCH('По платам'!$B484,SBC_DIO_E1N004INF1!L:L,0)),0)</f>
        <v>0</v>
      </c>
      <c r="E484">
        <f>IFERROR(INDEX(SBC_35_2C3_1_E1E001CPU1E!N:N,MATCH('По платам'!$B484,SBC_35_2C3_1_E1E001CPU1E!L:L,0)),0)</f>
        <v>1</v>
      </c>
      <c r="F484">
        <f>IFERROR(INDEX(PCIe104_PSU_E1N001PWR1!N:N,MATCH('По платам'!$B484,PCIe104_PSU_E1N001PWR1!L:L,0)),0)</f>
        <v>0</v>
      </c>
      <c r="G484">
        <f>IFERROR(INDEX(PCIe104_INF2_E1N006INF1!N:N,MATCH('По платам'!$B484,PCIe104_INF2_E1N006INF1!L:L,0)),0)</f>
        <v>0</v>
      </c>
      <c r="H484">
        <f>IFERROR(INDEX(PCIe104_CON_E1N005INF1!N:N,MATCH('По платам'!$B484,PCIe104_CON_E1N005INF1!L:L,0)),0)</f>
        <v>0</v>
      </c>
      <c r="I484">
        <f>IFERROR(INDEX('EM-PCIE104-CPU_E1E001CPU1E'!N:N,MATCH('По платам'!$B484,'EM-PCIE104-CPU_E1E001CPU1E'!L:L,0)),0)</f>
        <v>0</v>
      </c>
      <c r="J484">
        <f>IFERROR(INDEX(PCIe104_INF_E1N001INF1!N:N,MATCH('По платам'!$B484,PCIe104_INF_E1N001INF1!L:L,0)),0)</f>
        <v>0</v>
      </c>
      <c r="K484">
        <f>IFERROR(INDEX(IB_2RS232_E1N002INF1!N:N,MATCH('По платам'!$B484,IB_2RS232_E1N002INF1!L:L,0)),0)</f>
        <v>0</v>
      </c>
      <c r="L484">
        <f>IFERROR(INDEX(IB_2CAN_E1N003INF1!N:N,MATCH('По платам'!$B484,IB_2CAN_E1N003INF1!L:L,0)),0)</f>
        <v>0</v>
      </c>
    </row>
    <row r="485" spans="2:12">
      <c r="B485" s="3" t="s">
        <v>997</v>
      </c>
      <c r="C485">
        <f>IFERROR(INDEX('C2B004CPU2'!N:N,MATCH('По платам'!B485,'C2B004CPU2'!L:L,0)),0)</f>
        <v>0</v>
      </c>
      <c r="D485">
        <f>IFERROR(INDEX(SBC_DIO_E1N004INF1!N:N,MATCH('По платам'!$B485,SBC_DIO_E1N004INF1!L:L,0)),0)</f>
        <v>0</v>
      </c>
      <c r="E485">
        <f>IFERROR(INDEX(SBC_35_2C3_1_E1E001CPU1E!N:N,MATCH('По платам'!$B485,SBC_35_2C3_1_E1E001CPU1E!L:L,0)),0)</f>
        <v>0</v>
      </c>
      <c r="F485">
        <f>IFERROR(INDEX(PCIe104_PSU_E1N001PWR1!N:N,MATCH('По платам'!$B485,PCIe104_PSU_E1N001PWR1!L:L,0)),0)</f>
        <v>0</v>
      </c>
      <c r="G485">
        <f>IFERROR(INDEX(PCIe104_INF2_E1N006INF1!N:N,MATCH('По платам'!$B485,PCIe104_INF2_E1N006INF1!L:L,0)),0)</f>
        <v>0</v>
      </c>
      <c r="H485">
        <f>IFERROR(INDEX(PCIe104_CON_E1N005INF1!N:N,MATCH('По платам'!$B485,PCIe104_CON_E1N005INF1!L:L,0)),0)</f>
        <v>0</v>
      </c>
      <c r="I485">
        <f>IFERROR(INDEX('EM-PCIE104-CPU_E1E001CPU1E'!N:N,MATCH('По платам'!$B485,'EM-PCIE104-CPU_E1E001CPU1E'!L:L,0)),0)</f>
        <v>1</v>
      </c>
      <c r="J485">
        <f>IFERROR(INDEX(PCIe104_INF_E1N001INF1!N:N,MATCH('По платам'!$B485,PCIe104_INF_E1N001INF1!L:L,0)),0)</f>
        <v>0</v>
      </c>
      <c r="K485">
        <f>IFERROR(INDEX(IB_2RS232_E1N002INF1!N:N,MATCH('По платам'!$B485,IB_2RS232_E1N002INF1!L:L,0)),0)</f>
        <v>0</v>
      </c>
      <c r="L485">
        <f>IFERROR(INDEX(IB_2CAN_E1N003INF1!N:N,MATCH('По платам'!$B485,IB_2CAN_E1N003INF1!L:L,0)),0)</f>
        <v>0</v>
      </c>
    </row>
    <row r="486" spans="2:12">
      <c r="B486" s="3" t="s">
        <v>1753</v>
      </c>
      <c r="C486">
        <f>IFERROR(INDEX('C2B004CPU2'!N:N,MATCH('По платам'!B486,'C2B004CPU2'!L:L,0)),0)</f>
        <v>0</v>
      </c>
      <c r="D486">
        <f>IFERROR(INDEX(SBC_DIO_E1N004INF1!N:N,MATCH('По платам'!$B486,SBC_DIO_E1N004INF1!L:L,0)),0)</f>
        <v>0</v>
      </c>
      <c r="E486">
        <f>IFERROR(INDEX(SBC_35_2C3_1_E1E001CPU1E!N:N,MATCH('По платам'!$B486,SBC_35_2C3_1_E1E001CPU1E!L:L,0)),0)</f>
        <v>1</v>
      </c>
      <c r="F486">
        <f>IFERROR(INDEX(PCIe104_PSU_E1N001PWR1!N:N,MATCH('По платам'!$B486,PCIe104_PSU_E1N001PWR1!L:L,0)),0)</f>
        <v>0</v>
      </c>
      <c r="G486">
        <f>IFERROR(INDEX(PCIe104_INF2_E1N006INF1!N:N,MATCH('По платам'!$B486,PCIe104_INF2_E1N006INF1!L:L,0)),0)</f>
        <v>0</v>
      </c>
      <c r="H486">
        <f>IFERROR(INDEX(PCIe104_CON_E1N005INF1!N:N,MATCH('По платам'!$B486,PCIe104_CON_E1N005INF1!L:L,0)),0)</f>
        <v>0</v>
      </c>
      <c r="I486">
        <f>IFERROR(INDEX('EM-PCIE104-CPU_E1E001CPU1E'!N:N,MATCH('По платам'!$B486,'EM-PCIE104-CPU_E1E001CPU1E'!L:L,0)),0)</f>
        <v>0</v>
      </c>
      <c r="J486">
        <f>IFERROR(INDEX(PCIe104_INF_E1N001INF1!N:N,MATCH('По платам'!$B486,PCIe104_INF_E1N001INF1!L:L,0)),0)</f>
        <v>0</v>
      </c>
      <c r="K486">
        <f>IFERROR(INDEX(IB_2RS232_E1N002INF1!N:N,MATCH('По платам'!$B486,IB_2RS232_E1N002INF1!L:L,0)),0)</f>
        <v>0</v>
      </c>
      <c r="L486">
        <f>IFERROR(INDEX(IB_2CAN_E1N003INF1!N:N,MATCH('По платам'!$B486,IB_2CAN_E1N003INF1!L:L,0)),0)</f>
        <v>0</v>
      </c>
    </row>
    <row r="487" spans="2:12">
      <c r="B487" s="3" t="s">
        <v>1814</v>
      </c>
      <c r="C487">
        <f>IFERROR(INDEX('C2B004CPU2'!N:N,MATCH('По платам'!B487,'C2B004CPU2'!L:L,0)),0)</f>
        <v>0</v>
      </c>
      <c r="D487">
        <f>IFERROR(INDEX(SBC_DIO_E1N004INF1!N:N,MATCH('По платам'!$B487,SBC_DIO_E1N004INF1!L:L,0)),0)</f>
        <v>0</v>
      </c>
      <c r="E487">
        <f>IFERROR(INDEX(SBC_35_2C3_1_E1E001CPU1E!N:N,MATCH('По платам'!$B487,SBC_35_2C3_1_E1E001CPU1E!L:L,0)),0)</f>
        <v>2</v>
      </c>
      <c r="F487">
        <f>IFERROR(INDEX(PCIe104_PSU_E1N001PWR1!N:N,MATCH('По платам'!$B487,PCIe104_PSU_E1N001PWR1!L:L,0)),0)</f>
        <v>0</v>
      </c>
      <c r="G487">
        <f>IFERROR(INDEX(PCIe104_INF2_E1N006INF1!N:N,MATCH('По платам'!$B487,PCIe104_INF2_E1N006INF1!L:L,0)),0)</f>
        <v>0</v>
      </c>
      <c r="H487">
        <f>IFERROR(INDEX(PCIe104_CON_E1N005INF1!N:N,MATCH('По платам'!$B487,PCIe104_CON_E1N005INF1!L:L,0)),0)</f>
        <v>0</v>
      </c>
      <c r="I487">
        <f>IFERROR(INDEX('EM-PCIE104-CPU_E1E001CPU1E'!N:N,MATCH('По платам'!$B487,'EM-PCIE104-CPU_E1E001CPU1E'!L:L,0)),0)</f>
        <v>0</v>
      </c>
      <c r="J487">
        <f>IFERROR(INDEX(PCIe104_INF_E1N001INF1!N:N,MATCH('По платам'!$B487,PCIe104_INF_E1N001INF1!L:L,0)),0)</f>
        <v>0</v>
      </c>
      <c r="K487">
        <f>IFERROR(INDEX(IB_2RS232_E1N002INF1!N:N,MATCH('По платам'!$B487,IB_2RS232_E1N002INF1!L:L,0)),0)</f>
        <v>0</v>
      </c>
      <c r="L487">
        <f>IFERROR(INDEX(IB_2CAN_E1N003INF1!N:N,MATCH('По платам'!$B487,IB_2CAN_E1N003INF1!L:L,0)),0)</f>
        <v>0</v>
      </c>
    </row>
    <row r="488" spans="2:12">
      <c r="B488" s="3" t="s">
        <v>1741</v>
      </c>
      <c r="C488">
        <f>IFERROR(INDEX('C2B004CPU2'!N:N,MATCH('По платам'!B488,'C2B004CPU2'!L:L,0)),0)</f>
        <v>0</v>
      </c>
      <c r="D488">
        <f>IFERROR(INDEX(SBC_DIO_E1N004INF1!N:N,MATCH('По платам'!$B488,SBC_DIO_E1N004INF1!L:L,0)),0)</f>
        <v>0</v>
      </c>
      <c r="E488">
        <f>IFERROR(INDEX(SBC_35_2C3_1_E1E001CPU1E!N:N,MATCH('По платам'!$B488,SBC_35_2C3_1_E1E001CPU1E!L:L,0)),0)</f>
        <v>1</v>
      </c>
      <c r="F488">
        <f>IFERROR(INDEX(PCIe104_PSU_E1N001PWR1!N:N,MATCH('По платам'!$B488,PCIe104_PSU_E1N001PWR1!L:L,0)),0)</f>
        <v>0</v>
      </c>
      <c r="G488">
        <f>IFERROR(INDEX(PCIe104_INF2_E1N006INF1!N:N,MATCH('По платам'!$B488,PCIe104_INF2_E1N006INF1!L:L,0)),0)</f>
        <v>0</v>
      </c>
      <c r="H488">
        <f>IFERROR(INDEX(PCIe104_CON_E1N005INF1!N:N,MATCH('По платам'!$B488,PCIe104_CON_E1N005INF1!L:L,0)),0)</f>
        <v>0</v>
      </c>
      <c r="I488">
        <f>IFERROR(INDEX('EM-PCIE104-CPU_E1E001CPU1E'!N:N,MATCH('По платам'!$B488,'EM-PCIE104-CPU_E1E001CPU1E'!L:L,0)),0)</f>
        <v>0</v>
      </c>
      <c r="J488">
        <f>IFERROR(INDEX(PCIe104_INF_E1N001INF1!N:N,MATCH('По платам'!$B488,PCIe104_INF_E1N001INF1!L:L,0)),0)</f>
        <v>0</v>
      </c>
      <c r="K488">
        <f>IFERROR(INDEX(IB_2RS232_E1N002INF1!N:N,MATCH('По платам'!$B488,IB_2RS232_E1N002INF1!L:L,0)),0)</f>
        <v>0</v>
      </c>
      <c r="L488">
        <f>IFERROR(INDEX(IB_2CAN_E1N003INF1!N:N,MATCH('По платам'!$B488,IB_2CAN_E1N003INF1!L:L,0)),0)</f>
        <v>0</v>
      </c>
    </row>
    <row r="489" spans="2:12">
      <c r="B489" s="3" t="s">
        <v>1760</v>
      </c>
      <c r="C489">
        <f>IFERROR(INDEX('C2B004CPU2'!N:N,MATCH('По платам'!B489,'C2B004CPU2'!L:L,0)),0)</f>
        <v>0</v>
      </c>
      <c r="D489">
        <f>IFERROR(INDEX(SBC_DIO_E1N004INF1!N:N,MATCH('По платам'!$B489,SBC_DIO_E1N004INF1!L:L,0)),0)</f>
        <v>0</v>
      </c>
      <c r="E489">
        <f>IFERROR(INDEX(SBC_35_2C3_1_E1E001CPU1E!N:N,MATCH('По платам'!$B489,SBC_35_2C3_1_E1E001CPU1E!L:L,0)),0)</f>
        <v>1</v>
      </c>
      <c r="F489">
        <f>IFERROR(INDEX(PCIe104_PSU_E1N001PWR1!N:N,MATCH('По платам'!$B489,PCIe104_PSU_E1N001PWR1!L:L,0)),0)</f>
        <v>0</v>
      </c>
      <c r="G489">
        <f>IFERROR(INDEX(PCIe104_INF2_E1N006INF1!N:N,MATCH('По платам'!$B489,PCIe104_INF2_E1N006INF1!L:L,0)),0)</f>
        <v>0</v>
      </c>
      <c r="H489">
        <f>IFERROR(INDEX(PCIe104_CON_E1N005INF1!N:N,MATCH('По платам'!$B489,PCIe104_CON_E1N005INF1!L:L,0)),0)</f>
        <v>0</v>
      </c>
      <c r="I489">
        <f>IFERROR(INDEX('EM-PCIE104-CPU_E1E001CPU1E'!N:N,MATCH('По платам'!$B489,'EM-PCIE104-CPU_E1E001CPU1E'!L:L,0)),0)</f>
        <v>0</v>
      </c>
      <c r="J489">
        <f>IFERROR(INDEX(PCIe104_INF_E1N001INF1!N:N,MATCH('По платам'!$B489,PCIe104_INF_E1N001INF1!L:L,0)),0)</f>
        <v>0</v>
      </c>
      <c r="K489">
        <f>IFERROR(INDEX(IB_2RS232_E1N002INF1!N:N,MATCH('По платам'!$B489,IB_2RS232_E1N002INF1!L:L,0)),0)</f>
        <v>0</v>
      </c>
      <c r="L489">
        <f>IFERROR(INDEX(IB_2CAN_E1N003INF1!N:N,MATCH('По платам'!$B489,IB_2CAN_E1N003INF1!L:L,0)),0)</f>
        <v>0</v>
      </c>
    </row>
    <row r="490" spans="2:12">
      <c r="B490" s="3" t="s">
        <v>989</v>
      </c>
      <c r="C490">
        <f>IFERROR(INDEX('C2B004CPU2'!N:N,MATCH('По платам'!B490,'C2B004CPU2'!L:L,0)),0)</f>
        <v>0</v>
      </c>
      <c r="D490">
        <f>IFERROR(INDEX(SBC_DIO_E1N004INF1!N:N,MATCH('По платам'!$B490,SBC_DIO_E1N004INF1!L:L,0)),0)</f>
        <v>0</v>
      </c>
      <c r="E490">
        <f>IFERROR(INDEX(SBC_35_2C3_1_E1E001CPU1E!N:N,MATCH('По платам'!$B490,SBC_35_2C3_1_E1E001CPU1E!L:L,0)),0)</f>
        <v>0</v>
      </c>
      <c r="F490">
        <f>IFERROR(INDEX(PCIe104_PSU_E1N001PWR1!N:N,MATCH('По платам'!$B490,PCIe104_PSU_E1N001PWR1!L:L,0)),0)</f>
        <v>0</v>
      </c>
      <c r="G490">
        <f>IFERROR(INDEX(PCIe104_INF2_E1N006INF1!N:N,MATCH('По платам'!$B490,PCIe104_INF2_E1N006INF1!L:L,0)),0)</f>
        <v>0</v>
      </c>
      <c r="H490">
        <f>IFERROR(INDEX(PCIe104_CON_E1N005INF1!N:N,MATCH('По платам'!$B490,PCIe104_CON_E1N005INF1!L:L,0)),0)</f>
        <v>0</v>
      </c>
      <c r="I490">
        <f>IFERROR(INDEX('EM-PCIE104-CPU_E1E001CPU1E'!N:N,MATCH('По платам'!$B490,'EM-PCIE104-CPU_E1E001CPU1E'!L:L,0)),0)</f>
        <v>1</v>
      </c>
      <c r="J490">
        <f>IFERROR(INDEX(PCIe104_INF_E1N001INF1!N:N,MATCH('По платам'!$B490,PCIe104_INF_E1N001INF1!L:L,0)),0)</f>
        <v>0</v>
      </c>
      <c r="K490">
        <f>IFERROR(INDEX(IB_2RS232_E1N002INF1!N:N,MATCH('По платам'!$B490,IB_2RS232_E1N002INF1!L:L,0)),0)</f>
        <v>0</v>
      </c>
      <c r="L490">
        <f>IFERROR(INDEX(IB_2CAN_E1N003INF1!N:N,MATCH('По платам'!$B490,IB_2CAN_E1N003INF1!L:L,0)),0)</f>
        <v>0</v>
      </c>
    </row>
    <row r="491" spans="2:12">
      <c r="B491" s="3" t="s">
        <v>1889</v>
      </c>
      <c r="C491">
        <f>IFERROR(INDEX('C2B004CPU2'!N:N,MATCH('По платам'!B491,'C2B004CPU2'!L:L,0)),0)</f>
        <v>0</v>
      </c>
      <c r="D491">
        <f>IFERROR(INDEX(SBC_DIO_E1N004INF1!N:N,MATCH('По платам'!$B491,SBC_DIO_E1N004INF1!L:L,0)),0)</f>
        <v>0</v>
      </c>
      <c r="E491">
        <f>IFERROR(INDEX(SBC_35_2C3_1_E1E001CPU1E!N:N,MATCH('По платам'!$B491,SBC_35_2C3_1_E1E001CPU1E!L:L,0)),0)</f>
        <v>1</v>
      </c>
      <c r="F491">
        <f>IFERROR(INDEX(PCIe104_PSU_E1N001PWR1!N:N,MATCH('По платам'!$B491,PCIe104_PSU_E1N001PWR1!L:L,0)),0)</f>
        <v>0</v>
      </c>
      <c r="G491">
        <f>IFERROR(INDEX(PCIe104_INF2_E1N006INF1!N:N,MATCH('По платам'!$B491,PCIe104_INF2_E1N006INF1!L:L,0)),0)</f>
        <v>0</v>
      </c>
      <c r="H491">
        <f>IFERROR(INDEX(PCIe104_CON_E1N005INF1!N:N,MATCH('По платам'!$B491,PCIe104_CON_E1N005INF1!L:L,0)),0)</f>
        <v>0</v>
      </c>
      <c r="I491">
        <f>IFERROR(INDEX('EM-PCIE104-CPU_E1E001CPU1E'!N:N,MATCH('По платам'!$B491,'EM-PCIE104-CPU_E1E001CPU1E'!L:L,0)),0)</f>
        <v>0</v>
      </c>
      <c r="J491">
        <f>IFERROR(INDEX(PCIe104_INF_E1N001INF1!N:N,MATCH('По платам'!$B491,PCIe104_INF_E1N001INF1!L:L,0)),0)</f>
        <v>0</v>
      </c>
      <c r="K491">
        <f>IFERROR(INDEX(IB_2RS232_E1N002INF1!N:N,MATCH('По платам'!$B491,IB_2RS232_E1N002INF1!L:L,0)),0)</f>
        <v>0</v>
      </c>
      <c r="L491">
        <f>IFERROR(INDEX(IB_2CAN_E1N003INF1!N:N,MATCH('По платам'!$B491,IB_2CAN_E1N003INF1!L:L,0)),0)</f>
        <v>0</v>
      </c>
    </row>
    <row r="492" spans="2:12">
      <c r="B492" s="3" t="s">
        <v>1881</v>
      </c>
      <c r="C492">
        <f>IFERROR(INDEX('C2B004CPU2'!N:N,MATCH('По платам'!B492,'C2B004CPU2'!L:L,0)),0)</f>
        <v>0</v>
      </c>
      <c r="D492">
        <f>IFERROR(INDEX(SBC_DIO_E1N004INF1!N:N,MATCH('По платам'!$B492,SBC_DIO_E1N004INF1!L:L,0)),0)</f>
        <v>0</v>
      </c>
      <c r="E492">
        <f>IFERROR(INDEX(SBC_35_2C3_1_E1E001CPU1E!N:N,MATCH('По платам'!$B492,SBC_35_2C3_1_E1E001CPU1E!L:L,0)),0)</f>
        <v>1</v>
      </c>
      <c r="F492">
        <f>IFERROR(INDEX(PCIe104_PSU_E1N001PWR1!N:N,MATCH('По платам'!$B492,PCIe104_PSU_E1N001PWR1!L:L,0)),0)</f>
        <v>0</v>
      </c>
      <c r="G492">
        <f>IFERROR(INDEX(PCIe104_INF2_E1N006INF1!N:N,MATCH('По платам'!$B492,PCIe104_INF2_E1N006INF1!L:L,0)),0)</f>
        <v>0</v>
      </c>
      <c r="H492">
        <f>IFERROR(INDEX(PCIe104_CON_E1N005INF1!N:N,MATCH('По платам'!$B492,PCIe104_CON_E1N005INF1!L:L,0)),0)</f>
        <v>0</v>
      </c>
      <c r="I492">
        <f>IFERROR(INDEX('EM-PCIE104-CPU_E1E001CPU1E'!N:N,MATCH('По платам'!$B492,'EM-PCIE104-CPU_E1E001CPU1E'!L:L,0)),0)</f>
        <v>0</v>
      </c>
      <c r="J492">
        <f>IFERROR(INDEX(PCIe104_INF_E1N001INF1!N:N,MATCH('По платам'!$B492,PCIe104_INF_E1N001INF1!L:L,0)),0)</f>
        <v>0</v>
      </c>
      <c r="K492">
        <f>IFERROR(INDEX(IB_2RS232_E1N002INF1!N:N,MATCH('По платам'!$B492,IB_2RS232_E1N002INF1!L:L,0)),0)</f>
        <v>0</v>
      </c>
      <c r="L492">
        <f>IFERROR(INDEX(IB_2CAN_E1N003INF1!N:N,MATCH('По платам'!$B492,IB_2CAN_E1N003INF1!L:L,0)),0)</f>
        <v>0</v>
      </c>
    </row>
    <row r="493" spans="2:12">
      <c r="B493" s="3" t="s">
        <v>1897</v>
      </c>
      <c r="C493">
        <f>IFERROR(INDEX('C2B004CPU2'!N:N,MATCH('По платам'!B493,'C2B004CPU2'!L:L,0)),0)</f>
        <v>0</v>
      </c>
      <c r="D493">
        <f>IFERROR(INDEX(SBC_DIO_E1N004INF1!N:N,MATCH('По платам'!$B493,SBC_DIO_E1N004INF1!L:L,0)),0)</f>
        <v>0</v>
      </c>
      <c r="E493">
        <f>IFERROR(INDEX(SBC_35_2C3_1_E1E001CPU1E!N:N,MATCH('По платам'!$B493,SBC_35_2C3_1_E1E001CPU1E!L:L,0)),0)</f>
        <v>1</v>
      </c>
      <c r="F493">
        <f>IFERROR(INDEX(PCIe104_PSU_E1N001PWR1!N:N,MATCH('По платам'!$B493,PCIe104_PSU_E1N001PWR1!L:L,0)),0)</f>
        <v>0</v>
      </c>
      <c r="G493">
        <f>IFERROR(INDEX(PCIe104_INF2_E1N006INF1!N:N,MATCH('По платам'!$B493,PCIe104_INF2_E1N006INF1!L:L,0)),0)</f>
        <v>0</v>
      </c>
      <c r="H493">
        <f>IFERROR(INDEX(PCIe104_CON_E1N005INF1!N:N,MATCH('По платам'!$B493,PCIe104_CON_E1N005INF1!L:L,0)),0)</f>
        <v>0</v>
      </c>
      <c r="I493">
        <f>IFERROR(INDEX('EM-PCIE104-CPU_E1E001CPU1E'!N:N,MATCH('По платам'!$B493,'EM-PCIE104-CPU_E1E001CPU1E'!L:L,0)),0)</f>
        <v>0</v>
      </c>
      <c r="J493">
        <f>IFERROR(INDEX(PCIe104_INF_E1N001INF1!N:N,MATCH('По платам'!$B493,PCIe104_INF_E1N001INF1!L:L,0)),0)</f>
        <v>0</v>
      </c>
      <c r="K493">
        <f>IFERROR(INDEX(IB_2RS232_E1N002INF1!N:N,MATCH('По платам'!$B493,IB_2RS232_E1N002INF1!L:L,0)),0)</f>
        <v>0</v>
      </c>
      <c r="L493">
        <f>IFERROR(INDEX(IB_2CAN_E1N003INF1!N:N,MATCH('По платам'!$B493,IB_2CAN_E1N003INF1!L:L,0)),0)</f>
        <v>0</v>
      </c>
    </row>
    <row r="494" spans="2:12">
      <c r="B494" s="3" t="s">
        <v>977</v>
      </c>
      <c r="C494">
        <f>IFERROR(INDEX('C2B004CPU2'!N:N,MATCH('По платам'!B494,'C2B004CPU2'!L:L,0)),0)</f>
        <v>0</v>
      </c>
      <c r="D494">
        <f>IFERROR(INDEX(SBC_DIO_E1N004INF1!N:N,MATCH('По платам'!$B494,SBC_DIO_E1N004INF1!L:L,0)),0)</f>
        <v>0</v>
      </c>
      <c r="E494">
        <f>IFERROR(INDEX(SBC_35_2C3_1_E1E001CPU1E!N:N,MATCH('По платам'!$B494,SBC_35_2C3_1_E1E001CPU1E!L:L,0)),0)</f>
        <v>1</v>
      </c>
      <c r="F494">
        <f>IFERROR(INDEX(PCIe104_PSU_E1N001PWR1!N:N,MATCH('По платам'!$B494,PCIe104_PSU_E1N001PWR1!L:L,0)),0)</f>
        <v>0</v>
      </c>
      <c r="G494">
        <f>IFERROR(INDEX(PCIe104_INF2_E1N006INF1!N:N,MATCH('По платам'!$B494,PCIe104_INF2_E1N006INF1!L:L,0)),0)</f>
        <v>0</v>
      </c>
      <c r="H494">
        <f>IFERROR(INDEX(PCIe104_CON_E1N005INF1!N:N,MATCH('По платам'!$B494,PCIe104_CON_E1N005INF1!L:L,0)),0)</f>
        <v>0</v>
      </c>
      <c r="I494">
        <f>IFERROR(INDEX('EM-PCIE104-CPU_E1E001CPU1E'!N:N,MATCH('По платам'!$B494,'EM-PCIE104-CPU_E1E001CPU1E'!L:L,0)),0)</f>
        <v>1</v>
      </c>
      <c r="J494">
        <f>IFERROR(INDEX(PCIe104_INF_E1N001INF1!N:N,MATCH('По платам'!$B494,PCIe104_INF_E1N001INF1!L:L,0)),0)</f>
        <v>0</v>
      </c>
      <c r="K494">
        <f>IFERROR(INDEX(IB_2RS232_E1N002INF1!N:N,MATCH('По платам'!$B494,IB_2RS232_E1N002INF1!L:L,0)),0)</f>
        <v>0</v>
      </c>
      <c r="L494">
        <f>IFERROR(INDEX(IB_2CAN_E1N003INF1!N:N,MATCH('По платам'!$B494,IB_2CAN_E1N003INF1!L:L,0)),0)</f>
        <v>0</v>
      </c>
    </row>
    <row r="495" spans="2:12">
      <c r="B495" s="3" t="s">
        <v>1783</v>
      </c>
      <c r="C495">
        <f>IFERROR(INDEX('C2B004CPU2'!N:N,MATCH('По платам'!B495,'C2B004CPU2'!L:L,0)),0)</f>
        <v>0</v>
      </c>
      <c r="D495">
        <f>IFERROR(INDEX(SBC_DIO_E1N004INF1!N:N,MATCH('По платам'!$B495,SBC_DIO_E1N004INF1!L:L,0)),0)</f>
        <v>0</v>
      </c>
      <c r="E495">
        <f>IFERROR(INDEX(SBC_35_2C3_1_E1E001CPU1E!N:N,MATCH('По платам'!$B495,SBC_35_2C3_1_E1E001CPU1E!L:L,0)),0)</f>
        <v>8</v>
      </c>
      <c r="F495">
        <f>IFERROR(INDEX(PCIe104_PSU_E1N001PWR1!N:N,MATCH('По платам'!$B495,PCIe104_PSU_E1N001PWR1!L:L,0)),0)</f>
        <v>0</v>
      </c>
      <c r="G495">
        <f>IFERROR(INDEX(PCIe104_INF2_E1N006INF1!N:N,MATCH('По платам'!$B495,PCIe104_INF2_E1N006INF1!L:L,0)),0)</f>
        <v>0</v>
      </c>
      <c r="H495">
        <f>IFERROR(INDEX(PCIe104_CON_E1N005INF1!N:N,MATCH('По платам'!$B495,PCIe104_CON_E1N005INF1!L:L,0)),0)</f>
        <v>0</v>
      </c>
      <c r="I495">
        <f>IFERROR(INDEX('EM-PCIE104-CPU_E1E001CPU1E'!N:N,MATCH('По платам'!$B495,'EM-PCIE104-CPU_E1E001CPU1E'!L:L,0)),0)</f>
        <v>0</v>
      </c>
      <c r="J495">
        <f>IFERROR(INDEX(PCIe104_INF_E1N001INF1!N:N,MATCH('По платам'!$B495,PCIe104_INF_E1N001INF1!L:L,0)),0)</f>
        <v>0</v>
      </c>
      <c r="K495">
        <f>IFERROR(INDEX(IB_2RS232_E1N002INF1!N:N,MATCH('По платам'!$B495,IB_2RS232_E1N002INF1!L:L,0)),0)</f>
        <v>0</v>
      </c>
      <c r="L495">
        <f>IFERROR(INDEX(IB_2CAN_E1N003INF1!N:N,MATCH('По платам'!$B495,IB_2CAN_E1N003INF1!L:L,0)),0)</f>
        <v>0</v>
      </c>
    </row>
    <row r="496" spans="2:12">
      <c r="B496" s="3" t="s">
        <v>96</v>
      </c>
      <c r="C496">
        <f>IFERROR(INDEX('C2B004CPU2'!N:N,MATCH('По платам'!B496,'C2B004CPU2'!L:L,0)),0)</f>
        <v>0</v>
      </c>
      <c r="D496">
        <f>IFERROR(INDEX(SBC_DIO_E1N004INF1!N:N,MATCH('По платам'!$B496,SBC_DIO_E1N004INF1!L:L,0)),0)</f>
        <v>0</v>
      </c>
      <c r="E496">
        <f>IFERROR(INDEX(SBC_35_2C3_1_E1E001CPU1E!N:N,MATCH('По платам'!$B496,SBC_35_2C3_1_E1E001CPU1E!L:L,0)),0)</f>
        <v>18</v>
      </c>
      <c r="F496">
        <f>IFERROR(INDEX(PCIe104_PSU_E1N001PWR1!N:N,MATCH('По платам'!$B496,PCIe104_PSU_E1N001PWR1!L:L,0)),0)</f>
        <v>0</v>
      </c>
      <c r="G496">
        <f>IFERROR(INDEX(PCIe104_INF2_E1N006INF1!N:N,MATCH('По платам'!$B496,PCIe104_INF2_E1N006INF1!L:L,0)),0)</f>
        <v>0</v>
      </c>
      <c r="H496">
        <f>IFERROR(INDEX(PCIe104_CON_E1N005INF1!N:N,MATCH('По платам'!$B496,PCIe104_CON_E1N005INF1!L:L,0)),0)</f>
        <v>0</v>
      </c>
      <c r="I496">
        <f>IFERROR(INDEX('EM-PCIE104-CPU_E1E001CPU1E'!N:N,MATCH('По платам'!$B496,'EM-PCIE104-CPU_E1E001CPU1E'!L:L,0)),0)</f>
        <v>5</v>
      </c>
      <c r="J496">
        <f>IFERROR(INDEX(PCIe104_INF_E1N001INF1!N:N,MATCH('По платам'!$B496,PCIe104_INF_E1N001INF1!L:L,0)),0)</f>
        <v>0</v>
      </c>
      <c r="K496">
        <f>IFERROR(INDEX(IB_2RS232_E1N002INF1!N:N,MATCH('По платам'!$B496,IB_2RS232_E1N002INF1!L:L,0)),0)</f>
        <v>1</v>
      </c>
      <c r="L496">
        <f>IFERROR(INDEX(IB_2CAN_E1N003INF1!N:N,MATCH('По платам'!$B496,IB_2CAN_E1N003INF1!L:L,0)),0)</f>
        <v>2</v>
      </c>
    </row>
    <row r="497" spans="2:12">
      <c r="B497" s="3" t="s">
        <v>1807</v>
      </c>
      <c r="C497">
        <f>IFERROR(INDEX('C2B004CPU2'!N:N,MATCH('По платам'!B497,'C2B004CPU2'!L:L,0)),0)</f>
        <v>0</v>
      </c>
      <c r="D497">
        <f>IFERROR(INDEX(SBC_DIO_E1N004INF1!N:N,MATCH('По платам'!$B497,SBC_DIO_E1N004INF1!L:L,0)),0)</f>
        <v>0</v>
      </c>
      <c r="E497">
        <f>IFERROR(INDEX(SBC_35_2C3_1_E1E001CPU1E!N:N,MATCH('По платам'!$B497,SBC_35_2C3_1_E1E001CPU1E!L:L,0)),0)</f>
        <v>1</v>
      </c>
      <c r="F497">
        <f>IFERROR(INDEX(PCIe104_PSU_E1N001PWR1!N:N,MATCH('По платам'!$B497,PCIe104_PSU_E1N001PWR1!L:L,0)),0)</f>
        <v>0</v>
      </c>
      <c r="G497">
        <f>IFERROR(INDEX(PCIe104_INF2_E1N006INF1!N:N,MATCH('По платам'!$B497,PCIe104_INF2_E1N006INF1!L:L,0)),0)</f>
        <v>0</v>
      </c>
      <c r="H497">
        <f>IFERROR(INDEX(PCIe104_CON_E1N005INF1!N:N,MATCH('По платам'!$B497,PCIe104_CON_E1N005INF1!L:L,0)),0)</f>
        <v>0</v>
      </c>
      <c r="I497">
        <f>IFERROR(INDEX('EM-PCIE104-CPU_E1E001CPU1E'!N:N,MATCH('По платам'!$B497,'EM-PCIE104-CPU_E1E001CPU1E'!L:L,0)),0)</f>
        <v>0</v>
      </c>
      <c r="J497">
        <f>IFERROR(INDEX(PCIe104_INF_E1N001INF1!N:N,MATCH('По платам'!$B497,PCIe104_INF_E1N001INF1!L:L,0)),0)</f>
        <v>0</v>
      </c>
      <c r="K497">
        <f>IFERROR(INDEX(IB_2RS232_E1N002INF1!N:N,MATCH('По платам'!$B497,IB_2RS232_E1N002INF1!L:L,0)),0)</f>
        <v>0</v>
      </c>
      <c r="L497">
        <f>IFERROR(INDEX(IB_2CAN_E1N003INF1!N:N,MATCH('По платам'!$B497,IB_2CAN_E1N003INF1!L:L,0)),0)</f>
        <v>0</v>
      </c>
    </row>
    <row r="498" spans="2:12">
      <c r="B498" s="3" t="s">
        <v>993</v>
      </c>
      <c r="C498">
        <f>IFERROR(INDEX('C2B004CPU2'!N:N,MATCH('По платам'!B498,'C2B004CPU2'!L:L,0)),0)</f>
        <v>0</v>
      </c>
      <c r="D498">
        <f>IFERROR(INDEX(SBC_DIO_E1N004INF1!N:N,MATCH('По платам'!$B498,SBC_DIO_E1N004INF1!L:L,0)),0)</f>
        <v>0</v>
      </c>
      <c r="E498">
        <f>IFERROR(INDEX(SBC_35_2C3_1_E1E001CPU1E!N:N,MATCH('По платам'!$B498,SBC_35_2C3_1_E1E001CPU1E!L:L,0)),0)</f>
        <v>1</v>
      </c>
      <c r="F498">
        <f>IFERROR(INDEX(PCIe104_PSU_E1N001PWR1!N:N,MATCH('По платам'!$B498,PCIe104_PSU_E1N001PWR1!L:L,0)),0)</f>
        <v>0</v>
      </c>
      <c r="G498">
        <f>IFERROR(INDEX(PCIe104_INF2_E1N006INF1!N:N,MATCH('По платам'!$B498,PCIe104_INF2_E1N006INF1!L:L,0)),0)</f>
        <v>0</v>
      </c>
      <c r="H498">
        <f>IFERROR(INDEX(PCIe104_CON_E1N005INF1!N:N,MATCH('По платам'!$B498,PCIe104_CON_E1N005INF1!L:L,0)),0)</f>
        <v>0</v>
      </c>
      <c r="I498">
        <f>IFERROR(INDEX('EM-PCIE104-CPU_E1E001CPU1E'!N:N,MATCH('По платам'!$B498,'EM-PCIE104-CPU_E1E001CPU1E'!L:L,0)),0)</f>
        <v>1</v>
      </c>
      <c r="J498">
        <f>IFERROR(INDEX(PCIe104_INF_E1N001INF1!N:N,MATCH('По платам'!$B498,PCIe104_INF_E1N001INF1!L:L,0)),0)</f>
        <v>0</v>
      </c>
      <c r="K498">
        <f>IFERROR(INDEX(IB_2RS232_E1N002INF1!N:N,MATCH('По платам'!$B498,IB_2RS232_E1N002INF1!L:L,0)),0)</f>
        <v>0</v>
      </c>
      <c r="L498">
        <f>IFERROR(INDEX(IB_2CAN_E1N003INF1!N:N,MATCH('По платам'!$B498,IB_2CAN_E1N003INF1!L:L,0)),0)</f>
        <v>0</v>
      </c>
    </row>
    <row r="499" spans="2:12">
      <c r="B499" s="3" t="s">
        <v>1843</v>
      </c>
      <c r="C499">
        <f>IFERROR(INDEX('C2B004CPU2'!N:N,MATCH('По платам'!B499,'C2B004CPU2'!L:L,0)),0)</f>
        <v>0</v>
      </c>
      <c r="D499">
        <f>IFERROR(INDEX(SBC_DIO_E1N004INF1!N:N,MATCH('По платам'!$B499,SBC_DIO_E1N004INF1!L:L,0)),0)</f>
        <v>0</v>
      </c>
      <c r="E499">
        <f>IFERROR(INDEX(SBC_35_2C3_1_E1E001CPU1E!N:N,MATCH('По платам'!$B499,SBC_35_2C3_1_E1E001CPU1E!L:L,0)),0)</f>
        <v>1</v>
      </c>
      <c r="F499">
        <f>IFERROR(INDEX(PCIe104_PSU_E1N001PWR1!N:N,MATCH('По платам'!$B499,PCIe104_PSU_E1N001PWR1!L:L,0)),0)</f>
        <v>0</v>
      </c>
      <c r="G499">
        <f>IFERROR(INDEX(PCIe104_INF2_E1N006INF1!N:N,MATCH('По платам'!$B499,PCIe104_INF2_E1N006INF1!L:L,0)),0)</f>
        <v>0</v>
      </c>
      <c r="H499">
        <f>IFERROR(INDEX(PCIe104_CON_E1N005INF1!N:N,MATCH('По платам'!$B499,PCIe104_CON_E1N005INF1!L:L,0)),0)</f>
        <v>0</v>
      </c>
      <c r="I499">
        <f>IFERROR(INDEX('EM-PCIE104-CPU_E1E001CPU1E'!N:N,MATCH('По платам'!$B499,'EM-PCIE104-CPU_E1E001CPU1E'!L:L,0)),0)</f>
        <v>0</v>
      </c>
      <c r="J499">
        <f>IFERROR(INDEX(PCIe104_INF_E1N001INF1!N:N,MATCH('По платам'!$B499,PCIe104_INF_E1N001INF1!L:L,0)),0)</f>
        <v>0</v>
      </c>
      <c r="K499">
        <f>IFERROR(INDEX(IB_2RS232_E1N002INF1!N:N,MATCH('По платам'!$B499,IB_2RS232_E1N002INF1!L:L,0)),0)</f>
        <v>0</v>
      </c>
      <c r="L499">
        <f>IFERROR(INDEX(IB_2CAN_E1N003INF1!N:N,MATCH('По платам'!$B499,IB_2CAN_E1N003INF1!L:L,0)),0)</f>
        <v>0</v>
      </c>
    </row>
    <row r="500" spans="2:12">
      <c r="B500" s="3" t="s">
        <v>1848</v>
      </c>
      <c r="C500">
        <f>IFERROR(INDEX('C2B004CPU2'!N:N,MATCH('По платам'!B500,'C2B004CPU2'!L:L,0)),0)</f>
        <v>0</v>
      </c>
      <c r="D500">
        <f>IFERROR(INDEX(SBC_DIO_E1N004INF1!N:N,MATCH('По платам'!$B500,SBC_DIO_E1N004INF1!L:L,0)),0)</f>
        <v>0</v>
      </c>
      <c r="E500">
        <f>IFERROR(INDEX(SBC_35_2C3_1_E1E001CPU1E!N:N,MATCH('По платам'!$B500,SBC_35_2C3_1_E1E001CPU1E!L:L,0)),0)</f>
        <v>1</v>
      </c>
      <c r="F500">
        <f>IFERROR(INDEX(PCIe104_PSU_E1N001PWR1!N:N,MATCH('По платам'!$B500,PCIe104_PSU_E1N001PWR1!L:L,0)),0)</f>
        <v>0</v>
      </c>
      <c r="G500">
        <f>IFERROR(INDEX(PCIe104_INF2_E1N006INF1!N:N,MATCH('По платам'!$B500,PCIe104_INF2_E1N006INF1!L:L,0)),0)</f>
        <v>0</v>
      </c>
      <c r="H500">
        <f>IFERROR(INDEX(PCIe104_CON_E1N005INF1!N:N,MATCH('По платам'!$B500,PCIe104_CON_E1N005INF1!L:L,0)),0)</f>
        <v>0</v>
      </c>
      <c r="I500">
        <f>IFERROR(INDEX('EM-PCIE104-CPU_E1E001CPU1E'!N:N,MATCH('По платам'!$B500,'EM-PCIE104-CPU_E1E001CPU1E'!L:L,0)),0)</f>
        <v>0</v>
      </c>
      <c r="J500">
        <f>IFERROR(INDEX(PCIe104_INF_E1N001INF1!N:N,MATCH('По платам'!$B500,PCIe104_INF_E1N001INF1!L:L,0)),0)</f>
        <v>0</v>
      </c>
      <c r="K500">
        <f>IFERROR(INDEX(IB_2RS232_E1N002INF1!N:N,MATCH('По платам'!$B500,IB_2RS232_E1N002INF1!L:L,0)),0)</f>
        <v>0</v>
      </c>
      <c r="L500">
        <f>IFERROR(INDEX(IB_2CAN_E1N003INF1!N:N,MATCH('По платам'!$B500,IB_2CAN_E1N003INF1!L:L,0)),0)</f>
        <v>0</v>
      </c>
    </row>
    <row r="501" spans="2:12">
      <c r="B501" s="3" t="s">
        <v>1001</v>
      </c>
      <c r="C501">
        <f>IFERROR(INDEX('C2B004CPU2'!N:N,MATCH('По платам'!B501,'C2B004CPU2'!L:L,0)),0)</f>
        <v>0</v>
      </c>
      <c r="D501">
        <f>IFERROR(INDEX(SBC_DIO_E1N004INF1!N:N,MATCH('По платам'!$B501,SBC_DIO_E1N004INF1!L:L,0)),0)</f>
        <v>0</v>
      </c>
      <c r="E501">
        <f>IFERROR(INDEX(SBC_35_2C3_1_E1E001CPU1E!N:N,MATCH('По платам'!$B501,SBC_35_2C3_1_E1E001CPU1E!L:L,0)),0)</f>
        <v>1</v>
      </c>
      <c r="F501">
        <f>IFERROR(INDEX(PCIe104_PSU_E1N001PWR1!N:N,MATCH('По платам'!$B501,PCIe104_PSU_E1N001PWR1!L:L,0)),0)</f>
        <v>0</v>
      </c>
      <c r="G501">
        <f>IFERROR(INDEX(PCIe104_INF2_E1N006INF1!N:N,MATCH('По платам'!$B501,PCIe104_INF2_E1N006INF1!L:L,0)),0)</f>
        <v>0</v>
      </c>
      <c r="H501">
        <f>IFERROR(INDEX(PCIe104_CON_E1N005INF1!N:N,MATCH('По платам'!$B501,PCIe104_CON_E1N005INF1!L:L,0)),0)</f>
        <v>0</v>
      </c>
      <c r="I501">
        <f>IFERROR(INDEX('EM-PCIE104-CPU_E1E001CPU1E'!N:N,MATCH('По платам'!$B501,'EM-PCIE104-CPU_E1E001CPU1E'!L:L,0)),0)</f>
        <v>1</v>
      </c>
      <c r="J501">
        <f>IFERROR(INDEX(PCIe104_INF_E1N001INF1!N:N,MATCH('По платам'!$B501,PCIe104_INF_E1N001INF1!L:L,0)),0)</f>
        <v>0</v>
      </c>
      <c r="K501">
        <f>IFERROR(INDEX(IB_2RS232_E1N002INF1!N:N,MATCH('По платам'!$B501,IB_2RS232_E1N002INF1!L:L,0)),0)</f>
        <v>0</v>
      </c>
      <c r="L501">
        <f>IFERROR(INDEX(IB_2CAN_E1N003INF1!N:N,MATCH('По платам'!$B501,IB_2CAN_E1N003INF1!L:L,0)),0)</f>
        <v>0</v>
      </c>
    </row>
    <row r="502" spans="2:12">
      <c r="B502" s="3" t="s">
        <v>1767</v>
      </c>
      <c r="C502">
        <f>IFERROR(INDEX('C2B004CPU2'!N:N,MATCH('По платам'!B502,'C2B004CPU2'!L:L,0)),0)</f>
        <v>0</v>
      </c>
      <c r="D502">
        <f>IFERROR(INDEX(SBC_DIO_E1N004INF1!N:N,MATCH('По платам'!$B502,SBC_DIO_E1N004INF1!L:L,0)),0)</f>
        <v>0</v>
      </c>
      <c r="E502">
        <f>IFERROR(INDEX(SBC_35_2C3_1_E1E001CPU1E!N:N,MATCH('По платам'!$B502,SBC_35_2C3_1_E1E001CPU1E!L:L,0)),0)</f>
        <v>5</v>
      </c>
      <c r="F502">
        <f>IFERROR(INDEX(PCIe104_PSU_E1N001PWR1!N:N,MATCH('По платам'!$B502,PCIe104_PSU_E1N001PWR1!L:L,0)),0)</f>
        <v>0</v>
      </c>
      <c r="G502">
        <f>IFERROR(INDEX(PCIe104_INF2_E1N006INF1!N:N,MATCH('По платам'!$B502,PCIe104_INF2_E1N006INF1!L:L,0)),0)</f>
        <v>0</v>
      </c>
      <c r="H502">
        <f>IFERROR(INDEX(PCIe104_CON_E1N005INF1!N:N,MATCH('По платам'!$B502,PCIe104_CON_E1N005INF1!L:L,0)),0)</f>
        <v>0</v>
      </c>
      <c r="I502">
        <f>IFERROR(INDEX('EM-PCIE104-CPU_E1E001CPU1E'!N:N,MATCH('По платам'!$B502,'EM-PCIE104-CPU_E1E001CPU1E'!L:L,0)),0)</f>
        <v>0</v>
      </c>
      <c r="J502">
        <f>IFERROR(INDEX(PCIe104_INF_E1N001INF1!N:N,MATCH('По платам'!$B502,PCIe104_INF_E1N001INF1!L:L,0)),0)</f>
        <v>0</v>
      </c>
      <c r="K502">
        <f>IFERROR(INDEX(IB_2RS232_E1N002INF1!N:N,MATCH('По платам'!$B502,IB_2RS232_E1N002INF1!L:L,0)),0)</f>
        <v>0</v>
      </c>
      <c r="L502">
        <f>IFERROR(INDEX(IB_2CAN_E1N003INF1!N:N,MATCH('По платам'!$B502,IB_2CAN_E1N003INF1!L:L,0)),0)</f>
        <v>0</v>
      </c>
    </row>
    <row r="503" spans="2:12">
      <c r="B503" s="3" t="s">
        <v>99</v>
      </c>
      <c r="C503">
        <f>IFERROR(INDEX('C2B004CPU2'!N:N,MATCH('По платам'!B503,'C2B004CPU2'!L:L,0)),0)</f>
        <v>0</v>
      </c>
      <c r="D503">
        <f>IFERROR(INDEX(SBC_DIO_E1N004INF1!N:N,MATCH('По платам'!$B503,SBC_DIO_E1N004INF1!L:L,0)),0)</f>
        <v>0</v>
      </c>
      <c r="E503">
        <f>IFERROR(INDEX(SBC_35_2C3_1_E1E001CPU1E!N:N,MATCH('По платам'!$B503,SBC_35_2C3_1_E1E001CPU1E!L:L,0)),0)</f>
        <v>0</v>
      </c>
      <c r="F503">
        <f>IFERROR(INDEX(PCIe104_PSU_E1N001PWR1!N:N,MATCH('По платам'!$B503,PCIe104_PSU_E1N001PWR1!L:L,0)),0)</f>
        <v>0</v>
      </c>
      <c r="G503">
        <f>IFERROR(INDEX(PCIe104_INF2_E1N006INF1!N:N,MATCH('По платам'!$B503,PCIe104_INF2_E1N006INF1!L:L,0)),0)</f>
        <v>0</v>
      </c>
      <c r="H503">
        <f>IFERROR(INDEX(PCIe104_CON_E1N005INF1!N:N,MATCH('По платам'!$B503,PCIe104_CON_E1N005INF1!L:L,0)),0)</f>
        <v>0</v>
      </c>
      <c r="I503">
        <f>IFERROR(INDEX('EM-PCIE104-CPU_E1E001CPU1E'!N:N,MATCH('По платам'!$B503,'EM-PCIE104-CPU_E1E001CPU1E'!L:L,0)),0)</f>
        <v>0</v>
      </c>
      <c r="J503">
        <f>IFERROR(INDEX(PCIe104_INF_E1N001INF1!N:N,MATCH('По платам'!$B503,PCIe104_INF_E1N001INF1!L:L,0)),0)</f>
        <v>0</v>
      </c>
      <c r="K503">
        <f>IFERROR(INDEX(IB_2RS232_E1N002INF1!N:N,MATCH('По платам'!$B503,IB_2RS232_E1N002INF1!L:L,0)),0)</f>
        <v>0</v>
      </c>
      <c r="L503">
        <f>IFERROR(INDEX(IB_2CAN_E1N003INF1!N:N,MATCH('По платам'!$B503,IB_2CAN_E1N003INF1!L:L,0)),0)</f>
        <v>2</v>
      </c>
    </row>
    <row r="504" spans="2:12">
      <c r="B504" s="3" t="s">
        <v>1801</v>
      </c>
      <c r="C504">
        <f>IFERROR(INDEX('C2B004CPU2'!N:N,MATCH('По платам'!B504,'C2B004CPU2'!L:L,0)),0)</f>
        <v>0</v>
      </c>
      <c r="D504">
        <f>IFERROR(INDEX(SBC_DIO_E1N004INF1!N:N,MATCH('По платам'!$B504,SBC_DIO_E1N004INF1!L:L,0)),0)</f>
        <v>0</v>
      </c>
      <c r="E504">
        <f>IFERROR(INDEX(SBC_35_2C3_1_E1E001CPU1E!N:N,MATCH('По платам'!$B504,SBC_35_2C3_1_E1E001CPU1E!L:L,0)),0)</f>
        <v>1</v>
      </c>
      <c r="F504">
        <f>IFERROR(INDEX(PCIe104_PSU_E1N001PWR1!N:N,MATCH('По платам'!$B504,PCIe104_PSU_E1N001PWR1!L:L,0)),0)</f>
        <v>0</v>
      </c>
      <c r="G504">
        <f>IFERROR(INDEX(PCIe104_INF2_E1N006INF1!N:N,MATCH('По платам'!$B504,PCIe104_INF2_E1N006INF1!L:L,0)),0)</f>
        <v>0</v>
      </c>
      <c r="H504">
        <f>IFERROR(INDEX(PCIe104_CON_E1N005INF1!N:N,MATCH('По платам'!$B504,PCIe104_CON_E1N005INF1!L:L,0)),0)</f>
        <v>0</v>
      </c>
      <c r="I504">
        <f>IFERROR(INDEX('EM-PCIE104-CPU_E1E001CPU1E'!N:N,MATCH('По платам'!$B504,'EM-PCIE104-CPU_E1E001CPU1E'!L:L,0)),0)</f>
        <v>0</v>
      </c>
      <c r="J504">
        <f>IFERROR(INDEX(PCIe104_INF_E1N001INF1!N:N,MATCH('По платам'!$B504,PCIe104_INF_E1N001INF1!L:L,0)),0)</f>
        <v>0</v>
      </c>
      <c r="K504">
        <f>IFERROR(INDEX(IB_2RS232_E1N002INF1!N:N,MATCH('По платам'!$B504,IB_2RS232_E1N002INF1!L:L,0)),0)</f>
        <v>0</v>
      </c>
      <c r="L504">
        <f>IFERROR(INDEX(IB_2CAN_E1N003INF1!N:N,MATCH('По платам'!$B504,IB_2CAN_E1N003INF1!L:L,0)),0)</f>
        <v>0</v>
      </c>
    </row>
    <row r="505" spans="2:12">
      <c r="B505" s="3" t="s">
        <v>106</v>
      </c>
      <c r="C505">
        <f>IFERROR(INDEX('C2B004CPU2'!N:N,MATCH('По платам'!B505,'C2B004CPU2'!L:L,0)),0)</f>
        <v>0</v>
      </c>
      <c r="D505">
        <f>IFERROR(INDEX(SBC_DIO_E1N004INF1!N:N,MATCH('По платам'!$B505,SBC_DIO_E1N004INF1!L:L,0)),0)</f>
        <v>0</v>
      </c>
      <c r="E505">
        <f>IFERROR(INDEX(SBC_35_2C3_1_E1E001CPU1E!N:N,MATCH('По платам'!$B505,SBC_35_2C3_1_E1E001CPU1E!L:L,0)),0)</f>
        <v>0</v>
      </c>
      <c r="F505">
        <f>IFERROR(INDEX(PCIe104_PSU_E1N001PWR1!N:N,MATCH('По платам'!$B505,PCIe104_PSU_E1N001PWR1!L:L,0)),0)</f>
        <v>0</v>
      </c>
      <c r="G505">
        <f>IFERROR(INDEX(PCIe104_INF2_E1N006INF1!N:N,MATCH('По платам'!$B505,PCIe104_INF2_E1N006INF1!L:L,0)),0)</f>
        <v>0</v>
      </c>
      <c r="H505">
        <f>IFERROR(INDEX(PCIe104_CON_E1N005INF1!N:N,MATCH('По платам'!$B505,PCIe104_CON_E1N005INF1!L:L,0)),0)</f>
        <v>0</v>
      </c>
      <c r="I505">
        <f>IFERROR(INDEX('EM-PCIE104-CPU_E1E001CPU1E'!N:N,MATCH('По платам'!$B505,'EM-PCIE104-CPU_E1E001CPU1E'!L:L,0)),0)</f>
        <v>0</v>
      </c>
      <c r="J505">
        <f>IFERROR(INDEX(PCIe104_INF_E1N001INF1!N:N,MATCH('По платам'!$B505,PCIe104_INF_E1N001INF1!L:L,0)),0)</f>
        <v>2</v>
      </c>
      <c r="K505">
        <f>IFERROR(INDEX(IB_2RS232_E1N002INF1!N:N,MATCH('По платам'!$B505,IB_2RS232_E1N002INF1!L:L,0)),0)</f>
        <v>3</v>
      </c>
      <c r="L505">
        <f>IFERROR(INDEX(IB_2CAN_E1N003INF1!N:N,MATCH('По платам'!$B505,IB_2CAN_E1N003INF1!L:L,0)),0)</f>
        <v>2</v>
      </c>
    </row>
    <row r="506" spans="2:12">
      <c r="B506" s="3" t="s">
        <v>261</v>
      </c>
      <c r="C506">
        <f>IFERROR(INDEX('C2B004CPU2'!N:N,MATCH('По платам'!B506,'C2B004CPU2'!L:L,0)),0)</f>
        <v>0</v>
      </c>
      <c r="D506">
        <f>IFERROR(INDEX(SBC_DIO_E1N004INF1!N:N,MATCH('По платам'!$B506,SBC_DIO_E1N004INF1!L:L,0)),0)</f>
        <v>0</v>
      </c>
      <c r="E506">
        <f>IFERROR(INDEX(SBC_35_2C3_1_E1E001CPU1E!N:N,MATCH('По платам'!$B506,SBC_35_2C3_1_E1E001CPU1E!L:L,0)),0)</f>
        <v>8</v>
      </c>
      <c r="F506">
        <f>IFERROR(INDEX(PCIe104_PSU_E1N001PWR1!N:N,MATCH('По платам'!$B506,PCIe104_PSU_E1N001PWR1!L:L,0)),0)</f>
        <v>0</v>
      </c>
      <c r="G506">
        <f>IFERROR(INDEX(PCIe104_INF2_E1N006INF1!N:N,MATCH('По платам'!$B506,PCIe104_INF2_E1N006INF1!L:L,0)),0)</f>
        <v>0</v>
      </c>
      <c r="H506">
        <f>IFERROR(INDEX(PCIe104_CON_E1N005INF1!N:N,MATCH('По платам'!$B506,PCIe104_CON_E1N005INF1!L:L,0)),0)</f>
        <v>0</v>
      </c>
      <c r="I506">
        <f>IFERROR(INDEX('EM-PCIE104-CPU_E1E001CPU1E'!N:N,MATCH('По платам'!$B506,'EM-PCIE104-CPU_E1E001CPU1E'!L:L,0)),0)</f>
        <v>11</v>
      </c>
      <c r="J506">
        <f>IFERROR(INDEX(PCIe104_INF_E1N001INF1!N:N,MATCH('По платам'!$B506,PCIe104_INF_E1N001INF1!L:L,0)),0)</f>
        <v>5</v>
      </c>
      <c r="K506">
        <f>IFERROR(INDEX(IB_2RS232_E1N002INF1!N:N,MATCH('По платам'!$B506,IB_2RS232_E1N002INF1!L:L,0)),0)</f>
        <v>0</v>
      </c>
      <c r="L506">
        <f>IFERROR(INDEX(IB_2CAN_E1N003INF1!N:N,MATCH('По платам'!$B506,IB_2CAN_E1N003INF1!L:L,0)),0)</f>
        <v>0</v>
      </c>
    </row>
    <row r="507" spans="2:12">
      <c r="B507" s="3" t="s">
        <v>1497</v>
      </c>
      <c r="C507">
        <f>IFERROR(INDEX('C2B004CPU2'!N:N,MATCH('По платам'!B507,'C2B004CPU2'!L:L,0)),0)</f>
        <v>0</v>
      </c>
      <c r="D507">
        <f>IFERROR(INDEX(SBC_DIO_E1N004INF1!N:N,MATCH('По платам'!$B507,SBC_DIO_E1N004INF1!L:L,0)),0)</f>
        <v>0</v>
      </c>
      <c r="E507">
        <f>IFERROR(INDEX(SBC_35_2C3_1_E1E001CPU1E!N:N,MATCH('По платам'!$B507,SBC_35_2C3_1_E1E001CPU1E!L:L,0)),0)</f>
        <v>5</v>
      </c>
      <c r="F507">
        <f>IFERROR(INDEX(PCIe104_PSU_E1N001PWR1!N:N,MATCH('По платам'!$B507,PCIe104_PSU_E1N001PWR1!L:L,0)),0)</f>
        <v>0</v>
      </c>
      <c r="G507">
        <f>IFERROR(INDEX(PCIe104_INF2_E1N006INF1!N:N,MATCH('По платам'!$B507,PCIe104_INF2_E1N006INF1!L:L,0)),0)</f>
        <v>0</v>
      </c>
      <c r="H507">
        <f>IFERROR(INDEX(PCIe104_CON_E1N005INF1!N:N,MATCH('По платам'!$B507,PCIe104_CON_E1N005INF1!L:L,0)),0)</f>
        <v>0</v>
      </c>
      <c r="I507">
        <f>IFERROR(INDEX('EM-PCIE104-CPU_E1E001CPU1E'!N:N,MATCH('По платам'!$B507,'EM-PCIE104-CPU_E1E001CPU1E'!L:L,0)),0)</f>
        <v>0</v>
      </c>
      <c r="J507">
        <f>IFERROR(INDEX(PCIe104_INF_E1N001INF1!N:N,MATCH('По платам'!$B507,PCIe104_INF_E1N001INF1!L:L,0)),0)</f>
        <v>0</v>
      </c>
      <c r="K507">
        <f>IFERROR(INDEX(IB_2RS232_E1N002INF1!N:N,MATCH('По платам'!$B507,IB_2RS232_E1N002INF1!L:L,0)),0)</f>
        <v>0</v>
      </c>
      <c r="L507">
        <f>IFERROR(INDEX(IB_2CAN_E1N003INF1!N:N,MATCH('По платам'!$B507,IB_2CAN_E1N003INF1!L:L,0)),0)</f>
        <v>0</v>
      </c>
    </row>
    <row r="508" spans="2:12">
      <c r="B508" s="3" t="s">
        <v>617</v>
      </c>
      <c r="C508">
        <f>IFERROR(INDEX('C2B004CPU2'!N:N,MATCH('По платам'!B508,'C2B004CPU2'!L:L,0)),0)</f>
        <v>0</v>
      </c>
      <c r="D508">
        <f>IFERROR(INDEX(SBC_DIO_E1N004INF1!N:N,MATCH('По платам'!$B508,SBC_DIO_E1N004INF1!L:L,0)),0)</f>
        <v>0</v>
      </c>
      <c r="E508">
        <f>IFERROR(INDEX(SBC_35_2C3_1_E1E001CPU1E!N:N,MATCH('По платам'!$B508,SBC_35_2C3_1_E1E001CPU1E!L:L,0)),0)</f>
        <v>10</v>
      </c>
      <c r="F508">
        <f>IFERROR(INDEX(PCIe104_PSU_E1N001PWR1!N:N,MATCH('По платам'!$B508,PCIe104_PSU_E1N001PWR1!L:L,0)),0)</f>
        <v>0</v>
      </c>
      <c r="G508">
        <f>IFERROR(INDEX(PCIe104_INF2_E1N006INF1!N:N,MATCH('По платам'!$B508,PCIe104_INF2_E1N006INF1!L:L,0)),0)</f>
        <v>0</v>
      </c>
      <c r="H508">
        <f>IFERROR(INDEX(PCIe104_CON_E1N005INF1!N:N,MATCH('По платам'!$B508,PCIe104_CON_E1N005INF1!L:L,0)),0)</f>
        <v>4</v>
      </c>
      <c r="I508">
        <f>IFERROR(INDEX('EM-PCIE104-CPU_E1E001CPU1E'!N:N,MATCH('По платам'!$B508,'EM-PCIE104-CPU_E1E001CPU1E'!L:L,0)),0)</f>
        <v>4</v>
      </c>
      <c r="J508">
        <f>IFERROR(INDEX(PCIe104_INF_E1N001INF1!N:N,MATCH('По платам'!$B508,PCIe104_INF_E1N001INF1!L:L,0)),0)</f>
        <v>0</v>
      </c>
      <c r="K508">
        <f>IFERROR(INDEX(IB_2RS232_E1N002INF1!N:N,MATCH('По платам'!$B508,IB_2RS232_E1N002INF1!L:L,0)),0)</f>
        <v>0</v>
      </c>
      <c r="L508">
        <f>IFERROR(INDEX(IB_2CAN_E1N003INF1!N:N,MATCH('По платам'!$B508,IB_2CAN_E1N003INF1!L:L,0)),0)</f>
        <v>0</v>
      </c>
    </row>
    <row r="509" spans="2:12">
      <c r="B509" s="3" t="s">
        <v>258</v>
      </c>
      <c r="C509">
        <f>IFERROR(INDEX('C2B004CPU2'!N:N,MATCH('По платам'!B509,'C2B004CPU2'!L:L,0)),0)</f>
        <v>0</v>
      </c>
      <c r="D509">
        <f>IFERROR(INDEX(SBC_DIO_E1N004INF1!N:N,MATCH('По платам'!$B509,SBC_DIO_E1N004INF1!L:L,0)),0)</f>
        <v>0</v>
      </c>
      <c r="E509">
        <f>IFERROR(INDEX(SBC_35_2C3_1_E1E001CPU1E!N:N,MATCH('По платам'!$B509,SBC_35_2C3_1_E1E001CPU1E!L:L,0)),0)</f>
        <v>39</v>
      </c>
      <c r="F509">
        <f>IFERROR(INDEX(PCIe104_PSU_E1N001PWR1!N:N,MATCH('По платам'!$B509,PCIe104_PSU_E1N001PWR1!L:L,0)),0)</f>
        <v>0</v>
      </c>
      <c r="G509">
        <f>IFERROR(INDEX(PCIe104_INF2_E1N006INF1!N:N,MATCH('По платам'!$B509,PCIe104_INF2_E1N006INF1!L:L,0)),0)</f>
        <v>3</v>
      </c>
      <c r="H509">
        <f>IFERROR(INDEX(PCIe104_CON_E1N005INF1!N:N,MATCH('По платам'!$B509,PCIe104_CON_E1N005INF1!L:L,0)),0)</f>
        <v>0</v>
      </c>
      <c r="I509">
        <f>IFERROR(INDEX('EM-PCIE104-CPU_E1E001CPU1E'!N:N,MATCH('По платам'!$B509,'EM-PCIE104-CPU_E1E001CPU1E'!L:L,0)),0)</f>
        <v>42</v>
      </c>
      <c r="J509">
        <f>IFERROR(INDEX(PCIe104_INF_E1N001INF1!N:N,MATCH('По платам'!$B509,PCIe104_INF_E1N001INF1!L:L,0)),0)</f>
        <v>20</v>
      </c>
      <c r="K509">
        <f>IFERROR(INDEX(IB_2RS232_E1N002INF1!N:N,MATCH('По платам'!$B509,IB_2RS232_E1N002INF1!L:L,0)),0)</f>
        <v>0</v>
      </c>
      <c r="L509">
        <f>IFERROR(INDEX(IB_2CAN_E1N003INF1!N:N,MATCH('По платам'!$B509,IB_2CAN_E1N003INF1!L:L,0)),0)</f>
        <v>0</v>
      </c>
    </row>
    <row r="510" spans="2:12">
      <c r="B510" s="3" t="s">
        <v>299</v>
      </c>
      <c r="C510">
        <f>IFERROR(INDEX('C2B004CPU2'!N:N,MATCH('По платам'!B510,'C2B004CPU2'!L:L,0)),0)</f>
        <v>0</v>
      </c>
      <c r="D510">
        <f>IFERROR(INDEX(SBC_DIO_E1N004INF1!N:N,MATCH('По платам'!$B510,SBC_DIO_E1N004INF1!L:L,0)),0)</f>
        <v>0</v>
      </c>
      <c r="E510">
        <f>IFERROR(INDEX(SBC_35_2C3_1_E1E001CPU1E!N:N,MATCH('По платам'!$B510,SBC_35_2C3_1_E1E001CPU1E!L:L,0)),0)</f>
        <v>4</v>
      </c>
      <c r="F510">
        <f>IFERROR(INDEX(PCIe104_PSU_E1N001PWR1!N:N,MATCH('По платам'!$B510,PCIe104_PSU_E1N001PWR1!L:L,0)),0)</f>
        <v>0</v>
      </c>
      <c r="G510">
        <f>IFERROR(INDEX(PCIe104_INF2_E1N006INF1!N:N,MATCH('По платам'!$B510,PCIe104_INF2_E1N006INF1!L:L,0)),0)</f>
        <v>4</v>
      </c>
      <c r="H510">
        <f>IFERROR(INDEX(PCIe104_CON_E1N005INF1!N:N,MATCH('По платам'!$B510,PCIe104_CON_E1N005INF1!L:L,0)),0)</f>
        <v>0</v>
      </c>
      <c r="I510">
        <f>IFERROR(INDEX('EM-PCIE104-CPU_E1E001CPU1E'!N:N,MATCH('По платам'!$B510,'EM-PCIE104-CPU_E1E001CPU1E'!L:L,0)),0)</f>
        <v>4</v>
      </c>
      <c r="J510">
        <f>IFERROR(INDEX(PCIe104_INF_E1N001INF1!N:N,MATCH('По платам'!$B510,PCIe104_INF_E1N001INF1!L:L,0)),0)</f>
        <v>5</v>
      </c>
      <c r="K510">
        <f>IFERROR(INDEX(IB_2RS232_E1N002INF1!N:N,MATCH('По платам'!$B510,IB_2RS232_E1N002INF1!L:L,0)),0)</f>
        <v>0</v>
      </c>
      <c r="L510">
        <f>IFERROR(INDEX(IB_2CAN_E1N003INF1!N:N,MATCH('По платам'!$B510,IB_2CAN_E1N003INF1!L:L,0)),0)</f>
        <v>0</v>
      </c>
    </row>
    <row r="511" spans="2:12">
      <c r="B511" s="3" t="s">
        <v>602</v>
      </c>
      <c r="C511">
        <f>IFERROR(INDEX('C2B004CPU2'!N:N,MATCH('По платам'!B511,'C2B004CPU2'!L:L,0)),0)</f>
        <v>0</v>
      </c>
      <c r="D511">
        <f>IFERROR(INDEX(SBC_DIO_E1N004INF1!N:N,MATCH('По платам'!$B511,SBC_DIO_E1N004INF1!L:L,0)),0)</f>
        <v>0</v>
      </c>
      <c r="E511">
        <f>IFERROR(INDEX(SBC_35_2C3_1_E1E001CPU1E!N:N,MATCH('По платам'!$B511,SBC_35_2C3_1_E1E001CPU1E!L:L,0)),0)</f>
        <v>4</v>
      </c>
      <c r="F511">
        <f>IFERROR(INDEX(PCIe104_PSU_E1N001PWR1!N:N,MATCH('По платам'!$B511,PCIe104_PSU_E1N001PWR1!L:L,0)),0)</f>
        <v>0</v>
      </c>
      <c r="G511">
        <f>IFERROR(INDEX(PCIe104_INF2_E1N006INF1!N:N,MATCH('По платам'!$B511,PCIe104_INF2_E1N006INF1!L:L,0)),0)</f>
        <v>0</v>
      </c>
      <c r="H511">
        <f>IFERROR(INDEX(PCIe104_CON_E1N005INF1!N:N,MATCH('По платам'!$B511,PCIe104_CON_E1N005INF1!L:L,0)),0)</f>
        <v>0</v>
      </c>
      <c r="I511">
        <f>IFERROR(INDEX('EM-PCIE104-CPU_E1E001CPU1E'!N:N,MATCH('По платам'!$B511,'EM-PCIE104-CPU_E1E001CPU1E'!L:L,0)),0)</f>
        <v>2</v>
      </c>
      <c r="J511">
        <f>IFERROR(INDEX(PCIe104_INF_E1N001INF1!N:N,MATCH('По платам'!$B511,PCIe104_INF_E1N001INF1!L:L,0)),0)</f>
        <v>0</v>
      </c>
      <c r="K511">
        <f>IFERROR(INDEX(IB_2RS232_E1N002INF1!N:N,MATCH('По платам'!$B511,IB_2RS232_E1N002INF1!L:L,0)),0)</f>
        <v>0</v>
      </c>
      <c r="L511">
        <f>IFERROR(INDEX(IB_2CAN_E1N003INF1!N:N,MATCH('По платам'!$B511,IB_2CAN_E1N003INF1!L:L,0)),0)</f>
        <v>0</v>
      </c>
    </row>
    <row r="512" spans="2:12">
      <c r="B512" s="3" t="s">
        <v>305</v>
      </c>
      <c r="C512">
        <f>IFERROR(INDEX('C2B004CPU2'!N:N,MATCH('По платам'!B512,'C2B004CPU2'!L:L,0)),0)</f>
        <v>0</v>
      </c>
      <c r="D512">
        <f>IFERROR(INDEX(SBC_DIO_E1N004INF1!N:N,MATCH('По платам'!$B512,SBC_DIO_E1N004INF1!L:L,0)),0)</f>
        <v>0</v>
      </c>
      <c r="E512">
        <f>IFERROR(INDEX(SBC_35_2C3_1_E1E001CPU1E!N:N,MATCH('По платам'!$B512,SBC_35_2C3_1_E1E001CPU1E!L:L,0)),0)</f>
        <v>0</v>
      </c>
      <c r="F512">
        <f>IFERROR(INDEX(PCIe104_PSU_E1N001PWR1!N:N,MATCH('По платам'!$B512,PCIe104_PSU_E1N001PWR1!L:L,0)),0)</f>
        <v>0</v>
      </c>
      <c r="G512">
        <f>IFERROR(INDEX(PCIe104_INF2_E1N006INF1!N:N,MATCH('По платам'!$B512,PCIe104_INF2_E1N006INF1!L:L,0)),0)</f>
        <v>0</v>
      </c>
      <c r="H512">
        <f>IFERROR(INDEX(PCIe104_CON_E1N005INF1!N:N,MATCH('По платам'!$B512,PCIe104_CON_E1N005INF1!L:L,0)),0)</f>
        <v>0</v>
      </c>
      <c r="I512">
        <f>IFERROR(INDEX('EM-PCIE104-CPU_E1E001CPU1E'!N:N,MATCH('По платам'!$B512,'EM-PCIE104-CPU_E1E001CPU1E'!L:L,0)),0)</f>
        <v>0</v>
      </c>
      <c r="J512">
        <f>IFERROR(INDEX(PCIe104_INF_E1N001INF1!N:N,MATCH('По платам'!$B512,PCIe104_INF_E1N001INF1!L:L,0)),0)</f>
        <v>2</v>
      </c>
      <c r="K512">
        <f>IFERROR(INDEX(IB_2RS232_E1N002INF1!N:N,MATCH('По платам'!$B512,IB_2RS232_E1N002INF1!L:L,0)),0)</f>
        <v>0</v>
      </c>
      <c r="L512">
        <f>IFERROR(INDEX(IB_2CAN_E1N003INF1!N:N,MATCH('По платам'!$B512,IB_2CAN_E1N003INF1!L:L,0)),0)</f>
        <v>0</v>
      </c>
    </row>
    <row r="513" spans="2:12">
      <c r="B513" s="3" t="s">
        <v>574</v>
      </c>
      <c r="C513">
        <f>IFERROR(INDEX('C2B004CPU2'!N:N,MATCH('По платам'!B513,'C2B004CPU2'!L:L,0)),0)</f>
        <v>0</v>
      </c>
      <c r="D513">
        <f>IFERROR(INDEX(SBC_DIO_E1N004INF1!N:N,MATCH('По платам'!$B513,SBC_DIO_E1N004INF1!L:L,0)),0)</f>
        <v>0</v>
      </c>
      <c r="E513">
        <f>IFERROR(INDEX(SBC_35_2C3_1_E1E001CPU1E!N:N,MATCH('По платам'!$B513,SBC_35_2C3_1_E1E001CPU1E!L:L,0)),0)</f>
        <v>0</v>
      </c>
      <c r="F513">
        <f>IFERROR(INDEX(PCIe104_PSU_E1N001PWR1!N:N,MATCH('По платам'!$B513,PCIe104_PSU_E1N001PWR1!L:L,0)),0)</f>
        <v>0</v>
      </c>
      <c r="G513">
        <f>IFERROR(INDEX(PCIe104_INF2_E1N006INF1!N:N,MATCH('По платам'!$B513,PCIe104_INF2_E1N006INF1!L:L,0)),0)</f>
        <v>0</v>
      </c>
      <c r="H513">
        <f>IFERROR(INDEX(PCIe104_CON_E1N005INF1!N:N,MATCH('По платам'!$B513,PCIe104_CON_E1N005INF1!L:L,0)),0)</f>
        <v>0</v>
      </c>
      <c r="I513">
        <f>IFERROR(INDEX('EM-PCIE104-CPU_E1E001CPU1E'!N:N,MATCH('По платам'!$B513,'EM-PCIE104-CPU_E1E001CPU1E'!L:L,0)),0)</f>
        <v>1</v>
      </c>
      <c r="J513">
        <f>IFERROR(INDEX(PCIe104_INF_E1N001INF1!N:N,MATCH('По платам'!$B513,PCIe104_INF_E1N001INF1!L:L,0)),0)</f>
        <v>0</v>
      </c>
      <c r="K513">
        <f>IFERROR(INDEX(IB_2RS232_E1N002INF1!N:N,MATCH('По платам'!$B513,IB_2RS232_E1N002INF1!L:L,0)),0)</f>
        <v>0</v>
      </c>
      <c r="L513">
        <f>IFERROR(INDEX(IB_2CAN_E1N003INF1!N:N,MATCH('По платам'!$B513,IB_2CAN_E1N003INF1!L:L,0)),0)</f>
        <v>0</v>
      </c>
    </row>
    <row r="514" spans="2:12">
      <c r="B514" s="3" t="s">
        <v>579</v>
      </c>
      <c r="C514">
        <f>IFERROR(INDEX('C2B004CPU2'!N:N,MATCH('По платам'!B514,'C2B004CPU2'!L:L,0)),0)</f>
        <v>0</v>
      </c>
      <c r="D514">
        <f>IFERROR(INDEX(SBC_DIO_E1N004INF1!N:N,MATCH('По платам'!$B514,SBC_DIO_E1N004INF1!L:L,0)),0)</f>
        <v>0</v>
      </c>
      <c r="E514">
        <f>IFERROR(INDEX(SBC_35_2C3_1_E1E001CPU1E!N:N,MATCH('По платам'!$B514,SBC_35_2C3_1_E1E001CPU1E!L:L,0)),0)</f>
        <v>0</v>
      </c>
      <c r="F514">
        <f>IFERROR(INDEX(PCIe104_PSU_E1N001PWR1!N:N,MATCH('По платам'!$B514,PCIe104_PSU_E1N001PWR1!L:L,0)),0)</f>
        <v>0</v>
      </c>
      <c r="G514">
        <f>IFERROR(INDEX(PCIe104_INF2_E1N006INF1!N:N,MATCH('По платам'!$B514,PCIe104_INF2_E1N006INF1!L:L,0)),0)</f>
        <v>0</v>
      </c>
      <c r="H514">
        <f>IFERROR(INDEX(PCIe104_CON_E1N005INF1!N:N,MATCH('По платам'!$B514,PCIe104_CON_E1N005INF1!L:L,0)),0)</f>
        <v>0</v>
      </c>
      <c r="I514">
        <f>IFERROR(INDEX('EM-PCIE104-CPU_E1E001CPU1E'!N:N,MATCH('По платам'!$B514,'EM-PCIE104-CPU_E1E001CPU1E'!L:L,0)),0)</f>
        <v>1</v>
      </c>
      <c r="J514">
        <f>IFERROR(INDEX(PCIe104_INF_E1N001INF1!N:N,MATCH('По платам'!$B514,PCIe104_INF_E1N001INF1!L:L,0)),0)</f>
        <v>0</v>
      </c>
      <c r="K514">
        <f>IFERROR(INDEX(IB_2RS232_E1N002INF1!N:N,MATCH('По платам'!$B514,IB_2RS232_E1N002INF1!L:L,0)),0)</f>
        <v>0</v>
      </c>
      <c r="L514">
        <f>IFERROR(INDEX(IB_2CAN_E1N003INF1!N:N,MATCH('По платам'!$B514,IB_2CAN_E1N003INF1!L:L,0)),0)</f>
        <v>0</v>
      </c>
    </row>
    <row r="515" spans="2:12">
      <c r="B515" s="3" t="s">
        <v>566</v>
      </c>
      <c r="C515">
        <f>IFERROR(INDEX('C2B004CPU2'!N:N,MATCH('По платам'!B515,'C2B004CPU2'!L:L,0)),0)</f>
        <v>0</v>
      </c>
      <c r="D515">
        <f>IFERROR(INDEX(SBC_DIO_E1N004INF1!N:N,MATCH('По платам'!$B515,SBC_DIO_E1N004INF1!L:L,0)),0)</f>
        <v>0</v>
      </c>
      <c r="E515">
        <f>IFERROR(INDEX(SBC_35_2C3_1_E1E001CPU1E!N:N,MATCH('По платам'!$B515,SBC_35_2C3_1_E1E001CPU1E!L:L,0)),0)</f>
        <v>0</v>
      </c>
      <c r="F515">
        <f>IFERROR(INDEX(PCIe104_PSU_E1N001PWR1!N:N,MATCH('По платам'!$B515,PCIe104_PSU_E1N001PWR1!L:L,0)),0)</f>
        <v>0</v>
      </c>
      <c r="G515">
        <f>IFERROR(INDEX(PCIe104_INF2_E1N006INF1!N:N,MATCH('По платам'!$B515,PCIe104_INF2_E1N006INF1!L:L,0)),0)</f>
        <v>0</v>
      </c>
      <c r="H515">
        <f>IFERROR(INDEX(PCIe104_CON_E1N005INF1!N:N,MATCH('По платам'!$B515,PCIe104_CON_E1N005INF1!L:L,0)),0)</f>
        <v>0</v>
      </c>
      <c r="I515">
        <f>IFERROR(INDEX('EM-PCIE104-CPU_E1E001CPU1E'!N:N,MATCH('По платам'!$B515,'EM-PCIE104-CPU_E1E001CPU1E'!L:L,0)),0)</f>
        <v>1</v>
      </c>
      <c r="J515">
        <f>IFERROR(INDEX(PCIe104_INF_E1N001INF1!N:N,MATCH('По платам'!$B515,PCIe104_INF_E1N001INF1!L:L,0)),0)</f>
        <v>0</v>
      </c>
      <c r="K515">
        <f>IFERROR(INDEX(IB_2RS232_E1N002INF1!N:N,MATCH('По платам'!$B515,IB_2RS232_E1N002INF1!L:L,0)),0)</f>
        <v>0</v>
      </c>
      <c r="L515">
        <f>IFERROR(INDEX(IB_2CAN_E1N003INF1!N:N,MATCH('По платам'!$B515,IB_2CAN_E1N003INF1!L:L,0)),0)</f>
        <v>0</v>
      </c>
    </row>
    <row r="516" spans="2:12">
      <c r="B516" s="3" t="s">
        <v>570</v>
      </c>
      <c r="C516">
        <f>IFERROR(INDEX('C2B004CPU2'!N:N,MATCH('По платам'!B516,'C2B004CPU2'!L:L,0)),0)</f>
        <v>0</v>
      </c>
      <c r="D516">
        <f>IFERROR(INDEX(SBC_DIO_E1N004INF1!N:N,MATCH('По платам'!$B516,SBC_DIO_E1N004INF1!L:L,0)),0)</f>
        <v>0</v>
      </c>
      <c r="E516">
        <f>IFERROR(INDEX(SBC_35_2C3_1_E1E001CPU1E!N:N,MATCH('По платам'!$B516,SBC_35_2C3_1_E1E001CPU1E!L:L,0)),0)</f>
        <v>0</v>
      </c>
      <c r="F516">
        <f>IFERROR(INDEX(PCIe104_PSU_E1N001PWR1!N:N,MATCH('По платам'!$B516,PCIe104_PSU_E1N001PWR1!L:L,0)),0)</f>
        <v>0</v>
      </c>
      <c r="G516">
        <f>IFERROR(INDEX(PCIe104_INF2_E1N006INF1!N:N,MATCH('По платам'!$B516,PCIe104_INF2_E1N006INF1!L:L,0)),0)</f>
        <v>0</v>
      </c>
      <c r="H516">
        <f>IFERROR(INDEX(PCIe104_CON_E1N005INF1!N:N,MATCH('По платам'!$B516,PCIe104_CON_E1N005INF1!L:L,0)),0)</f>
        <v>0</v>
      </c>
      <c r="I516">
        <f>IFERROR(INDEX('EM-PCIE104-CPU_E1E001CPU1E'!N:N,MATCH('По платам'!$B516,'EM-PCIE104-CPU_E1E001CPU1E'!L:L,0)),0)</f>
        <v>2</v>
      </c>
      <c r="J516">
        <f>IFERROR(INDEX(PCIe104_INF_E1N001INF1!N:N,MATCH('По платам'!$B516,PCIe104_INF_E1N001INF1!L:L,0)),0)</f>
        <v>0</v>
      </c>
      <c r="K516">
        <f>IFERROR(INDEX(IB_2RS232_E1N002INF1!N:N,MATCH('По платам'!$B516,IB_2RS232_E1N002INF1!L:L,0)),0)</f>
        <v>0</v>
      </c>
      <c r="L516">
        <f>IFERROR(INDEX(IB_2CAN_E1N003INF1!N:N,MATCH('По платам'!$B516,IB_2CAN_E1N003INF1!L:L,0)),0)</f>
        <v>0</v>
      </c>
    </row>
    <row r="517" spans="2:12">
      <c r="B517" s="3" t="s">
        <v>630</v>
      </c>
      <c r="C517">
        <f>IFERROR(INDEX('C2B004CPU2'!N:N,MATCH('По платам'!B517,'C2B004CPU2'!L:L,0)),0)</f>
        <v>0</v>
      </c>
      <c r="D517">
        <f>IFERROR(INDEX(SBC_DIO_E1N004INF1!N:N,MATCH('По платам'!$B517,SBC_DIO_E1N004INF1!L:L,0)),0)</f>
        <v>0</v>
      </c>
      <c r="E517">
        <f>IFERROR(INDEX(SBC_35_2C3_1_E1E001CPU1E!N:N,MATCH('По платам'!$B517,SBC_35_2C3_1_E1E001CPU1E!L:L,0)),0)</f>
        <v>1</v>
      </c>
      <c r="F517">
        <f>IFERROR(INDEX(PCIe104_PSU_E1N001PWR1!N:N,MATCH('По платам'!$B517,PCIe104_PSU_E1N001PWR1!L:L,0)),0)</f>
        <v>0</v>
      </c>
      <c r="G517">
        <f>IFERROR(INDEX(PCIe104_INF2_E1N006INF1!N:N,MATCH('По платам'!$B517,PCIe104_INF2_E1N006INF1!L:L,0)),0)</f>
        <v>0</v>
      </c>
      <c r="H517">
        <f>IFERROR(INDEX(PCIe104_CON_E1N005INF1!N:N,MATCH('По платам'!$B517,PCIe104_CON_E1N005INF1!L:L,0)),0)</f>
        <v>0</v>
      </c>
      <c r="I517">
        <f>IFERROR(INDEX('EM-PCIE104-CPU_E1E001CPU1E'!N:N,MATCH('По платам'!$B517,'EM-PCIE104-CPU_E1E001CPU1E'!L:L,0)),0)</f>
        <v>1</v>
      </c>
      <c r="J517">
        <f>IFERROR(INDEX(PCIe104_INF_E1N001INF1!N:N,MATCH('По платам'!$B517,PCIe104_INF_E1N001INF1!L:L,0)),0)</f>
        <v>0</v>
      </c>
      <c r="K517">
        <f>IFERROR(INDEX(IB_2RS232_E1N002INF1!N:N,MATCH('По платам'!$B517,IB_2RS232_E1N002INF1!L:L,0)),0)</f>
        <v>0</v>
      </c>
      <c r="L517">
        <f>IFERROR(INDEX(IB_2CAN_E1N003INF1!N:N,MATCH('По платам'!$B517,IB_2CAN_E1N003INF1!L:L,0)),0)</f>
        <v>0</v>
      </c>
    </row>
    <row r="518" spans="2:12">
      <c r="B518" s="3" t="s">
        <v>281</v>
      </c>
      <c r="C518">
        <f>IFERROR(INDEX('C2B004CPU2'!N:N,MATCH('По платам'!B518,'C2B004CPU2'!L:L,0)),0)</f>
        <v>0</v>
      </c>
      <c r="D518">
        <f>IFERROR(INDEX(SBC_DIO_E1N004INF1!N:N,MATCH('По платам'!$B518,SBC_DIO_E1N004INF1!L:L,0)),0)</f>
        <v>0</v>
      </c>
      <c r="E518">
        <f>IFERROR(INDEX(SBC_35_2C3_1_E1E001CPU1E!N:N,MATCH('По платам'!$B518,SBC_35_2C3_1_E1E001CPU1E!L:L,0)),0)</f>
        <v>10</v>
      </c>
      <c r="F518">
        <f>IFERROR(INDEX(PCIe104_PSU_E1N001PWR1!N:N,MATCH('По платам'!$B518,PCIe104_PSU_E1N001PWR1!L:L,0)),0)</f>
        <v>0</v>
      </c>
      <c r="G518">
        <f>IFERROR(INDEX(PCIe104_INF2_E1N006INF1!N:N,MATCH('По платам'!$B518,PCIe104_INF2_E1N006INF1!L:L,0)),0)</f>
        <v>0</v>
      </c>
      <c r="H518">
        <f>IFERROR(INDEX(PCIe104_CON_E1N005INF1!N:N,MATCH('По платам'!$B518,PCIe104_CON_E1N005INF1!L:L,0)),0)</f>
        <v>0</v>
      </c>
      <c r="I518">
        <f>IFERROR(INDEX('EM-PCIE104-CPU_E1E001CPU1E'!N:N,MATCH('По платам'!$B518,'EM-PCIE104-CPU_E1E001CPU1E'!L:L,0)),0)</f>
        <v>7</v>
      </c>
      <c r="J518">
        <f>IFERROR(INDEX(PCIe104_INF_E1N001INF1!N:N,MATCH('По платам'!$B518,PCIe104_INF_E1N001INF1!L:L,0)),0)</f>
        <v>11</v>
      </c>
      <c r="K518">
        <f>IFERROR(INDEX(IB_2RS232_E1N002INF1!N:N,MATCH('По платам'!$B518,IB_2RS232_E1N002INF1!L:L,0)),0)</f>
        <v>0</v>
      </c>
      <c r="L518">
        <f>IFERROR(INDEX(IB_2CAN_E1N003INF1!N:N,MATCH('По платам'!$B518,IB_2CAN_E1N003INF1!L:L,0)),0)</f>
        <v>0</v>
      </c>
    </row>
    <row r="519" spans="2:12">
      <c r="B519" s="3" t="s">
        <v>313</v>
      </c>
      <c r="C519">
        <f>IFERROR(INDEX('C2B004CPU2'!N:N,MATCH('По платам'!B519,'C2B004CPU2'!L:L,0)),0)</f>
        <v>0</v>
      </c>
      <c r="D519">
        <f>IFERROR(INDEX(SBC_DIO_E1N004INF1!N:N,MATCH('По платам'!$B519,SBC_DIO_E1N004INF1!L:L,0)),0)</f>
        <v>0</v>
      </c>
      <c r="E519">
        <f>IFERROR(INDEX(SBC_35_2C3_1_E1E001CPU1E!N:N,MATCH('По платам'!$B519,SBC_35_2C3_1_E1E001CPU1E!L:L,0)),0)</f>
        <v>0</v>
      </c>
      <c r="F519">
        <f>IFERROR(INDEX(PCIe104_PSU_E1N001PWR1!N:N,MATCH('По платам'!$B519,PCIe104_PSU_E1N001PWR1!L:L,0)),0)</f>
        <v>0</v>
      </c>
      <c r="G519">
        <f>IFERROR(INDEX(PCIe104_INF2_E1N006INF1!N:N,MATCH('По платам'!$B519,PCIe104_INF2_E1N006INF1!L:L,0)),0)</f>
        <v>16</v>
      </c>
      <c r="H519">
        <f>IFERROR(INDEX(PCIe104_CON_E1N005INF1!N:N,MATCH('По платам'!$B519,PCIe104_CON_E1N005INF1!L:L,0)),0)</f>
        <v>0</v>
      </c>
      <c r="I519">
        <f>IFERROR(INDEX('EM-PCIE104-CPU_E1E001CPU1E'!N:N,MATCH('По платам'!$B519,'EM-PCIE104-CPU_E1E001CPU1E'!L:L,0)),0)</f>
        <v>10</v>
      </c>
      <c r="J519">
        <f>IFERROR(INDEX(PCIe104_INF_E1N001INF1!N:N,MATCH('По платам'!$B519,PCIe104_INF_E1N001INF1!L:L,0)),0)</f>
        <v>7</v>
      </c>
      <c r="K519">
        <f>IFERROR(INDEX(IB_2RS232_E1N002INF1!N:N,MATCH('По платам'!$B519,IB_2RS232_E1N002INF1!L:L,0)),0)</f>
        <v>0</v>
      </c>
      <c r="L519">
        <f>IFERROR(INDEX(IB_2CAN_E1N003INF1!N:N,MATCH('По платам'!$B519,IB_2CAN_E1N003INF1!L:L,0)),0)</f>
        <v>0</v>
      </c>
    </row>
    <row r="520" spans="2:12">
      <c r="B520" s="3" t="s">
        <v>2169</v>
      </c>
      <c r="C520">
        <f>IFERROR(INDEX('C2B004CPU2'!N:N,MATCH('По платам'!B520,'C2B004CPU2'!L:L,0)),0)</f>
        <v>1</v>
      </c>
      <c r="D520">
        <f>IFERROR(INDEX(SBC_DIO_E1N004INF1!N:N,MATCH('По платам'!$B520,SBC_DIO_E1N004INF1!L:L,0)),0)</f>
        <v>0</v>
      </c>
      <c r="E520">
        <f>IFERROR(INDEX(SBC_35_2C3_1_E1E001CPU1E!N:N,MATCH('По платам'!$B520,SBC_35_2C3_1_E1E001CPU1E!L:L,0)),0)</f>
        <v>0</v>
      </c>
      <c r="F520">
        <f>IFERROR(INDEX(PCIe104_PSU_E1N001PWR1!N:N,MATCH('По платам'!$B520,PCIe104_PSU_E1N001PWR1!L:L,0)),0)</f>
        <v>0</v>
      </c>
      <c r="G520">
        <f>IFERROR(INDEX(PCIe104_INF2_E1N006INF1!N:N,MATCH('По платам'!$B520,PCIe104_INF2_E1N006INF1!L:L,0)),0)</f>
        <v>0</v>
      </c>
      <c r="H520">
        <f>IFERROR(INDEX(PCIe104_CON_E1N005INF1!N:N,MATCH('По платам'!$B520,PCIe104_CON_E1N005INF1!L:L,0)),0)</f>
        <v>0</v>
      </c>
      <c r="I520">
        <f>IFERROR(INDEX('EM-PCIE104-CPU_E1E001CPU1E'!N:N,MATCH('По платам'!$B520,'EM-PCIE104-CPU_E1E001CPU1E'!L:L,0)),0)</f>
        <v>0</v>
      </c>
      <c r="J520">
        <f>IFERROR(INDEX(PCIe104_INF_E1N001INF1!N:N,MATCH('По платам'!$B520,PCIe104_INF_E1N001INF1!L:L,0)),0)</f>
        <v>0</v>
      </c>
      <c r="K520">
        <f>IFERROR(INDEX(IB_2RS232_E1N002INF1!N:N,MATCH('По платам'!$B520,IB_2RS232_E1N002INF1!L:L,0)),0)</f>
        <v>0</v>
      </c>
      <c r="L520">
        <f>IFERROR(INDEX(IB_2CAN_E1N003INF1!N:N,MATCH('По платам'!$B520,IB_2CAN_E1N003INF1!L:L,0)),0)</f>
        <v>0</v>
      </c>
    </row>
    <row r="521" spans="2:12">
      <c r="B521" s="3" t="s">
        <v>1522</v>
      </c>
      <c r="C521">
        <f>IFERROR(INDEX('C2B004CPU2'!N:N,MATCH('По платам'!B521,'C2B004CPU2'!L:L,0)),0)</f>
        <v>0</v>
      </c>
      <c r="D521">
        <f>IFERROR(INDEX(SBC_DIO_E1N004INF1!N:N,MATCH('По платам'!$B521,SBC_DIO_E1N004INF1!L:L,0)),0)</f>
        <v>0</v>
      </c>
      <c r="E521">
        <f>IFERROR(INDEX(SBC_35_2C3_1_E1E001CPU1E!N:N,MATCH('По платам'!$B521,SBC_35_2C3_1_E1E001CPU1E!L:L,0)),0)</f>
        <v>1</v>
      </c>
      <c r="F521">
        <f>IFERROR(INDEX(PCIe104_PSU_E1N001PWR1!N:N,MATCH('По платам'!$B521,PCIe104_PSU_E1N001PWR1!L:L,0)),0)</f>
        <v>0</v>
      </c>
      <c r="G521">
        <f>IFERROR(INDEX(PCIe104_INF2_E1N006INF1!N:N,MATCH('По платам'!$B521,PCIe104_INF2_E1N006INF1!L:L,0)),0)</f>
        <v>0</v>
      </c>
      <c r="H521">
        <f>IFERROR(INDEX(PCIe104_CON_E1N005INF1!N:N,MATCH('По платам'!$B521,PCIe104_CON_E1N005INF1!L:L,0)),0)</f>
        <v>0</v>
      </c>
      <c r="I521">
        <f>IFERROR(INDEX('EM-PCIE104-CPU_E1E001CPU1E'!N:N,MATCH('По платам'!$B521,'EM-PCIE104-CPU_E1E001CPU1E'!L:L,0)),0)</f>
        <v>0</v>
      </c>
      <c r="J521">
        <f>IFERROR(INDEX(PCIe104_INF_E1N001INF1!N:N,MATCH('По платам'!$B521,PCIe104_INF_E1N001INF1!L:L,0)),0)</f>
        <v>0</v>
      </c>
      <c r="K521">
        <f>IFERROR(INDEX(IB_2RS232_E1N002INF1!N:N,MATCH('По платам'!$B521,IB_2RS232_E1N002INF1!L:L,0)),0)</f>
        <v>0</v>
      </c>
      <c r="L521">
        <f>IFERROR(INDEX(IB_2CAN_E1N003INF1!N:N,MATCH('По платам'!$B521,IB_2CAN_E1N003INF1!L:L,0)),0)</f>
        <v>0</v>
      </c>
    </row>
    <row r="522" spans="2:12">
      <c r="B522" s="3" t="s">
        <v>607</v>
      </c>
      <c r="C522">
        <f>IFERROR(INDEX('C2B004CPU2'!N:N,MATCH('По платам'!B522,'C2B004CPU2'!L:L,0)),0)</f>
        <v>0</v>
      </c>
      <c r="D522">
        <f>IFERROR(INDEX(SBC_DIO_E1N004INF1!N:N,MATCH('По платам'!$B522,SBC_DIO_E1N004INF1!L:L,0)),0)</f>
        <v>0</v>
      </c>
      <c r="E522">
        <f>IFERROR(INDEX(SBC_35_2C3_1_E1E001CPU1E!N:N,MATCH('По платам'!$B522,SBC_35_2C3_1_E1E001CPU1E!L:L,0)),0)</f>
        <v>11</v>
      </c>
      <c r="F522">
        <f>IFERROR(INDEX(PCIe104_PSU_E1N001PWR1!N:N,MATCH('По платам'!$B522,PCIe104_PSU_E1N001PWR1!L:L,0)),0)</f>
        <v>0</v>
      </c>
      <c r="G522">
        <f>IFERROR(INDEX(PCIe104_INF2_E1N006INF1!N:N,MATCH('По платам'!$B522,PCIe104_INF2_E1N006INF1!L:L,0)),0)</f>
        <v>0</v>
      </c>
      <c r="H522">
        <f>IFERROR(INDEX(PCIe104_CON_E1N005INF1!N:N,MATCH('По платам'!$B522,PCIe104_CON_E1N005INF1!L:L,0)),0)</f>
        <v>0</v>
      </c>
      <c r="I522">
        <f>IFERROR(INDEX('EM-PCIE104-CPU_E1E001CPU1E'!N:N,MATCH('По платам'!$B522,'EM-PCIE104-CPU_E1E001CPU1E'!L:L,0)),0)</f>
        <v>8</v>
      </c>
      <c r="J522">
        <f>IFERROR(INDEX(PCIe104_INF_E1N001INF1!N:N,MATCH('По платам'!$B522,PCIe104_INF_E1N001INF1!L:L,0)),0)</f>
        <v>0</v>
      </c>
      <c r="K522">
        <f>IFERROR(INDEX(IB_2RS232_E1N002INF1!N:N,MATCH('По платам'!$B522,IB_2RS232_E1N002INF1!L:L,0)),0)</f>
        <v>0</v>
      </c>
      <c r="L522">
        <f>IFERROR(INDEX(IB_2CAN_E1N003INF1!N:N,MATCH('По платам'!$B522,IB_2CAN_E1N003INF1!L:L,0)),0)</f>
        <v>0</v>
      </c>
    </row>
    <row r="523" spans="2:12">
      <c r="B523" s="3" t="s">
        <v>239</v>
      </c>
      <c r="C523">
        <f>IFERROR(INDEX('C2B004CPU2'!N:N,MATCH('По платам'!B523,'C2B004CPU2'!L:L,0)),0)</f>
        <v>0</v>
      </c>
      <c r="D523">
        <f>IFERROR(INDEX(SBC_DIO_E1N004INF1!N:N,MATCH('По платам'!$B523,SBC_DIO_E1N004INF1!L:L,0)),0)</f>
        <v>0</v>
      </c>
      <c r="E523">
        <f>IFERROR(INDEX(SBC_35_2C3_1_E1E001CPU1E!N:N,MATCH('По платам'!$B523,SBC_35_2C3_1_E1E001CPU1E!L:L,0)),0)</f>
        <v>2</v>
      </c>
      <c r="F523">
        <f>IFERROR(INDEX(PCIe104_PSU_E1N001PWR1!N:N,MATCH('По платам'!$B523,PCIe104_PSU_E1N001PWR1!L:L,0)),0)</f>
        <v>0</v>
      </c>
      <c r="G523">
        <f>IFERROR(INDEX(PCIe104_INF2_E1N006INF1!N:N,MATCH('По платам'!$B523,PCIe104_INF2_E1N006INF1!L:L,0)),0)</f>
        <v>0</v>
      </c>
      <c r="H523">
        <f>IFERROR(INDEX(PCIe104_CON_E1N005INF1!N:N,MATCH('По платам'!$B523,PCIe104_CON_E1N005INF1!L:L,0)),0)</f>
        <v>0</v>
      </c>
      <c r="I523">
        <f>IFERROR(INDEX('EM-PCIE104-CPU_E1E001CPU1E'!N:N,MATCH('По платам'!$B523,'EM-PCIE104-CPU_E1E001CPU1E'!L:L,0)),0)</f>
        <v>46</v>
      </c>
      <c r="J523">
        <f>IFERROR(INDEX(PCIe104_INF_E1N001INF1!N:N,MATCH('По платам'!$B523,PCIe104_INF_E1N001INF1!L:L,0)),0)</f>
        <v>14</v>
      </c>
      <c r="K523">
        <f>IFERROR(INDEX(IB_2RS232_E1N002INF1!N:N,MATCH('По платам'!$B523,IB_2RS232_E1N002INF1!L:L,0)),0)</f>
        <v>0</v>
      </c>
      <c r="L523">
        <f>IFERROR(INDEX(IB_2CAN_E1N003INF1!N:N,MATCH('По платам'!$B523,IB_2CAN_E1N003INF1!L:L,0)),0)</f>
        <v>0</v>
      </c>
    </row>
    <row r="524" spans="2:12">
      <c r="B524" s="3" t="s">
        <v>1099</v>
      </c>
      <c r="C524">
        <f>IFERROR(INDEX('C2B004CPU2'!N:N,MATCH('По платам'!B524,'C2B004CPU2'!L:L,0)),0)</f>
        <v>0</v>
      </c>
      <c r="D524">
        <f>IFERROR(INDEX(SBC_DIO_E1N004INF1!N:N,MATCH('По платам'!$B524,SBC_DIO_E1N004INF1!L:L,0)),0)</f>
        <v>0</v>
      </c>
      <c r="E524">
        <f>IFERROR(INDEX(SBC_35_2C3_1_E1E001CPU1E!N:N,MATCH('По платам'!$B524,SBC_35_2C3_1_E1E001CPU1E!L:L,0)),0)</f>
        <v>1</v>
      </c>
      <c r="F524">
        <f>IFERROR(INDEX(PCIe104_PSU_E1N001PWR1!N:N,MATCH('По платам'!$B524,PCIe104_PSU_E1N001PWR1!L:L,0)),0)</f>
        <v>1</v>
      </c>
      <c r="G524">
        <f>IFERROR(INDEX(PCIe104_INF2_E1N006INF1!N:N,MATCH('По платам'!$B524,PCIe104_INF2_E1N006INF1!L:L,0)),0)</f>
        <v>0</v>
      </c>
      <c r="H524">
        <f>IFERROR(INDEX(PCIe104_CON_E1N005INF1!N:N,MATCH('По платам'!$B524,PCIe104_CON_E1N005INF1!L:L,0)),0)</f>
        <v>3</v>
      </c>
      <c r="I524">
        <f>IFERROR(INDEX('EM-PCIE104-CPU_E1E001CPU1E'!N:N,MATCH('По платам'!$B524,'EM-PCIE104-CPU_E1E001CPU1E'!L:L,0)),0)</f>
        <v>0</v>
      </c>
      <c r="J524">
        <f>IFERROR(INDEX(PCIe104_INF_E1N001INF1!N:N,MATCH('По платам'!$B524,PCIe104_INF_E1N001INF1!L:L,0)),0)</f>
        <v>0</v>
      </c>
      <c r="K524">
        <f>IFERROR(INDEX(IB_2RS232_E1N002INF1!N:N,MATCH('По платам'!$B524,IB_2RS232_E1N002INF1!L:L,0)),0)</f>
        <v>0</v>
      </c>
      <c r="L524">
        <f>IFERROR(INDEX(IB_2CAN_E1N003INF1!N:N,MATCH('По платам'!$B524,IB_2CAN_E1N003INF1!L:L,0)),0)</f>
        <v>0</v>
      </c>
    </row>
    <row r="525" spans="2:12">
      <c r="B525" s="3" t="s">
        <v>1298</v>
      </c>
      <c r="C525">
        <f>IFERROR(INDEX('C2B004CPU2'!N:N,MATCH('По платам'!B525,'C2B004CPU2'!L:L,0)),0)</f>
        <v>0</v>
      </c>
      <c r="D525">
        <f>IFERROR(INDEX(SBC_DIO_E1N004INF1!N:N,MATCH('По платам'!$B525,SBC_DIO_E1N004INF1!L:L,0)),0)</f>
        <v>0</v>
      </c>
      <c r="E525">
        <f>IFERROR(INDEX(SBC_35_2C3_1_E1E001CPU1E!N:N,MATCH('По платам'!$B525,SBC_35_2C3_1_E1E001CPU1E!L:L,0)),0)</f>
        <v>0</v>
      </c>
      <c r="F525">
        <f>IFERROR(INDEX(PCIe104_PSU_E1N001PWR1!N:N,MATCH('По платам'!$B525,PCIe104_PSU_E1N001PWR1!L:L,0)),0)</f>
        <v>3</v>
      </c>
      <c r="G525">
        <f>IFERROR(INDEX(PCIe104_INF2_E1N006INF1!N:N,MATCH('По платам'!$B525,PCIe104_INF2_E1N006INF1!L:L,0)),0)</f>
        <v>0</v>
      </c>
      <c r="H525">
        <f>IFERROR(INDEX(PCIe104_CON_E1N005INF1!N:N,MATCH('По платам'!$B525,PCIe104_CON_E1N005INF1!L:L,0)),0)</f>
        <v>0</v>
      </c>
      <c r="I525">
        <f>IFERROR(INDEX('EM-PCIE104-CPU_E1E001CPU1E'!N:N,MATCH('По платам'!$B525,'EM-PCIE104-CPU_E1E001CPU1E'!L:L,0)),0)</f>
        <v>0</v>
      </c>
      <c r="J525">
        <f>IFERROR(INDEX(PCIe104_INF_E1N001INF1!N:N,MATCH('По платам'!$B525,PCIe104_INF_E1N001INF1!L:L,0)),0)</f>
        <v>0</v>
      </c>
      <c r="K525">
        <f>IFERROR(INDEX(IB_2RS232_E1N002INF1!N:N,MATCH('По платам'!$B525,IB_2RS232_E1N002INF1!L:L,0)),0)</f>
        <v>0</v>
      </c>
      <c r="L525">
        <f>IFERROR(INDEX(IB_2CAN_E1N003INF1!N:N,MATCH('По платам'!$B525,IB_2CAN_E1N003INF1!L:L,0)),0)</f>
        <v>0</v>
      </c>
    </row>
    <row r="526" spans="2:12">
      <c r="B526" s="3" t="s">
        <v>49</v>
      </c>
      <c r="C526">
        <f>IFERROR(INDEX('C2B004CPU2'!N:N,MATCH('По платам'!B526,'C2B004CPU2'!L:L,0)),0)</f>
        <v>0</v>
      </c>
      <c r="D526">
        <f>IFERROR(INDEX(SBC_DIO_E1N004INF1!N:N,MATCH('По платам'!$B526,SBC_DIO_E1N004INF1!L:L,0)),0)</f>
        <v>0</v>
      </c>
      <c r="E526">
        <f>IFERROR(INDEX(SBC_35_2C3_1_E1E001CPU1E!N:N,MATCH('По платам'!$B526,SBC_35_2C3_1_E1E001CPU1E!L:L,0)),0)</f>
        <v>0</v>
      </c>
      <c r="F526">
        <f>IFERROR(INDEX(PCIe104_PSU_E1N001PWR1!N:N,MATCH('По платам'!$B526,PCIe104_PSU_E1N001PWR1!L:L,0)),0)</f>
        <v>0</v>
      </c>
      <c r="G526">
        <f>IFERROR(INDEX(PCIe104_INF2_E1N006INF1!N:N,MATCH('По платам'!$B526,PCIe104_INF2_E1N006INF1!L:L,0)),0)</f>
        <v>4</v>
      </c>
      <c r="H526">
        <f>IFERROR(INDEX(PCIe104_CON_E1N005INF1!N:N,MATCH('По платам'!$B526,PCIe104_CON_E1N005INF1!L:L,0)),0)</f>
        <v>5</v>
      </c>
      <c r="I526">
        <f>IFERROR(INDEX('EM-PCIE104-CPU_E1E001CPU1E'!N:N,MATCH('По платам'!$B526,'EM-PCIE104-CPU_E1E001CPU1E'!L:L,0)),0)</f>
        <v>0</v>
      </c>
      <c r="J526">
        <f>IFERROR(INDEX(PCIe104_INF_E1N001INF1!N:N,MATCH('По платам'!$B526,PCIe104_INF_E1N001INF1!L:L,0)),0)</f>
        <v>7</v>
      </c>
      <c r="K526">
        <f>IFERROR(INDEX(IB_2RS232_E1N002INF1!N:N,MATCH('По платам'!$B526,IB_2RS232_E1N002INF1!L:L,0)),0)</f>
        <v>3</v>
      </c>
      <c r="L526">
        <f>IFERROR(INDEX(IB_2CAN_E1N003INF1!N:N,MATCH('По платам'!$B526,IB_2CAN_E1N003INF1!L:L,0)),0)</f>
        <v>2</v>
      </c>
    </row>
    <row r="527" spans="2:12">
      <c r="B527" s="3" t="s">
        <v>430</v>
      </c>
      <c r="C527">
        <f>IFERROR(INDEX('C2B004CPU2'!N:N,MATCH('По платам'!B527,'C2B004CPU2'!L:L,0)),0)</f>
        <v>5</v>
      </c>
      <c r="D527">
        <f>IFERROR(INDEX(SBC_DIO_E1N004INF1!N:N,MATCH('По платам'!$B527,SBC_DIO_E1N004INF1!L:L,0)),0)</f>
        <v>0</v>
      </c>
      <c r="E527">
        <f>IFERROR(INDEX(SBC_35_2C3_1_E1E001CPU1E!N:N,MATCH('По платам'!$B527,SBC_35_2C3_1_E1E001CPU1E!L:L,0)),0)</f>
        <v>0</v>
      </c>
      <c r="F527">
        <f>IFERROR(INDEX(PCIe104_PSU_E1N001PWR1!N:N,MATCH('По платам'!$B527,PCIe104_PSU_E1N001PWR1!L:L,0)),0)</f>
        <v>0</v>
      </c>
      <c r="G527">
        <f>IFERROR(INDEX(PCIe104_INF2_E1N006INF1!N:N,MATCH('По платам'!$B527,PCIe104_INF2_E1N006INF1!L:L,0)),0)</f>
        <v>3</v>
      </c>
      <c r="H527">
        <f>IFERROR(INDEX(PCIe104_CON_E1N005INF1!N:N,MATCH('По платам'!$B527,PCIe104_CON_E1N005INF1!L:L,0)),0)</f>
        <v>0</v>
      </c>
      <c r="I527">
        <f>IFERROR(INDEX('EM-PCIE104-CPU_E1E001CPU1E'!N:N,MATCH('По платам'!$B527,'EM-PCIE104-CPU_E1E001CPU1E'!L:L,0)),0)</f>
        <v>34</v>
      </c>
      <c r="J527">
        <f>IFERROR(INDEX(PCIe104_INF_E1N001INF1!N:N,MATCH('По платам'!$B527,PCIe104_INF_E1N001INF1!L:L,0)),0)</f>
        <v>62</v>
      </c>
      <c r="K527">
        <f>IFERROR(INDEX(IB_2RS232_E1N002INF1!N:N,MATCH('По платам'!$B527,IB_2RS232_E1N002INF1!L:L,0)),0)</f>
        <v>0</v>
      </c>
      <c r="L527">
        <f>IFERROR(INDEX(IB_2CAN_E1N003INF1!N:N,MATCH('По платам'!$B527,IB_2CAN_E1N003INF1!L:L,0)),0)</f>
        <v>0</v>
      </c>
    </row>
    <row r="528" spans="2:12">
      <c r="B528" s="3" t="s">
        <v>947</v>
      </c>
      <c r="C528">
        <f>IFERROR(INDEX('C2B004CPU2'!N:N,MATCH('По платам'!B528,'C2B004CPU2'!L:L,0)),0)</f>
        <v>0</v>
      </c>
      <c r="D528">
        <f>IFERROR(INDEX(SBC_DIO_E1N004INF1!N:N,MATCH('По платам'!$B528,SBC_DIO_E1N004INF1!L:L,0)),0)</f>
        <v>0</v>
      </c>
      <c r="E528">
        <f>IFERROR(INDEX(SBC_35_2C3_1_E1E001CPU1E!N:N,MATCH('По платам'!$B528,SBC_35_2C3_1_E1E001CPU1E!L:L,0)),0)</f>
        <v>0</v>
      </c>
      <c r="F528">
        <f>IFERROR(INDEX(PCIe104_PSU_E1N001PWR1!N:N,MATCH('По платам'!$B528,PCIe104_PSU_E1N001PWR1!L:L,0)),0)</f>
        <v>0</v>
      </c>
      <c r="G528">
        <f>IFERROR(INDEX(PCIe104_INF2_E1N006INF1!N:N,MATCH('По платам'!$B528,PCIe104_INF2_E1N006INF1!L:L,0)),0)</f>
        <v>0</v>
      </c>
      <c r="H528">
        <f>IFERROR(INDEX(PCIe104_CON_E1N005INF1!N:N,MATCH('По платам'!$B528,PCIe104_CON_E1N005INF1!L:L,0)),0)</f>
        <v>0</v>
      </c>
      <c r="I528">
        <f>IFERROR(INDEX('EM-PCIE104-CPU_E1E001CPU1E'!N:N,MATCH('По платам'!$B528,'EM-PCIE104-CPU_E1E001CPU1E'!L:L,0)),0)</f>
        <v>1</v>
      </c>
      <c r="J528">
        <f>IFERROR(INDEX(PCIe104_INF_E1N001INF1!N:N,MATCH('По платам'!$B528,PCIe104_INF_E1N001INF1!L:L,0)),0)</f>
        <v>0</v>
      </c>
      <c r="K528">
        <f>IFERROR(INDEX(IB_2RS232_E1N002INF1!N:N,MATCH('По платам'!$B528,IB_2RS232_E1N002INF1!L:L,0)),0)</f>
        <v>0</v>
      </c>
      <c r="L528">
        <f>IFERROR(INDEX(IB_2CAN_E1N003INF1!N:N,MATCH('По платам'!$B528,IB_2CAN_E1N003INF1!L:L,0)),0)</f>
        <v>0</v>
      </c>
    </row>
    <row r="529" spans="2:12">
      <c r="B529" s="3" t="s">
        <v>414</v>
      </c>
      <c r="C529">
        <f>IFERROR(INDEX('C2B004CPU2'!N:N,MATCH('По платам'!B529,'C2B004CPU2'!L:L,0)),0)</f>
        <v>0</v>
      </c>
      <c r="D529">
        <f>IFERROR(INDEX(SBC_DIO_E1N004INF1!N:N,MATCH('По платам'!$B529,SBC_DIO_E1N004INF1!L:L,0)),0)</f>
        <v>0</v>
      </c>
      <c r="E529">
        <f>IFERROR(INDEX(SBC_35_2C3_1_E1E001CPU1E!N:N,MATCH('По платам'!$B529,SBC_35_2C3_1_E1E001CPU1E!L:L,0)),0)</f>
        <v>0</v>
      </c>
      <c r="F529">
        <f>IFERROR(INDEX(PCIe104_PSU_E1N001PWR1!N:N,MATCH('По платам'!$B529,PCIe104_PSU_E1N001PWR1!L:L,0)),0)</f>
        <v>0</v>
      </c>
      <c r="G529">
        <f>IFERROR(INDEX(PCIe104_INF2_E1N006INF1!N:N,MATCH('По платам'!$B529,PCIe104_INF2_E1N006INF1!L:L,0)),0)</f>
        <v>2</v>
      </c>
      <c r="H529">
        <f>IFERROR(INDEX(PCIe104_CON_E1N005INF1!N:N,MATCH('По платам'!$B529,PCIe104_CON_E1N005INF1!L:L,0)),0)</f>
        <v>0</v>
      </c>
      <c r="I529">
        <f>IFERROR(INDEX('EM-PCIE104-CPU_E1E001CPU1E'!N:N,MATCH('По платам'!$B529,'EM-PCIE104-CPU_E1E001CPU1E'!L:L,0)),0)</f>
        <v>80</v>
      </c>
      <c r="J529">
        <f>IFERROR(INDEX(PCIe104_INF_E1N001INF1!N:N,MATCH('По платам'!$B529,PCIe104_INF_E1N001INF1!L:L,0)),0)</f>
        <v>60</v>
      </c>
      <c r="K529">
        <f>IFERROR(INDEX(IB_2RS232_E1N002INF1!N:N,MATCH('По платам'!$B529,IB_2RS232_E1N002INF1!L:L,0)),0)</f>
        <v>0</v>
      </c>
      <c r="L529">
        <f>IFERROR(INDEX(IB_2CAN_E1N003INF1!N:N,MATCH('По платам'!$B529,IB_2CAN_E1N003INF1!L:L,0)),0)</f>
        <v>0</v>
      </c>
    </row>
    <row r="530" spans="2:12">
      <c r="B530" s="3" t="s">
        <v>427</v>
      </c>
      <c r="C530">
        <f>IFERROR(INDEX('C2B004CPU2'!N:N,MATCH('По платам'!B530,'C2B004CPU2'!L:L,0)),0)</f>
        <v>0</v>
      </c>
      <c r="D530">
        <f>IFERROR(INDEX(SBC_DIO_E1N004INF1!N:N,MATCH('По платам'!$B530,SBC_DIO_E1N004INF1!L:L,0)),0)</f>
        <v>0</v>
      </c>
      <c r="E530">
        <f>IFERROR(INDEX(SBC_35_2C3_1_E1E001CPU1E!N:N,MATCH('По платам'!$B530,SBC_35_2C3_1_E1E001CPU1E!L:L,0)),0)</f>
        <v>0</v>
      </c>
      <c r="F530">
        <f>IFERROR(INDEX(PCIe104_PSU_E1N001PWR1!N:N,MATCH('По платам'!$B530,PCIe104_PSU_E1N001PWR1!L:L,0)),0)</f>
        <v>0</v>
      </c>
      <c r="G530">
        <f>IFERROR(INDEX(PCIe104_INF2_E1N006INF1!N:N,MATCH('По платам'!$B530,PCIe104_INF2_E1N006INF1!L:L,0)),0)</f>
        <v>0</v>
      </c>
      <c r="H530">
        <f>IFERROR(INDEX(PCIe104_CON_E1N005INF1!N:N,MATCH('По платам'!$B530,PCIe104_CON_E1N005INF1!L:L,0)),0)</f>
        <v>0</v>
      </c>
      <c r="I530">
        <f>IFERROR(INDEX('EM-PCIE104-CPU_E1E001CPU1E'!N:N,MATCH('По платам'!$B530,'EM-PCIE104-CPU_E1E001CPU1E'!L:L,0)),0)</f>
        <v>0</v>
      </c>
      <c r="J530">
        <f>IFERROR(INDEX(PCIe104_INF_E1N001INF1!N:N,MATCH('По платам'!$B530,PCIe104_INF_E1N001INF1!L:L,0)),0)</f>
        <v>2</v>
      </c>
      <c r="K530">
        <f>IFERROR(INDEX(IB_2RS232_E1N002INF1!N:N,MATCH('По платам'!$B530,IB_2RS232_E1N002INF1!L:L,0)),0)</f>
        <v>0</v>
      </c>
      <c r="L530">
        <f>IFERROR(INDEX(IB_2CAN_E1N003INF1!N:N,MATCH('По платам'!$B530,IB_2CAN_E1N003INF1!L:L,0)),0)</f>
        <v>0</v>
      </c>
    </row>
    <row r="531" spans="2:12">
      <c r="B531" s="3" t="s">
        <v>485</v>
      </c>
      <c r="C531">
        <f>IFERROR(INDEX('C2B004CPU2'!N:N,MATCH('По платам'!B531,'C2B004CPU2'!L:L,0)),0)</f>
        <v>0</v>
      </c>
      <c r="D531">
        <f>IFERROR(INDEX(SBC_DIO_E1N004INF1!N:N,MATCH('По платам'!$B531,SBC_DIO_E1N004INF1!L:L,0)),0)</f>
        <v>0</v>
      </c>
      <c r="E531">
        <f>IFERROR(INDEX(SBC_35_2C3_1_E1E001CPU1E!N:N,MATCH('По платам'!$B531,SBC_35_2C3_1_E1E001CPU1E!L:L,0)),0)</f>
        <v>0</v>
      </c>
      <c r="F531">
        <f>IFERROR(INDEX(PCIe104_PSU_E1N001PWR1!N:N,MATCH('По платам'!$B531,PCIe104_PSU_E1N001PWR1!L:L,0)),0)</f>
        <v>0</v>
      </c>
      <c r="G531">
        <f>IFERROR(INDEX(PCIe104_INF2_E1N006INF1!N:N,MATCH('По платам'!$B531,PCIe104_INF2_E1N006INF1!L:L,0)),0)</f>
        <v>6</v>
      </c>
      <c r="H531">
        <f>IFERROR(INDEX(PCIe104_CON_E1N005INF1!N:N,MATCH('По платам'!$B531,PCIe104_CON_E1N005INF1!L:L,0)),0)</f>
        <v>0</v>
      </c>
      <c r="I531">
        <f>IFERROR(INDEX('EM-PCIE104-CPU_E1E001CPU1E'!N:N,MATCH('По платам'!$B531,'EM-PCIE104-CPU_E1E001CPU1E'!L:L,0)),0)</f>
        <v>0</v>
      </c>
      <c r="J531">
        <f>IFERROR(INDEX(PCIe104_INF_E1N001INF1!N:N,MATCH('По платам'!$B531,PCIe104_INF_E1N001INF1!L:L,0)),0)</f>
        <v>3</v>
      </c>
      <c r="K531">
        <f>IFERROR(INDEX(IB_2RS232_E1N002INF1!N:N,MATCH('По платам'!$B531,IB_2RS232_E1N002INF1!L:L,0)),0)</f>
        <v>0</v>
      </c>
      <c r="L531">
        <f>IFERROR(INDEX(IB_2CAN_E1N003INF1!N:N,MATCH('По платам'!$B531,IB_2CAN_E1N003INF1!L:L,0)),0)</f>
        <v>0</v>
      </c>
    </row>
    <row r="532" spans="2:12">
      <c r="B532" s="3" t="s">
        <v>456</v>
      </c>
      <c r="C532">
        <f>IFERROR(INDEX('C2B004CPU2'!N:N,MATCH('По платам'!B532,'C2B004CPU2'!L:L,0)),0)</f>
        <v>0</v>
      </c>
      <c r="D532">
        <f>IFERROR(INDEX(SBC_DIO_E1N004INF1!N:N,MATCH('По платам'!$B532,SBC_DIO_E1N004INF1!L:L,0)),0)</f>
        <v>0</v>
      </c>
      <c r="E532">
        <f>IFERROR(INDEX(SBC_35_2C3_1_E1E001CPU1E!N:N,MATCH('По платам'!$B532,SBC_35_2C3_1_E1E001CPU1E!L:L,0)),0)</f>
        <v>0</v>
      </c>
      <c r="F532">
        <f>IFERROR(INDEX(PCIe104_PSU_E1N001PWR1!N:N,MATCH('По платам'!$B532,PCIe104_PSU_E1N001PWR1!L:L,0)),0)</f>
        <v>0</v>
      </c>
      <c r="G532">
        <f>IFERROR(INDEX(PCIe104_INF2_E1N006INF1!N:N,MATCH('По платам'!$B532,PCIe104_INF2_E1N006INF1!L:L,0)),0)</f>
        <v>0</v>
      </c>
      <c r="H532">
        <f>IFERROR(INDEX(PCIe104_CON_E1N005INF1!N:N,MATCH('По платам'!$B532,PCIe104_CON_E1N005INF1!L:L,0)),0)</f>
        <v>0</v>
      </c>
      <c r="I532">
        <f>IFERROR(INDEX('EM-PCIE104-CPU_E1E001CPU1E'!N:N,MATCH('По платам'!$B532,'EM-PCIE104-CPU_E1E001CPU1E'!L:L,0)),0)</f>
        <v>0</v>
      </c>
      <c r="J532">
        <f>IFERROR(INDEX(PCIe104_INF_E1N001INF1!N:N,MATCH('По платам'!$B532,PCIe104_INF_E1N001INF1!L:L,0)),0)</f>
        <v>3</v>
      </c>
      <c r="K532">
        <f>IFERROR(INDEX(IB_2RS232_E1N002INF1!N:N,MATCH('По платам'!$B532,IB_2RS232_E1N002INF1!L:L,0)),0)</f>
        <v>0</v>
      </c>
      <c r="L532">
        <f>IFERROR(INDEX(IB_2CAN_E1N003INF1!N:N,MATCH('По платам'!$B532,IB_2CAN_E1N003INF1!L:L,0)),0)</f>
        <v>0</v>
      </c>
    </row>
    <row r="533" spans="2:12">
      <c r="B533" s="3" t="s">
        <v>476</v>
      </c>
      <c r="C533">
        <f>IFERROR(INDEX('C2B004CPU2'!N:N,MATCH('По платам'!B533,'C2B004CPU2'!L:L,0)),0)</f>
        <v>0</v>
      </c>
      <c r="D533">
        <f>IFERROR(INDEX(SBC_DIO_E1N004INF1!N:N,MATCH('По платам'!$B533,SBC_DIO_E1N004INF1!L:L,0)),0)</f>
        <v>0</v>
      </c>
      <c r="E533">
        <f>IFERROR(INDEX(SBC_35_2C3_1_E1E001CPU1E!N:N,MATCH('По платам'!$B533,SBC_35_2C3_1_E1E001CPU1E!L:L,0)),0)</f>
        <v>0</v>
      </c>
      <c r="F533">
        <f>IFERROR(INDEX(PCIe104_PSU_E1N001PWR1!N:N,MATCH('По платам'!$B533,PCIe104_PSU_E1N001PWR1!L:L,0)),0)</f>
        <v>0</v>
      </c>
      <c r="G533">
        <f>IFERROR(INDEX(PCIe104_INF2_E1N006INF1!N:N,MATCH('По платам'!$B533,PCIe104_INF2_E1N006INF1!L:L,0)),0)</f>
        <v>0</v>
      </c>
      <c r="H533">
        <f>IFERROR(INDEX(PCIe104_CON_E1N005INF1!N:N,MATCH('По платам'!$B533,PCIe104_CON_E1N005INF1!L:L,0)),0)</f>
        <v>0</v>
      </c>
      <c r="I533">
        <f>IFERROR(INDEX('EM-PCIE104-CPU_E1E001CPU1E'!N:N,MATCH('По платам'!$B533,'EM-PCIE104-CPU_E1E001CPU1E'!L:L,0)),0)</f>
        <v>0</v>
      </c>
      <c r="J533">
        <f>IFERROR(INDEX(PCIe104_INF_E1N001INF1!N:N,MATCH('По платам'!$B533,PCIe104_INF_E1N001INF1!L:L,0)),0)</f>
        <v>1</v>
      </c>
      <c r="K533">
        <f>IFERROR(INDEX(IB_2RS232_E1N002INF1!N:N,MATCH('По платам'!$B533,IB_2RS232_E1N002INF1!L:L,0)),0)</f>
        <v>0</v>
      </c>
      <c r="L533">
        <f>IFERROR(INDEX(IB_2CAN_E1N003INF1!N:N,MATCH('По платам'!$B533,IB_2CAN_E1N003INF1!L:L,0)),0)</f>
        <v>0</v>
      </c>
    </row>
    <row r="534" spans="2:12">
      <c r="B534" s="3" t="s">
        <v>433</v>
      </c>
      <c r="C534">
        <f>IFERROR(INDEX('C2B004CPU2'!N:N,MATCH('По платам'!B534,'C2B004CPU2'!L:L,0)),0)</f>
        <v>0</v>
      </c>
      <c r="D534">
        <f>IFERROR(INDEX(SBC_DIO_E1N004INF1!N:N,MATCH('По платам'!$B534,SBC_DIO_E1N004INF1!L:L,0)),0)</f>
        <v>0</v>
      </c>
      <c r="E534">
        <f>IFERROR(INDEX(SBC_35_2C3_1_E1E001CPU1E!N:N,MATCH('По платам'!$B534,SBC_35_2C3_1_E1E001CPU1E!L:L,0)),0)</f>
        <v>0</v>
      </c>
      <c r="F534">
        <f>IFERROR(INDEX(PCIe104_PSU_E1N001PWR1!N:N,MATCH('По платам'!$B534,PCIe104_PSU_E1N001PWR1!L:L,0)),0)</f>
        <v>0</v>
      </c>
      <c r="G534">
        <f>IFERROR(INDEX(PCIe104_INF2_E1N006INF1!N:N,MATCH('По платам'!$B534,PCIe104_INF2_E1N006INF1!L:L,0)),0)</f>
        <v>8</v>
      </c>
      <c r="H534">
        <f>IFERROR(INDEX(PCIe104_CON_E1N005INF1!N:N,MATCH('По платам'!$B534,PCIe104_CON_E1N005INF1!L:L,0)),0)</f>
        <v>0</v>
      </c>
      <c r="I534">
        <f>IFERROR(INDEX('EM-PCIE104-CPU_E1E001CPU1E'!N:N,MATCH('По платам'!$B534,'EM-PCIE104-CPU_E1E001CPU1E'!L:L,0)),0)</f>
        <v>10</v>
      </c>
      <c r="J534">
        <f>IFERROR(INDEX(PCIe104_INF_E1N001INF1!N:N,MATCH('По платам'!$B534,PCIe104_INF_E1N001INF1!L:L,0)),0)</f>
        <v>9</v>
      </c>
      <c r="K534">
        <f>IFERROR(INDEX(IB_2RS232_E1N002INF1!N:N,MATCH('По платам'!$B534,IB_2RS232_E1N002INF1!L:L,0)),0)</f>
        <v>0</v>
      </c>
      <c r="L534">
        <f>IFERROR(INDEX(IB_2CAN_E1N003INF1!N:N,MATCH('По платам'!$B534,IB_2CAN_E1N003INF1!L:L,0)),0)</f>
        <v>0</v>
      </c>
    </row>
    <row r="535" spans="2:12">
      <c r="B535" s="3" t="s">
        <v>462</v>
      </c>
      <c r="C535">
        <f>IFERROR(INDEX('C2B004CPU2'!N:N,MATCH('По платам'!B535,'C2B004CPU2'!L:L,0)),0)</f>
        <v>0</v>
      </c>
      <c r="D535">
        <f>IFERROR(INDEX(SBC_DIO_E1N004INF1!N:N,MATCH('По платам'!$B535,SBC_DIO_E1N004INF1!L:L,0)),0)</f>
        <v>0</v>
      </c>
      <c r="E535">
        <f>IFERROR(INDEX(SBC_35_2C3_1_E1E001CPU1E!N:N,MATCH('По платам'!$B535,SBC_35_2C3_1_E1E001CPU1E!L:L,0)),0)</f>
        <v>0</v>
      </c>
      <c r="F535">
        <f>IFERROR(INDEX(PCIe104_PSU_E1N001PWR1!N:N,MATCH('По платам'!$B535,PCIe104_PSU_E1N001PWR1!L:L,0)),0)</f>
        <v>0</v>
      </c>
      <c r="G535">
        <f>IFERROR(INDEX(PCIe104_INF2_E1N006INF1!N:N,MATCH('По платам'!$B535,PCIe104_INF2_E1N006INF1!L:L,0)),0)</f>
        <v>0</v>
      </c>
      <c r="H535">
        <f>IFERROR(INDEX(PCIe104_CON_E1N005INF1!N:N,MATCH('По платам'!$B535,PCIe104_CON_E1N005INF1!L:L,0)),0)</f>
        <v>0</v>
      </c>
      <c r="I535">
        <f>IFERROR(INDEX('EM-PCIE104-CPU_E1E001CPU1E'!N:N,MATCH('По платам'!$B535,'EM-PCIE104-CPU_E1E001CPU1E'!L:L,0)),0)</f>
        <v>1</v>
      </c>
      <c r="J535">
        <f>IFERROR(INDEX(PCIe104_INF_E1N001INF1!N:N,MATCH('По платам'!$B535,PCIe104_INF_E1N001INF1!L:L,0)),0)</f>
        <v>4</v>
      </c>
      <c r="K535">
        <f>IFERROR(INDEX(IB_2RS232_E1N002INF1!N:N,MATCH('По платам'!$B535,IB_2RS232_E1N002INF1!L:L,0)),0)</f>
        <v>0</v>
      </c>
      <c r="L535">
        <f>IFERROR(INDEX(IB_2CAN_E1N003INF1!N:N,MATCH('По платам'!$B535,IB_2CAN_E1N003INF1!L:L,0)),0)</f>
        <v>0</v>
      </c>
    </row>
    <row r="536" spans="2:12">
      <c r="B536" s="3" t="s">
        <v>854</v>
      </c>
      <c r="C536">
        <f>IFERROR(INDEX('C2B004CPU2'!N:N,MATCH('По платам'!B536,'C2B004CPU2'!L:L,0)),0)</f>
        <v>0</v>
      </c>
      <c r="D536">
        <f>IFERROR(INDEX(SBC_DIO_E1N004INF1!N:N,MATCH('По платам'!$B536,SBC_DIO_E1N004INF1!L:L,0)),0)</f>
        <v>0</v>
      </c>
      <c r="E536">
        <f>IFERROR(INDEX(SBC_35_2C3_1_E1E001CPU1E!N:N,MATCH('По платам'!$B536,SBC_35_2C3_1_E1E001CPU1E!L:L,0)),0)</f>
        <v>0</v>
      </c>
      <c r="F536">
        <f>IFERROR(INDEX(PCIe104_PSU_E1N001PWR1!N:N,MATCH('По платам'!$B536,PCIe104_PSU_E1N001PWR1!L:L,0)),0)</f>
        <v>0</v>
      </c>
      <c r="G536">
        <f>IFERROR(INDEX(PCIe104_INF2_E1N006INF1!N:N,MATCH('По платам'!$B536,PCIe104_INF2_E1N006INF1!L:L,0)),0)</f>
        <v>0</v>
      </c>
      <c r="H536">
        <f>IFERROR(INDEX(PCIe104_CON_E1N005INF1!N:N,MATCH('По платам'!$B536,PCIe104_CON_E1N005INF1!L:L,0)),0)</f>
        <v>0</v>
      </c>
      <c r="I536">
        <f>IFERROR(INDEX('EM-PCIE104-CPU_E1E001CPU1E'!N:N,MATCH('По платам'!$B536,'EM-PCIE104-CPU_E1E001CPU1E'!L:L,0)),0)</f>
        <v>5</v>
      </c>
      <c r="J536">
        <f>IFERROR(INDEX(PCIe104_INF_E1N001INF1!N:N,MATCH('По платам'!$B536,PCIe104_INF_E1N001INF1!L:L,0)),0)</f>
        <v>0</v>
      </c>
      <c r="K536">
        <f>IFERROR(INDEX(IB_2RS232_E1N002INF1!N:N,MATCH('По платам'!$B536,IB_2RS232_E1N002INF1!L:L,0)),0)</f>
        <v>0</v>
      </c>
      <c r="L536">
        <f>IFERROR(INDEX(IB_2CAN_E1N003INF1!N:N,MATCH('По платам'!$B536,IB_2CAN_E1N003INF1!L:L,0)),0)</f>
        <v>0</v>
      </c>
    </row>
    <row r="537" spans="2:12">
      <c r="B537" s="3" t="s">
        <v>893</v>
      </c>
      <c r="C537">
        <f>IFERROR(INDEX('C2B004CPU2'!N:N,MATCH('По платам'!B537,'C2B004CPU2'!L:L,0)),0)</f>
        <v>0</v>
      </c>
      <c r="D537">
        <f>IFERROR(INDEX(SBC_DIO_E1N004INF1!N:N,MATCH('По платам'!$B537,SBC_DIO_E1N004INF1!L:L,0)),0)</f>
        <v>0</v>
      </c>
      <c r="E537">
        <f>IFERROR(INDEX(SBC_35_2C3_1_E1E001CPU1E!N:N,MATCH('По платам'!$B537,SBC_35_2C3_1_E1E001CPU1E!L:L,0)),0)</f>
        <v>0</v>
      </c>
      <c r="F537">
        <f>IFERROR(INDEX(PCIe104_PSU_E1N001PWR1!N:N,MATCH('По платам'!$B537,PCIe104_PSU_E1N001PWR1!L:L,0)),0)</f>
        <v>0</v>
      </c>
      <c r="G537">
        <f>IFERROR(INDEX(PCIe104_INF2_E1N006INF1!N:N,MATCH('По платам'!$B537,PCIe104_INF2_E1N006INF1!L:L,0)),0)</f>
        <v>0</v>
      </c>
      <c r="H537">
        <f>IFERROR(INDEX(PCIe104_CON_E1N005INF1!N:N,MATCH('По платам'!$B537,PCIe104_CON_E1N005INF1!L:L,0)),0)</f>
        <v>0</v>
      </c>
      <c r="I537">
        <f>IFERROR(INDEX('EM-PCIE104-CPU_E1E001CPU1E'!N:N,MATCH('По платам'!$B537,'EM-PCIE104-CPU_E1E001CPU1E'!L:L,0)),0)</f>
        <v>11</v>
      </c>
      <c r="J537">
        <f>IFERROR(INDEX(PCIe104_INF_E1N001INF1!N:N,MATCH('По платам'!$B537,PCIe104_INF_E1N001INF1!L:L,0)),0)</f>
        <v>0</v>
      </c>
      <c r="K537">
        <f>IFERROR(INDEX(IB_2RS232_E1N002INF1!N:N,MATCH('По платам'!$B537,IB_2RS232_E1N002INF1!L:L,0)),0)</f>
        <v>0</v>
      </c>
      <c r="L537">
        <f>IFERROR(INDEX(IB_2CAN_E1N003INF1!N:N,MATCH('По платам'!$B537,IB_2CAN_E1N003INF1!L:L,0)),0)</f>
        <v>0</v>
      </c>
    </row>
    <row r="538" spans="2:12">
      <c r="B538" s="3" t="s">
        <v>471</v>
      </c>
      <c r="C538">
        <f>IFERROR(INDEX('C2B004CPU2'!N:N,MATCH('По платам'!B538,'C2B004CPU2'!L:L,0)),0)</f>
        <v>0</v>
      </c>
      <c r="D538">
        <f>IFERROR(INDEX(SBC_DIO_E1N004INF1!N:N,MATCH('По платам'!$B538,SBC_DIO_E1N004INF1!L:L,0)),0)</f>
        <v>0</v>
      </c>
      <c r="E538">
        <f>IFERROR(INDEX(SBC_35_2C3_1_E1E001CPU1E!N:N,MATCH('По платам'!$B538,SBC_35_2C3_1_E1E001CPU1E!L:L,0)),0)</f>
        <v>0</v>
      </c>
      <c r="F538">
        <f>IFERROR(INDEX(PCIe104_PSU_E1N001PWR1!N:N,MATCH('По платам'!$B538,PCIe104_PSU_E1N001PWR1!L:L,0)),0)</f>
        <v>0</v>
      </c>
      <c r="G538">
        <f>IFERROR(INDEX(PCIe104_INF2_E1N006INF1!N:N,MATCH('По платам'!$B538,PCIe104_INF2_E1N006INF1!L:L,0)),0)</f>
        <v>0</v>
      </c>
      <c r="H538">
        <f>IFERROR(INDEX(PCIe104_CON_E1N005INF1!N:N,MATCH('По платам'!$B538,PCIe104_CON_E1N005INF1!L:L,0)),0)</f>
        <v>0</v>
      </c>
      <c r="I538">
        <f>IFERROR(INDEX('EM-PCIE104-CPU_E1E001CPU1E'!N:N,MATCH('По платам'!$B538,'EM-PCIE104-CPU_E1E001CPU1E'!L:L,0)),0)</f>
        <v>17</v>
      </c>
      <c r="J538">
        <f>IFERROR(INDEX(PCIe104_INF_E1N001INF1!N:N,MATCH('По платам'!$B538,PCIe104_INF_E1N001INF1!L:L,0)),0)</f>
        <v>3</v>
      </c>
      <c r="K538">
        <f>IFERROR(INDEX(IB_2RS232_E1N002INF1!N:N,MATCH('По платам'!$B538,IB_2RS232_E1N002INF1!L:L,0)),0)</f>
        <v>0</v>
      </c>
      <c r="L538">
        <f>IFERROR(INDEX(IB_2CAN_E1N003INF1!N:N,MATCH('По платам'!$B538,IB_2CAN_E1N003INF1!L:L,0)),0)</f>
        <v>0</v>
      </c>
    </row>
    <row r="539" spans="2:12">
      <c r="B539" s="3" t="s">
        <v>857</v>
      </c>
      <c r="C539">
        <f>IFERROR(INDEX('C2B004CPU2'!N:N,MATCH('По платам'!B539,'C2B004CPU2'!L:L,0)),0)</f>
        <v>0</v>
      </c>
      <c r="D539">
        <f>IFERROR(INDEX(SBC_DIO_E1N004INF1!N:N,MATCH('По платам'!$B539,SBC_DIO_E1N004INF1!L:L,0)),0)</f>
        <v>0</v>
      </c>
      <c r="E539">
        <f>IFERROR(INDEX(SBC_35_2C3_1_E1E001CPU1E!N:N,MATCH('По платам'!$B539,SBC_35_2C3_1_E1E001CPU1E!L:L,0)),0)</f>
        <v>0</v>
      </c>
      <c r="F539">
        <f>IFERROR(INDEX(PCIe104_PSU_E1N001PWR1!N:N,MATCH('По платам'!$B539,PCIe104_PSU_E1N001PWR1!L:L,0)),0)</f>
        <v>0</v>
      </c>
      <c r="G539">
        <f>IFERROR(INDEX(PCIe104_INF2_E1N006INF1!N:N,MATCH('По платам'!$B539,PCIe104_INF2_E1N006INF1!L:L,0)),0)</f>
        <v>0</v>
      </c>
      <c r="H539">
        <f>IFERROR(INDEX(PCIe104_CON_E1N005INF1!N:N,MATCH('По платам'!$B539,PCIe104_CON_E1N005INF1!L:L,0)),0)</f>
        <v>0</v>
      </c>
      <c r="I539">
        <f>IFERROR(INDEX('EM-PCIE104-CPU_E1E001CPU1E'!N:N,MATCH('По платам'!$B539,'EM-PCIE104-CPU_E1E001CPU1E'!L:L,0)),0)</f>
        <v>22</v>
      </c>
      <c r="J539">
        <f>IFERROR(INDEX(PCIe104_INF_E1N001INF1!N:N,MATCH('По платам'!$B539,PCIe104_INF_E1N001INF1!L:L,0)),0)</f>
        <v>0</v>
      </c>
      <c r="K539">
        <f>IFERROR(INDEX(IB_2RS232_E1N002INF1!N:N,MATCH('По платам'!$B539,IB_2RS232_E1N002INF1!L:L,0)),0)</f>
        <v>0</v>
      </c>
      <c r="L539">
        <f>IFERROR(INDEX(IB_2CAN_E1N003INF1!N:N,MATCH('По платам'!$B539,IB_2CAN_E1N003INF1!L:L,0)),0)</f>
        <v>0</v>
      </c>
    </row>
    <row r="540" spans="2:12">
      <c r="B540" s="3" t="s">
        <v>464</v>
      </c>
      <c r="C540">
        <f>IFERROR(INDEX('C2B004CPU2'!N:N,MATCH('По платам'!B540,'C2B004CPU2'!L:L,0)),0)</f>
        <v>0</v>
      </c>
      <c r="D540">
        <f>IFERROR(INDEX(SBC_DIO_E1N004INF1!N:N,MATCH('По платам'!$B540,SBC_DIO_E1N004INF1!L:L,0)),0)</f>
        <v>0</v>
      </c>
      <c r="E540">
        <f>IFERROR(INDEX(SBC_35_2C3_1_E1E001CPU1E!N:N,MATCH('По платам'!$B540,SBC_35_2C3_1_E1E001CPU1E!L:L,0)),0)</f>
        <v>0</v>
      </c>
      <c r="F540">
        <f>IFERROR(INDEX(PCIe104_PSU_E1N001PWR1!N:N,MATCH('По платам'!$B540,PCIe104_PSU_E1N001PWR1!L:L,0)),0)</f>
        <v>0</v>
      </c>
      <c r="G540">
        <f>IFERROR(INDEX(PCIe104_INF2_E1N006INF1!N:N,MATCH('По платам'!$B540,PCIe104_INF2_E1N006INF1!L:L,0)),0)</f>
        <v>0</v>
      </c>
      <c r="H540">
        <f>IFERROR(INDEX(PCIe104_CON_E1N005INF1!N:N,MATCH('По платам'!$B540,PCIe104_CON_E1N005INF1!L:L,0)),0)</f>
        <v>0</v>
      </c>
      <c r="I540">
        <f>IFERROR(INDEX('EM-PCIE104-CPU_E1E001CPU1E'!N:N,MATCH('По платам'!$B540,'EM-PCIE104-CPU_E1E001CPU1E'!L:L,0)),0)</f>
        <v>0</v>
      </c>
      <c r="J540">
        <f>IFERROR(INDEX(PCIe104_INF_E1N001INF1!N:N,MATCH('По платам'!$B540,PCIe104_INF_E1N001INF1!L:L,0)),0)</f>
        <v>4</v>
      </c>
      <c r="K540">
        <f>IFERROR(INDEX(IB_2RS232_E1N002INF1!N:N,MATCH('По платам'!$B540,IB_2RS232_E1N002INF1!L:L,0)),0)</f>
        <v>0</v>
      </c>
      <c r="L540">
        <f>IFERROR(INDEX(IB_2CAN_E1N003INF1!N:N,MATCH('По платам'!$B540,IB_2CAN_E1N003INF1!L:L,0)),0)</f>
        <v>0</v>
      </c>
    </row>
    <row r="541" spans="2:12">
      <c r="B541" s="3" t="s">
        <v>482</v>
      </c>
      <c r="C541">
        <f>IFERROR(INDEX('C2B004CPU2'!N:N,MATCH('По платам'!B541,'C2B004CPU2'!L:L,0)),0)</f>
        <v>0</v>
      </c>
      <c r="D541">
        <f>IFERROR(INDEX(SBC_DIO_E1N004INF1!N:N,MATCH('По платам'!$B541,SBC_DIO_E1N004INF1!L:L,0)),0)</f>
        <v>0</v>
      </c>
      <c r="E541">
        <f>IFERROR(INDEX(SBC_35_2C3_1_E1E001CPU1E!N:N,MATCH('По платам'!$B541,SBC_35_2C3_1_E1E001CPU1E!L:L,0)),0)</f>
        <v>0</v>
      </c>
      <c r="F541">
        <f>IFERROR(INDEX(PCIe104_PSU_E1N001PWR1!N:N,MATCH('По платам'!$B541,PCIe104_PSU_E1N001PWR1!L:L,0)),0)</f>
        <v>0</v>
      </c>
      <c r="G541">
        <f>IFERROR(INDEX(PCIe104_INF2_E1N006INF1!N:N,MATCH('По платам'!$B541,PCIe104_INF2_E1N006INF1!L:L,0)),0)</f>
        <v>13</v>
      </c>
      <c r="H541">
        <f>IFERROR(INDEX(PCIe104_CON_E1N005INF1!N:N,MATCH('По платам'!$B541,PCIe104_CON_E1N005INF1!L:L,0)),0)</f>
        <v>0</v>
      </c>
      <c r="I541">
        <f>IFERROR(INDEX('EM-PCIE104-CPU_E1E001CPU1E'!N:N,MATCH('По платам'!$B541,'EM-PCIE104-CPU_E1E001CPU1E'!L:L,0)),0)</f>
        <v>5</v>
      </c>
      <c r="J541">
        <f>IFERROR(INDEX(PCIe104_INF_E1N001INF1!N:N,MATCH('По платам'!$B541,PCIe104_INF_E1N001INF1!L:L,0)),0)</f>
        <v>9</v>
      </c>
      <c r="K541">
        <f>IFERROR(INDEX(IB_2RS232_E1N002INF1!N:N,MATCH('По платам'!$B541,IB_2RS232_E1N002INF1!L:L,0)),0)</f>
        <v>0</v>
      </c>
      <c r="L541">
        <f>IFERROR(INDEX(IB_2CAN_E1N003INF1!N:N,MATCH('По платам'!$B541,IB_2CAN_E1N003INF1!L:L,0)),0)</f>
        <v>0</v>
      </c>
    </row>
    <row r="542" spans="2:12">
      <c r="B542" s="3" t="s">
        <v>459</v>
      </c>
      <c r="C542">
        <f>IFERROR(INDEX('C2B004CPU2'!N:N,MATCH('По платам'!B542,'C2B004CPU2'!L:L,0)),0)</f>
        <v>0</v>
      </c>
      <c r="D542">
        <f>IFERROR(INDEX(SBC_DIO_E1N004INF1!N:N,MATCH('По платам'!$B542,SBC_DIO_E1N004INF1!L:L,0)),0)</f>
        <v>0</v>
      </c>
      <c r="E542">
        <f>IFERROR(INDEX(SBC_35_2C3_1_E1E001CPU1E!N:N,MATCH('По платам'!$B542,SBC_35_2C3_1_E1E001CPU1E!L:L,0)),0)</f>
        <v>0</v>
      </c>
      <c r="F542">
        <f>IFERROR(INDEX(PCIe104_PSU_E1N001PWR1!N:N,MATCH('По платам'!$B542,PCIe104_PSU_E1N001PWR1!L:L,0)),0)</f>
        <v>0</v>
      </c>
      <c r="G542">
        <f>IFERROR(INDEX(PCIe104_INF2_E1N006INF1!N:N,MATCH('По платам'!$B542,PCIe104_INF2_E1N006INF1!L:L,0)),0)</f>
        <v>0</v>
      </c>
      <c r="H542">
        <f>IFERROR(INDEX(PCIe104_CON_E1N005INF1!N:N,MATCH('По платам'!$B542,PCIe104_CON_E1N005INF1!L:L,0)),0)</f>
        <v>0</v>
      </c>
      <c r="I542">
        <f>IFERROR(INDEX('EM-PCIE104-CPU_E1E001CPU1E'!N:N,MATCH('По платам'!$B542,'EM-PCIE104-CPU_E1E001CPU1E'!L:L,0)),0)</f>
        <v>1</v>
      </c>
      <c r="J542">
        <f>IFERROR(INDEX(PCIe104_INF_E1N001INF1!N:N,MATCH('По платам'!$B542,PCIe104_INF_E1N001INF1!L:L,0)),0)</f>
        <v>1</v>
      </c>
      <c r="K542">
        <f>IFERROR(INDEX(IB_2RS232_E1N002INF1!N:N,MATCH('По платам'!$B542,IB_2RS232_E1N002INF1!L:L,0)),0)</f>
        <v>0</v>
      </c>
      <c r="L542">
        <f>IFERROR(INDEX(IB_2CAN_E1N003INF1!N:N,MATCH('По платам'!$B542,IB_2CAN_E1N003INF1!L:L,0)),0)</f>
        <v>0</v>
      </c>
    </row>
    <row r="543" spans="2:12">
      <c r="B543" s="3" t="s">
        <v>932</v>
      </c>
      <c r="C543">
        <f>IFERROR(INDEX('C2B004CPU2'!N:N,MATCH('По платам'!B543,'C2B004CPU2'!L:L,0)),0)</f>
        <v>0</v>
      </c>
      <c r="D543">
        <f>IFERROR(INDEX(SBC_DIO_E1N004INF1!N:N,MATCH('По платам'!$B543,SBC_DIO_E1N004INF1!L:L,0)),0)</f>
        <v>0</v>
      </c>
      <c r="E543">
        <f>IFERROR(INDEX(SBC_35_2C3_1_E1E001CPU1E!N:N,MATCH('По платам'!$B543,SBC_35_2C3_1_E1E001CPU1E!L:L,0)),0)</f>
        <v>0</v>
      </c>
      <c r="F543">
        <f>IFERROR(INDEX(PCIe104_PSU_E1N001PWR1!N:N,MATCH('По платам'!$B543,PCIe104_PSU_E1N001PWR1!L:L,0)),0)</f>
        <v>0</v>
      </c>
      <c r="G543">
        <f>IFERROR(INDEX(PCIe104_INF2_E1N006INF1!N:N,MATCH('По платам'!$B543,PCIe104_INF2_E1N006INF1!L:L,0)),0)</f>
        <v>0</v>
      </c>
      <c r="H543">
        <f>IFERROR(INDEX(PCIe104_CON_E1N005INF1!N:N,MATCH('По платам'!$B543,PCIe104_CON_E1N005INF1!L:L,0)),0)</f>
        <v>0</v>
      </c>
      <c r="I543">
        <f>IFERROR(INDEX('EM-PCIE104-CPU_E1E001CPU1E'!N:N,MATCH('По платам'!$B543,'EM-PCIE104-CPU_E1E001CPU1E'!L:L,0)),0)</f>
        <v>1</v>
      </c>
      <c r="J543">
        <f>IFERROR(INDEX(PCIe104_INF_E1N001INF1!N:N,MATCH('По платам'!$B543,PCIe104_INF_E1N001INF1!L:L,0)),0)</f>
        <v>0</v>
      </c>
      <c r="K543">
        <f>IFERROR(INDEX(IB_2RS232_E1N002INF1!N:N,MATCH('По платам'!$B543,IB_2RS232_E1N002INF1!L:L,0)),0)</f>
        <v>0</v>
      </c>
      <c r="L543">
        <f>IFERROR(INDEX(IB_2CAN_E1N003INF1!N:N,MATCH('По платам'!$B543,IB_2CAN_E1N003INF1!L:L,0)),0)</f>
        <v>0</v>
      </c>
    </row>
    <row r="544" spans="2:12">
      <c r="B544" s="3" t="s">
        <v>1013</v>
      </c>
      <c r="C544">
        <f>IFERROR(INDEX('C2B004CPU2'!N:N,MATCH('По платам'!B544,'C2B004CPU2'!L:L,0)),0)</f>
        <v>1</v>
      </c>
      <c r="D544">
        <f>IFERROR(INDEX(SBC_DIO_E1N004INF1!N:N,MATCH('По платам'!$B544,SBC_DIO_E1N004INF1!L:L,0)),0)</f>
        <v>0</v>
      </c>
      <c r="E544">
        <f>IFERROR(INDEX(SBC_35_2C3_1_E1E001CPU1E!N:N,MATCH('По платам'!$B544,SBC_35_2C3_1_E1E001CPU1E!L:L,0)),0)</f>
        <v>0</v>
      </c>
      <c r="F544">
        <f>IFERROR(INDEX(PCIe104_PSU_E1N001PWR1!N:N,MATCH('По платам'!$B544,PCIe104_PSU_E1N001PWR1!L:L,0)),0)</f>
        <v>0</v>
      </c>
      <c r="G544">
        <f>IFERROR(INDEX(PCIe104_INF2_E1N006INF1!N:N,MATCH('По платам'!$B544,PCIe104_INF2_E1N006INF1!L:L,0)),0)</f>
        <v>0</v>
      </c>
      <c r="H544">
        <f>IFERROR(INDEX(PCIe104_CON_E1N005INF1!N:N,MATCH('По платам'!$B544,PCIe104_CON_E1N005INF1!L:L,0)),0)</f>
        <v>0</v>
      </c>
      <c r="I544">
        <f>IFERROR(INDEX('EM-PCIE104-CPU_E1E001CPU1E'!N:N,MATCH('По платам'!$B544,'EM-PCIE104-CPU_E1E001CPU1E'!L:L,0)),0)</f>
        <v>1</v>
      </c>
      <c r="J544">
        <f>IFERROR(INDEX(PCIe104_INF_E1N001INF1!N:N,MATCH('По платам'!$B544,PCIe104_INF_E1N001INF1!L:L,0)),0)</f>
        <v>0</v>
      </c>
      <c r="K544">
        <f>IFERROR(INDEX(IB_2RS232_E1N002INF1!N:N,MATCH('По платам'!$B544,IB_2RS232_E1N002INF1!L:L,0)),0)</f>
        <v>0</v>
      </c>
      <c r="L544">
        <f>IFERROR(INDEX(IB_2CAN_E1N003INF1!N:N,MATCH('По платам'!$B544,IB_2CAN_E1N003INF1!L:L,0)),0)</f>
        <v>0</v>
      </c>
    </row>
    <row r="545" spans="2:12">
      <c r="B545" s="3" t="s">
        <v>879</v>
      </c>
      <c r="C545">
        <f>IFERROR(INDEX('C2B004CPU2'!N:N,MATCH('По платам'!B545,'C2B004CPU2'!L:L,0)),0)</f>
        <v>0</v>
      </c>
      <c r="D545">
        <f>IFERROR(INDEX(SBC_DIO_E1N004INF1!N:N,MATCH('По платам'!$B545,SBC_DIO_E1N004INF1!L:L,0)),0)</f>
        <v>0</v>
      </c>
      <c r="E545">
        <f>IFERROR(INDEX(SBC_35_2C3_1_E1E001CPU1E!N:N,MATCH('По платам'!$B545,SBC_35_2C3_1_E1E001CPU1E!L:L,0)),0)</f>
        <v>0</v>
      </c>
      <c r="F545">
        <f>IFERROR(INDEX(PCIe104_PSU_E1N001PWR1!N:N,MATCH('По платам'!$B545,PCIe104_PSU_E1N001PWR1!L:L,0)),0)</f>
        <v>0</v>
      </c>
      <c r="G545">
        <f>IFERROR(INDEX(PCIe104_INF2_E1N006INF1!N:N,MATCH('По платам'!$B545,PCIe104_INF2_E1N006INF1!L:L,0)),0)</f>
        <v>0</v>
      </c>
      <c r="H545">
        <f>IFERROR(INDEX(PCIe104_CON_E1N005INF1!N:N,MATCH('По платам'!$B545,PCIe104_CON_E1N005INF1!L:L,0)),0)</f>
        <v>0</v>
      </c>
      <c r="I545">
        <f>IFERROR(INDEX('EM-PCIE104-CPU_E1E001CPU1E'!N:N,MATCH('По платам'!$B545,'EM-PCIE104-CPU_E1E001CPU1E'!L:L,0)),0)</f>
        <v>2</v>
      </c>
      <c r="J545">
        <f>IFERROR(INDEX(PCIe104_INF_E1N001INF1!N:N,MATCH('По платам'!$B545,PCIe104_INF_E1N001INF1!L:L,0)),0)</f>
        <v>0</v>
      </c>
      <c r="K545">
        <f>IFERROR(INDEX(IB_2RS232_E1N002INF1!N:N,MATCH('По платам'!$B545,IB_2RS232_E1N002INF1!L:L,0)),0)</f>
        <v>0</v>
      </c>
      <c r="L545">
        <f>IFERROR(INDEX(IB_2CAN_E1N003INF1!N:N,MATCH('По платам'!$B545,IB_2CAN_E1N003INF1!L:L,0)),0)</f>
        <v>0</v>
      </c>
    </row>
    <row r="546" spans="2:12">
      <c r="B546" s="3" t="s">
        <v>422</v>
      </c>
      <c r="C546">
        <f>IFERROR(INDEX('C2B004CPU2'!N:N,MATCH('По платам'!B546,'C2B004CPU2'!L:L,0)),0)</f>
        <v>0</v>
      </c>
      <c r="D546">
        <f>IFERROR(INDEX(SBC_DIO_E1N004INF1!N:N,MATCH('По платам'!$B546,SBC_DIO_E1N004INF1!L:L,0)),0)</f>
        <v>0</v>
      </c>
      <c r="E546">
        <f>IFERROR(INDEX(SBC_35_2C3_1_E1E001CPU1E!N:N,MATCH('По платам'!$B546,SBC_35_2C3_1_E1E001CPU1E!L:L,0)),0)</f>
        <v>0</v>
      </c>
      <c r="F546">
        <f>IFERROR(INDEX(PCIe104_PSU_E1N001PWR1!N:N,MATCH('По платам'!$B546,PCIe104_PSU_E1N001PWR1!L:L,0)),0)</f>
        <v>0</v>
      </c>
      <c r="G546">
        <f>IFERROR(INDEX(PCIe104_INF2_E1N006INF1!N:N,MATCH('По платам'!$B546,PCIe104_INF2_E1N006INF1!L:L,0)),0)</f>
        <v>2</v>
      </c>
      <c r="H546">
        <f>IFERROR(INDEX(PCIe104_CON_E1N005INF1!N:N,MATCH('По платам'!$B546,PCIe104_CON_E1N005INF1!L:L,0)),0)</f>
        <v>0</v>
      </c>
      <c r="I546">
        <f>IFERROR(INDEX('EM-PCIE104-CPU_E1E001CPU1E'!N:N,MATCH('По платам'!$B546,'EM-PCIE104-CPU_E1E001CPU1E'!L:L,0)),0)</f>
        <v>0</v>
      </c>
      <c r="J546">
        <f>IFERROR(INDEX(PCIe104_INF_E1N001INF1!N:N,MATCH('По платам'!$B546,PCIe104_INF_E1N001INF1!L:L,0)),0)</f>
        <v>2</v>
      </c>
      <c r="K546">
        <f>IFERROR(INDEX(IB_2RS232_E1N002INF1!N:N,MATCH('По платам'!$B546,IB_2RS232_E1N002INF1!L:L,0)),0)</f>
        <v>0</v>
      </c>
      <c r="L546">
        <f>IFERROR(INDEX(IB_2CAN_E1N003INF1!N:N,MATCH('По платам'!$B546,IB_2CAN_E1N003INF1!L:L,0)),0)</f>
        <v>0</v>
      </c>
    </row>
    <row r="547" spans="2:12">
      <c r="B547" s="3" t="s">
        <v>445</v>
      </c>
      <c r="C547">
        <f>IFERROR(INDEX('C2B004CPU2'!N:N,MATCH('По платам'!B547,'C2B004CPU2'!L:L,0)),0)</f>
        <v>0</v>
      </c>
      <c r="D547">
        <f>IFERROR(INDEX(SBC_DIO_E1N004INF1!N:N,MATCH('По платам'!$B547,SBC_DIO_E1N004INF1!L:L,0)),0)</f>
        <v>0</v>
      </c>
      <c r="E547">
        <f>IFERROR(INDEX(SBC_35_2C3_1_E1E001CPU1E!N:N,MATCH('По платам'!$B547,SBC_35_2C3_1_E1E001CPU1E!L:L,0)),0)</f>
        <v>0</v>
      </c>
      <c r="F547">
        <f>IFERROR(INDEX(PCIe104_PSU_E1N001PWR1!N:N,MATCH('По платам'!$B547,PCIe104_PSU_E1N001PWR1!L:L,0)),0)</f>
        <v>0</v>
      </c>
      <c r="G547">
        <f>IFERROR(INDEX(PCIe104_INF2_E1N006INF1!N:N,MATCH('По платам'!$B547,PCIe104_INF2_E1N006INF1!L:L,0)),0)</f>
        <v>0</v>
      </c>
      <c r="H547">
        <f>IFERROR(INDEX(PCIe104_CON_E1N005INF1!N:N,MATCH('По платам'!$B547,PCIe104_CON_E1N005INF1!L:L,0)),0)</f>
        <v>0</v>
      </c>
      <c r="I547">
        <f>IFERROR(INDEX('EM-PCIE104-CPU_E1E001CPU1E'!N:N,MATCH('По платам'!$B547,'EM-PCIE104-CPU_E1E001CPU1E'!L:L,0)),0)</f>
        <v>0</v>
      </c>
      <c r="J547">
        <f>IFERROR(INDEX(PCIe104_INF_E1N001INF1!N:N,MATCH('По платам'!$B547,PCIe104_INF_E1N001INF1!L:L,0)),0)</f>
        <v>2</v>
      </c>
      <c r="K547">
        <f>IFERROR(INDEX(IB_2RS232_E1N002INF1!N:N,MATCH('По платам'!$B547,IB_2RS232_E1N002INF1!L:L,0)),0)</f>
        <v>0</v>
      </c>
      <c r="L547">
        <f>IFERROR(INDEX(IB_2CAN_E1N003INF1!N:N,MATCH('По платам'!$B547,IB_2CAN_E1N003INF1!L:L,0)),0)</f>
        <v>0</v>
      </c>
    </row>
    <row r="548" spans="2:12">
      <c r="B548" s="3" t="s">
        <v>442</v>
      </c>
      <c r="C548">
        <f>IFERROR(INDEX('C2B004CPU2'!N:N,MATCH('По платам'!B548,'C2B004CPU2'!L:L,0)),0)</f>
        <v>0</v>
      </c>
      <c r="D548">
        <f>IFERROR(INDEX(SBC_DIO_E1N004INF1!N:N,MATCH('По платам'!$B548,SBC_DIO_E1N004INF1!L:L,0)),0)</f>
        <v>0</v>
      </c>
      <c r="E548">
        <f>IFERROR(INDEX(SBC_35_2C3_1_E1E001CPU1E!N:N,MATCH('По платам'!$B548,SBC_35_2C3_1_E1E001CPU1E!L:L,0)),0)</f>
        <v>2</v>
      </c>
      <c r="F548">
        <f>IFERROR(INDEX(PCIe104_PSU_E1N001PWR1!N:N,MATCH('По платам'!$B548,PCIe104_PSU_E1N001PWR1!L:L,0)),0)</f>
        <v>0</v>
      </c>
      <c r="G548">
        <f>IFERROR(INDEX(PCIe104_INF2_E1N006INF1!N:N,MATCH('По платам'!$B548,PCIe104_INF2_E1N006INF1!L:L,0)),0)</f>
        <v>0</v>
      </c>
      <c r="H548">
        <f>IFERROR(INDEX(PCIe104_CON_E1N005INF1!N:N,MATCH('По платам'!$B548,PCIe104_CON_E1N005INF1!L:L,0)),0)</f>
        <v>0</v>
      </c>
      <c r="I548">
        <f>IFERROR(INDEX('EM-PCIE104-CPU_E1E001CPU1E'!N:N,MATCH('По платам'!$B548,'EM-PCIE104-CPU_E1E001CPU1E'!L:L,0)),0)</f>
        <v>16</v>
      </c>
      <c r="J548">
        <f>IFERROR(INDEX(PCIe104_INF_E1N001INF1!N:N,MATCH('По платам'!$B548,PCIe104_INF_E1N001INF1!L:L,0)),0)</f>
        <v>15</v>
      </c>
      <c r="K548">
        <f>IFERROR(INDEX(IB_2RS232_E1N002INF1!N:N,MATCH('По платам'!$B548,IB_2RS232_E1N002INF1!L:L,0)),0)</f>
        <v>0</v>
      </c>
      <c r="L548">
        <f>IFERROR(INDEX(IB_2CAN_E1N003INF1!N:N,MATCH('По платам'!$B548,IB_2CAN_E1N003INF1!L:L,0)),0)</f>
        <v>0</v>
      </c>
    </row>
    <row r="549" spans="2:12">
      <c r="B549" s="3" t="s">
        <v>862</v>
      </c>
      <c r="C549">
        <f>IFERROR(INDEX('C2B004CPU2'!N:N,MATCH('По платам'!B549,'C2B004CPU2'!L:L,0)),0)</f>
        <v>0</v>
      </c>
      <c r="D549">
        <f>IFERROR(INDEX(SBC_DIO_E1N004INF1!N:N,MATCH('По платам'!$B549,SBC_DIO_E1N004INF1!L:L,0)),0)</f>
        <v>0</v>
      </c>
      <c r="E549">
        <f>IFERROR(INDEX(SBC_35_2C3_1_E1E001CPU1E!N:N,MATCH('По платам'!$B549,SBC_35_2C3_1_E1E001CPU1E!L:L,0)),0)</f>
        <v>0</v>
      </c>
      <c r="F549">
        <f>IFERROR(INDEX(PCIe104_PSU_E1N001PWR1!N:N,MATCH('По платам'!$B549,PCIe104_PSU_E1N001PWR1!L:L,0)),0)</f>
        <v>0</v>
      </c>
      <c r="G549">
        <f>IFERROR(INDEX(PCIe104_INF2_E1N006INF1!N:N,MATCH('По платам'!$B549,PCIe104_INF2_E1N006INF1!L:L,0)),0)</f>
        <v>0</v>
      </c>
      <c r="H549">
        <f>IFERROR(INDEX(PCIe104_CON_E1N005INF1!N:N,MATCH('По платам'!$B549,PCIe104_CON_E1N005INF1!L:L,0)),0)</f>
        <v>0</v>
      </c>
      <c r="I549">
        <f>IFERROR(INDEX('EM-PCIE104-CPU_E1E001CPU1E'!N:N,MATCH('По платам'!$B549,'EM-PCIE104-CPU_E1E001CPU1E'!L:L,0)),0)</f>
        <v>5</v>
      </c>
      <c r="J549">
        <f>IFERROR(INDEX(PCIe104_INF_E1N001INF1!N:N,MATCH('По платам'!$B549,PCIe104_INF_E1N001INF1!L:L,0)),0)</f>
        <v>0</v>
      </c>
      <c r="K549">
        <f>IFERROR(INDEX(IB_2RS232_E1N002INF1!N:N,MATCH('По платам'!$B549,IB_2RS232_E1N002INF1!L:L,0)),0)</f>
        <v>0</v>
      </c>
      <c r="L549">
        <f>IFERROR(INDEX(IB_2CAN_E1N003INF1!N:N,MATCH('По платам'!$B549,IB_2CAN_E1N003INF1!L:L,0)),0)</f>
        <v>0</v>
      </c>
    </row>
    <row r="550" spans="2:12">
      <c r="B550" s="3" t="s">
        <v>454</v>
      </c>
      <c r="C550">
        <f>IFERROR(INDEX('C2B004CPU2'!N:N,MATCH('По платам'!B550,'C2B004CPU2'!L:L,0)),0)</f>
        <v>0</v>
      </c>
      <c r="D550">
        <f>IFERROR(INDEX(SBC_DIO_E1N004INF1!N:N,MATCH('По платам'!$B550,SBC_DIO_E1N004INF1!L:L,0)),0)</f>
        <v>0</v>
      </c>
      <c r="E550">
        <f>IFERROR(INDEX(SBC_35_2C3_1_E1E001CPU1E!N:N,MATCH('По платам'!$B550,SBC_35_2C3_1_E1E001CPU1E!L:L,0)),0)</f>
        <v>0</v>
      </c>
      <c r="F550">
        <f>IFERROR(INDEX(PCIe104_PSU_E1N001PWR1!N:N,MATCH('По платам'!$B550,PCIe104_PSU_E1N001PWR1!L:L,0)),0)</f>
        <v>0</v>
      </c>
      <c r="G550">
        <f>IFERROR(INDEX(PCIe104_INF2_E1N006INF1!N:N,MATCH('По платам'!$B550,PCIe104_INF2_E1N006INF1!L:L,0)),0)</f>
        <v>0</v>
      </c>
      <c r="H550">
        <f>IFERROR(INDEX(PCIe104_CON_E1N005INF1!N:N,MATCH('По платам'!$B550,PCIe104_CON_E1N005INF1!L:L,0)),0)</f>
        <v>0</v>
      </c>
      <c r="I550">
        <f>IFERROR(INDEX('EM-PCIE104-CPU_E1E001CPU1E'!N:N,MATCH('По платам'!$B550,'EM-PCIE104-CPU_E1E001CPU1E'!L:L,0)),0)</f>
        <v>0</v>
      </c>
      <c r="J550">
        <f>IFERROR(INDEX(PCIe104_INF_E1N001INF1!N:N,MATCH('По платам'!$B550,PCIe104_INF_E1N001INF1!L:L,0)),0)</f>
        <v>3</v>
      </c>
      <c r="K550">
        <f>IFERROR(INDEX(IB_2RS232_E1N002INF1!N:N,MATCH('По платам'!$B550,IB_2RS232_E1N002INF1!L:L,0)),0)</f>
        <v>0</v>
      </c>
      <c r="L550">
        <f>IFERROR(INDEX(IB_2CAN_E1N003INF1!N:N,MATCH('По платам'!$B550,IB_2CAN_E1N003INF1!L:L,0)),0)</f>
        <v>0</v>
      </c>
    </row>
    <row r="551" spans="2:12">
      <c r="B551" s="3" t="s">
        <v>468</v>
      </c>
      <c r="C551">
        <f>IFERROR(INDEX('C2B004CPU2'!N:N,MATCH('По платам'!B551,'C2B004CPU2'!L:L,0)),0)</f>
        <v>0</v>
      </c>
      <c r="D551">
        <f>IFERROR(INDEX(SBC_DIO_E1N004INF1!N:N,MATCH('По платам'!$B551,SBC_DIO_E1N004INF1!L:L,0)),0)</f>
        <v>0</v>
      </c>
      <c r="E551">
        <f>IFERROR(INDEX(SBC_35_2C3_1_E1E001CPU1E!N:N,MATCH('По платам'!$B551,SBC_35_2C3_1_E1E001CPU1E!L:L,0)),0)</f>
        <v>0</v>
      </c>
      <c r="F551">
        <f>IFERROR(INDEX(PCIe104_PSU_E1N001PWR1!N:N,MATCH('По платам'!$B551,PCIe104_PSU_E1N001PWR1!L:L,0)),0)</f>
        <v>0</v>
      </c>
      <c r="G551">
        <f>IFERROR(INDEX(PCIe104_INF2_E1N006INF1!N:N,MATCH('По платам'!$B551,PCIe104_INF2_E1N006INF1!L:L,0)),0)</f>
        <v>0</v>
      </c>
      <c r="H551">
        <f>IFERROR(INDEX(PCIe104_CON_E1N005INF1!N:N,MATCH('По платам'!$B551,PCIe104_CON_E1N005INF1!L:L,0)),0)</f>
        <v>0</v>
      </c>
      <c r="I551">
        <f>IFERROR(INDEX('EM-PCIE104-CPU_E1E001CPU1E'!N:N,MATCH('По платам'!$B551,'EM-PCIE104-CPU_E1E001CPU1E'!L:L,0)),0)</f>
        <v>0</v>
      </c>
      <c r="J551">
        <f>IFERROR(INDEX(PCIe104_INF_E1N001INF1!N:N,MATCH('По платам'!$B551,PCIe104_INF_E1N001INF1!L:L,0)),0)</f>
        <v>2</v>
      </c>
      <c r="K551">
        <f>IFERROR(INDEX(IB_2RS232_E1N002INF1!N:N,MATCH('По платам'!$B551,IB_2RS232_E1N002INF1!L:L,0)),0)</f>
        <v>0</v>
      </c>
      <c r="L551">
        <f>IFERROR(INDEX(IB_2CAN_E1N003INF1!N:N,MATCH('По платам'!$B551,IB_2CAN_E1N003INF1!L:L,0)),0)</f>
        <v>0</v>
      </c>
    </row>
    <row r="552" spans="2:12">
      <c r="B552" s="3" t="s">
        <v>2409</v>
      </c>
      <c r="C552">
        <f>IFERROR(INDEX('C2B004CPU2'!N:N,MATCH('По платам'!B552,'C2B004CPU2'!L:L,0)),0)</f>
        <v>1</v>
      </c>
      <c r="D552">
        <f>IFERROR(INDEX(SBC_DIO_E1N004INF1!N:N,MATCH('По платам'!$B552,SBC_DIO_E1N004INF1!L:L,0)),0)</f>
        <v>0</v>
      </c>
      <c r="E552">
        <f>IFERROR(INDEX(SBC_35_2C3_1_E1E001CPU1E!N:N,MATCH('По платам'!$B552,SBC_35_2C3_1_E1E001CPU1E!L:L,0)),0)</f>
        <v>0</v>
      </c>
      <c r="F552">
        <f>IFERROR(INDEX(PCIe104_PSU_E1N001PWR1!N:N,MATCH('По платам'!$B552,PCIe104_PSU_E1N001PWR1!L:L,0)),0)</f>
        <v>0</v>
      </c>
      <c r="G552">
        <f>IFERROR(INDEX(PCIe104_INF2_E1N006INF1!N:N,MATCH('По платам'!$B552,PCIe104_INF2_E1N006INF1!L:L,0)),0)</f>
        <v>0</v>
      </c>
      <c r="H552">
        <f>IFERROR(INDEX(PCIe104_CON_E1N005INF1!N:N,MATCH('По платам'!$B552,PCIe104_CON_E1N005INF1!L:L,0)),0)</f>
        <v>0</v>
      </c>
      <c r="I552">
        <f>IFERROR(INDEX('EM-PCIE104-CPU_E1E001CPU1E'!N:N,MATCH('По платам'!$B552,'EM-PCIE104-CPU_E1E001CPU1E'!L:L,0)),0)</f>
        <v>0</v>
      </c>
      <c r="J552">
        <f>IFERROR(INDEX(PCIe104_INF_E1N001INF1!N:N,MATCH('По платам'!$B552,PCIe104_INF_E1N001INF1!L:L,0)),0)</f>
        <v>0</v>
      </c>
      <c r="K552">
        <f>IFERROR(INDEX(IB_2RS232_E1N002INF1!N:N,MATCH('По платам'!$B552,IB_2RS232_E1N002INF1!L:L,0)),0)</f>
        <v>0</v>
      </c>
      <c r="L552">
        <f>IFERROR(INDEX(IB_2CAN_E1N003INF1!N:N,MATCH('По платам'!$B552,IB_2CAN_E1N003INF1!L:L,0)),0)</f>
        <v>0</v>
      </c>
    </row>
    <row r="553" spans="2:12">
      <c r="B553" s="3" t="s">
        <v>2386</v>
      </c>
      <c r="C553">
        <f>IFERROR(INDEX('C2B004CPU2'!N:N,MATCH('По платам'!B553,'C2B004CPU2'!L:L,0)),0)</f>
        <v>2</v>
      </c>
      <c r="D553">
        <f>IFERROR(INDEX(SBC_DIO_E1N004INF1!N:N,MATCH('По платам'!$B553,SBC_DIO_E1N004INF1!L:L,0)),0)</f>
        <v>0</v>
      </c>
      <c r="E553">
        <f>IFERROR(INDEX(SBC_35_2C3_1_E1E001CPU1E!N:N,MATCH('По платам'!$B553,SBC_35_2C3_1_E1E001CPU1E!L:L,0)),0)</f>
        <v>0</v>
      </c>
      <c r="F553">
        <f>IFERROR(INDEX(PCIe104_PSU_E1N001PWR1!N:N,MATCH('По платам'!$B553,PCIe104_PSU_E1N001PWR1!L:L,0)),0)</f>
        <v>0</v>
      </c>
      <c r="G553">
        <f>IFERROR(INDEX(PCIe104_INF2_E1N006INF1!N:N,MATCH('По платам'!$B553,PCIe104_INF2_E1N006INF1!L:L,0)),0)</f>
        <v>0</v>
      </c>
      <c r="H553">
        <f>IFERROR(INDEX(PCIe104_CON_E1N005INF1!N:N,MATCH('По платам'!$B553,PCIe104_CON_E1N005INF1!L:L,0)),0)</f>
        <v>0</v>
      </c>
      <c r="I553">
        <f>IFERROR(INDEX('EM-PCIE104-CPU_E1E001CPU1E'!N:N,MATCH('По платам'!$B553,'EM-PCIE104-CPU_E1E001CPU1E'!L:L,0)),0)</f>
        <v>0</v>
      </c>
      <c r="J553">
        <f>IFERROR(INDEX(PCIe104_INF_E1N001INF1!N:N,MATCH('По платам'!$B553,PCIe104_INF_E1N001INF1!L:L,0)),0)</f>
        <v>0</v>
      </c>
      <c r="K553">
        <f>IFERROR(INDEX(IB_2RS232_E1N002INF1!N:N,MATCH('По платам'!$B553,IB_2RS232_E1N002INF1!L:L,0)),0)</f>
        <v>0</v>
      </c>
      <c r="L553">
        <f>IFERROR(INDEX(IB_2CAN_E1N003INF1!N:N,MATCH('По платам'!$B553,IB_2CAN_E1N003INF1!L:L,0)),0)</f>
        <v>0</v>
      </c>
    </row>
    <row r="554" spans="2:12">
      <c r="B554" s="3" t="s">
        <v>448</v>
      </c>
      <c r="C554">
        <f>IFERROR(INDEX('C2B004CPU2'!N:N,MATCH('По платам'!B554,'C2B004CPU2'!L:L,0)),0)</f>
        <v>0</v>
      </c>
      <c r="D554">
        <f>IFERROR(INDEX(SBC_DIO_E1N004INF1!N:N,MATCH('По платам'!$B554,SBC_DIO_E1N004INF1!L:L,0)),0)</f>
        <v>0</v>
      </c>
      <c r="E554">
        <f>IFERROR(INDEX(SBC_35_2C3_1_E1E001CPU1E!N:N,MATCH('По платам'!$B554,SBC_35_2C3_1_E1E001CPU1E!L:L,0)),0)</f>
        <v>0</v>
      </c>
      <c r="F554">
        <f>IFERROR(INDEX(PCIe104_PSU_E1N001PWR1!N:N,MATCH('По платам'!$B554,PCIe104_PSU_E1N001PWR1!L:L,0)),0)</f>
        <v>0</v>
      </c>
      <c r="G554">
        <f>IFERROR(INDEX(PCIe104_INF2_E1N006INF1!N:N,MATCH('По платам'!$B554,PCIe104_INF2_E1N006INF1!L:L,0)),0)</f>
        <v>0</v>
      </c>
      <c r="H554">
        <f>IFERROR(INDEX(PCIe104_CON_E1N005INF1!N:N,MATCH('По платам'!$B554,PCIe104_CON_E1N005INF1!L:L,0)),0)</f>
        <v>0</v>
      </c>
      <c r="I554">
        <f>IFERROR(INDEX('EM-PCIE104-CPU_E1E001CPU1E'!N:N,MATCH('По платам'!$B554,'EM-PCIE104-CPU_E1E001CPU1E'!L:L,0)),0)</f>
        <v>2</v>
      </c>
      <c r="J554">
        <f>IFERROR(INDEX(PCIe104_INF_E1N001INF1!N:N,MATCH('По платам'!$B554,PCIe104_INF_E1N001INF1!L:L,0)),0)</f>
        <v>1</v>
      </c>
      <c r="K554">
        <f>IFERROR(INDEX(IB_2RS232_E1N002INF1!N:N,MATCH('По платам'!$B554,IB_2RS232_E1N002INF1!L:L,0)),0)</f>
        <v>0</v>
      </c>
      <c r="L554">
        <f>IFERROR(INDEX(IB_2CAN_E1N003INF1!N:N,MATCH('По платам'!$B554,IB_2CAN_E1N003INF1!L:L,0)),0)</f>
        <v>0</v>
      </c>
    </row>
    <row r="555" spans="2:12">
      <c r="B555" s="3" t="s">
        <v>425</v>
      </c>
      <c r="C555">
        <f>IFERROR(INDEX('C2B004CPU2'!N:N,MATCH('По платам'!B555,'C2B004CPU2'!L:L,0)),0)</f>
        <v>12</v>
      </c>
      <c r="D555">
        <f>IFERROR(INDEX(SBC_DIO_E1N004INF1!N:N,MATCH('По платам'!$B555,SBC_DIO_E1N004INF1!L:L,0)),0)</f>
        <v>0</v>
      </c>
      <c r="E555">
        <f>IFERROR(INDEX(SBC_35_2C3_1_E1E001CPU1E!N:N,MATCH('По платам'!$B555,SBC_35_2C3_1_E1E001CPU1E!L:L,0)),0)</f>
        <v>0</v>
      </c>
      <c r="F555">
        <f>IFERROR(INDEX(PCIe104_PSU_E1N001PWR1!N:N,MATCH('По платам'!$B555,PCIe104_PSU_E1N001PWR1!L:L,0)),0)</f>
        <v>0</v>
      </c>
      <c r="G555">
        <f>IFERROR(INDEX(PCIe104_INF2_E1N006INF1!N:N,MATCH('По платам'!$B555,PCIe104_INF2_E1N006INF1!L:L,0)),0)</f>
        <v>0</v>
      </c>
      <c r="H555">
        <f>IFERROR(INDEX(PCIe104_CON_E1N005INF1!N:N,MATCH('По платам'!$B555,PCIe104_CON_E1N005INF1!L:L,0)),0)</f>
        <v>0</v>
      </c>
      <c r="I555">
        <f>IFERROR(INDEX('EM-PCIE104-CPU_E1E001CPU1E'!N:N,MATCH('По платам'!$B555,'EM-PCIE104-CPU_E1E001CPU1E'!L:L,0)),0)</f>
        <v>15</v>
      </c>
      <c r="J555">
        <f>IFERROR(INDEX(PCIe104_INF_E1N001INF1!N:N,MATCH('По платам'!$B555,PCIe104_INF_E1N001INF1!L:L,0)),0)</f>
        <v>3</v>
      </c>
      <c r="K555">
        <f>IFERROR(INDEX(IB_2RS232_E1N002INF1!N:N,MATCH('По платам'!$B555,IB_2RS232_E1N002INF1!L:L,0)),0)</f>
        <v>0</v>
      </c>
      <c r="L555">
        <f>IFERROR(INDEX(IB_2CAN_E1N003INF1!N:N,MATCH('По платам'!$B555,IB_2CAN_E1N003INF1!L:L,0)),0)</f>
        <v>0</v>
      </c>
    </row>
    <row r="556" spans="2:12">
      <c r="B556" s="3" t="s">
        <v>488</v>
      </c>
      <c r="C556">
        <f>IFERROR(INDEX('C2B004CPU2'!N:N,MATCH('По платам'!B556,'C2B004CPU2'!L:L,0)),0)</f>
        <v>0</v>
      </c>
      <c r="D556">
        <f>IFERROR(INDEX(SBC_DIO_E1N004INF1!N:N,MATCH('По платам'!$B556,SBC_DIO_E1N004INF1!L:L,0)),0)</f>
        <v>0</v>
      </c>
      <c r="E556">
        <f>IFERROR(INDEX(SBC_35_2C3_1_E1E001CPU1E!N:N,MATCH('По платам'!$B556,SBC_35_2C3_1_E1E001CPU1E!L:L,0)),0)</f>
        <v>0</v>
      </c>
      <c r="F556">
        <f>IFERROR(INDEX(PCIe104_PSU_E1N001PWR1!N:N,MATCH('По платам'!$B556,PCIe104_PSU_E1N001PWR1!L:L,0)),0)</f>
        <v>0</v>
      </c>
      <c r="G556">
        <f>IFERROR(INDEX(PCIe104_INF2_E1N006INF1!N:N,MATCH('По платам'!$B556,PCIe104_INF2_E1N006INF1!L:L,0)),0)</f>
        <v>4</v>
      </c>
      <c r="H556">
        <f>IFERROR(INDEX(PCIe104_CON_E1N005INF1!N:N,MATCH('По платам'!$B556,PCIe104_CON_E1N005INF1!L:L,0)),0)</f>
        <v>0</v>
      </c>
      <c r="I556">
        <f>IFERROR(INDEX('EM-PCIE104-CPU_E1E001CPU1E'!N:N,MATCH('По платам'!$B556,'EM-PCIE104-CPU_E1E001CPU1E'!L:L,0)),0)</f>
        <v>0</v>
      </c>
      <c r="J556">
        <f>IFERROR(INDEX(PCIe104_INF_E1N001INF1!N:N,MATCH('По платам'!$B556,PCIe104_INF_E1N001INF1!L:L,0)),0)</f>
        <v>2</v>
      </c>
      <c r="K556">
        <f>IFERROR(INDEX(IB_2RS232_E1N002INF1!N:N,MATCH('По платам'!$B556,IB_2RS232_E1N002INF1!L:L,0)),0)</f>
        <v>0</v>
      </c>
      <c r="L556">
        <f>IFERROR(INDEX(IB_2CAN_E1N003INF1!N:N,MATCH('По платам'!$B556,IB_2CAN_E1N003INF1!L:L,0)),0)</f>
        <v>0</v>
      </c>
    </row>
    <row r="557" spans="2:12">
      <c r="B557" s="3" t="s">
        <v>2371</v>
      </c>
      <c r="C557">
        <f>IFERROR(INDEX('C2B004CPU2'!N:N,MATCH('По платам'!B557,'C2B004CPU2'!L:L,0)),0)</f>
        <v>160</v>
      </c>
      <c r="D557">
        <f>IFERROR(INDEX(SBC_DIO_E1N004INF1!N:N,MATCH('По платам'!$B557,SBC_DIO_E1N004INF1!L:L,0)),0)</f>
        <v>0</v>
      </c>
      <c r="E557">
        <f>IFERROR(INDEX(SBC_35_2C3_1_E1E001CPU1E!N:N,MATCH('По платам'!$B557,SBC_35_2C3_1_E1E001CPU1E!L:L,0)),0)</f>
        <v>0</v>
      </c>
      <c r="F557">
        <f>IFERROR(INDEX(PCIe104_PSU_E1N001PWR1!N:N,MATCH('По платам'!$B557,PCIe104_PSU_E1N001PWR1!L:L,0)),0)</f>
        <v>0</v>
      </c>
      <c r="G557">
        <f>IFERROR(INDEX(PCIe104_INF2_E1N006INF1!N:N,MATCH('По платам'!$B557,PCIe104_INF2_E1N006INF1!L:L,0)),0)</f>
        <v>0</v>
      </c>
      <c r="H557">
        <f>IFERROR(INDEX(PCIe104_CON_E1N005INF1!N:N,MATCH('По платам'!$B557,PCIe104_CON_E1N005INF1!L:L,0)),0)</f>
        <v>0</v>
      </c>
      <c r="I557">
        <f>IFERROR(INDEX('EM-PCIE104-CPU_E1E001CPU1E'!N:N,MATCH('По платам'!$B557,'EM-PCIE104-CPU_E1E001CPU1E'!L:L,0)),0)</f>
        <v>0</v>
      </c>
      <c r="J557">
        <f>IFERROR(INDEX(PCIe104_INF_E1N001INF1!N:N,MATCH('По платам'!$B557,PCIe104_INF_E1N001INF1!L:L,0)),0)</f>
        <v>0</v>
      </c>
      <c r="K557">
        <f>IFERROR(INDEX(IB_2RS232_E1N002INF1!N:N,MATCH('По платам'!$B557,IB_2RS232_E1N002INF1!L:L,0)),0)</f>
        <v>0</v>
      </c>
      <c r="L557">
        <f>IFERROR(INDEX(IB_2CAN_E1N003INF1!N:N,MATCH('По платам'!$B557,IB_2CAN_E1N003INF1!L:L,0)),0)</f>
        <v>0</v>
      </c>
    </row>
    <row r="558" spans="2:12">
      <c r="B558" s="3" t="s">
        <v>2375</v>
      </c>
      <c r="C558">
        <f>IFERROR(INDEX('C2B004CPU2'!N:N,MATCH('По платам'!B558,'C2B004CPU2'!L:L,0)),0)</f>
        <v>47</v>
      </c>
      <c r="D558">
        <f>IFERROR(INDEX(SBC_DIO_E1N004INF1!N:N,MATCH('По платам'!$B558,SBC_DIO_E1N004INF1!L:L,0)),0)</f>
        <v>0</v>
      </c>
      <c r="E558">
        <f>IFERROR(INDEX(SBC_35_2C3_1_E1E001CPU1E!N:N,MATCH('По платам'!$B558,SBC_35_2C3_1_E1E001CPU1E!L:L,0)),0)</f>
        <v>0</v>
      </c>
      <c r="F558">
        <f>IFERROR(INDEX(PCIe104_PSU_E1N001PWR1!N:N,MATCH('По платам'!$B558,PCIe104_PSU_E1N001PWR1!L:L,0)),0)</f>
        <v>0</v>
      </c>
      <c r="G558">
        <f>IFERROR(INDEX(PCIe104_INF2_E1N006INF1!N:N,MATCH('По платам'!$B558,PCIe104_INF2_E1N006INF1!L:L,0)),0)</f>
        <v>0</v>
      </c>
      <c r="H558">
        <f>IFERROR(INDEX(PCIe104_CON_E1N005INF1!N:N,MATCH('По платам'!$B558,PCIe104_CON_E1N005INF1!L:L,0)),0)</f>
        <v>0</v>
      </c>
      <c r="I558">
        <f>IFERROR(INDEX('EM-PCIE104-CPU_E1E001CPU1E'!N:N,MATCH('По платам'!$B558,'EM-PCIE104-CPU_E1E001CPU1E'!L:L,0)),0)</f>
        <v>0</v>
      </c>
      <c r="J558">
        <f>IFERROR(INDEX(PCIe104_INF_E1N001INF1!N:N,MATCH('По платам'!$B558,PCIe104_INF_E1N001INF1!L:L,0)),0)</f>
        <v>0</v>
      </c>
      <c r="K558">
        <f>IFERROR(INDEX(IB_2RS232_E1N002INF1!N:N,MATCH('По платам'!$B558,IB_2RS232_E1N002INF1!L:L,0)),0)</f>
        <v>0</v>
      </c>
      <c r="L558">
        <f>IFERROR(INDEX(IB_2CAN_E1N003INF1!N:N,MATCH('По платам'!$B558,IB_2CAN_E1N003INF1!L:L,0)),0)</f>
        <v>0</v>
      </c>
    </row>
    <row r="559" spans="2:12">
      <c r="B559" s="3" t="s">
        <v>838</v>
      </c>
      <c r="C559">
        <f>IFERROR(INDEX('C2B004CPU2'!N:N,MATCH('По платам'!B559,'C2B004CPU2'!L:L,0)),0)</f>
        <v>0</v>
      </c>
      <c r="D559">
        <f>IFERROR(INDEX(SBC_DIO_E1N004INF1!N:N,MATCH('По платам'!$B559,SBC_DIO_E1N004INF1!L:L,0)),0)</f>
        <v>0</v>
      </c>
      <c r="E559">
        <f>IFERROR(INDEX(SBC_35_2C3_1_E1E001CPU1E!N:N,MATCH('По платам'!$B559,SBC_35_2C3_1_E1E001CPU1E!L:L,0)),0)</f>
        <v>0</v>
      </c>
      <c r="F559">
        <f>IFERROR(INDEX(PCIe104_PSU_E1N001PWR1!N:N,MATCH('По платам'!$B559,PCIe104_PSU_E1N001PWR1!L:L,0)),0)</f>
        <v>0</v>
      </c>
      <c r="G559">
        <f>IFERROR(INDEX(PCIe104_INF2_E1N006INF1!N:N,MATCH('По платам'!$B559,PCIe104_INF2_E1N006INF1!L:L,0)),0)</f>
        <v>0</v>
      </c>
      <c r="H559">
        <f>IFERROR(INDEX(PCIe104_CON_E1N005INF1!N:N,MATCH('По платам'!$B559,PCIe104_CON_E1N005INF1!L:L,0)),0)</f>
        <v>0</v>
      </c>
      <c r="I559">
        <f>IFERROR(INDEX('EM-PCIE104-CPU_E1E001CPU1E'!N:N,MATCH('По платам'!$B559,'EM-PCIE104-CPU_E1E001CPU1E'!L:L,0)),0)</f>
        <v>2</v>
      </c>
      <c r="J559">
        <f>IFERROR(INDEX(PCIe104_INF_E1N001INF1!N:N,MATCH('По платам'!$B559,PCIe104_INF_E1N001INF1!L:L,0)),0)</f>
        <v>0</v>
      </c>
      <c r="K559">
        <f>IFERROR(INDEX(IB_2RS232_E1N002INF1!N:N,MATCH('По платам'!$B559,IB_2RS232_E1N002INF1!L:L,0)),0)</f>
        <v>0</v>
      </c>
      <c r="L559">
        <f>IFERROR(INDEX(IB_2CAN_E1N003INF1!N:N,MATCH('По платам'!$B559,IB_2CAN_E1N003INF1!L:L,0)),0)</f>
        <v>0</v>
      </c>
    </row>
    <row r="560" spans="2:12">
      <c r="B560" s="3" t="s">
        <v>2427</v>
      </c>
      <c r="C560">
        <f>IFERROR(INDEX('C2B004CPU2'!N:N,MATCH('По платам'!B560,'C2B004CPU2'!L:L,0)),0)</f>
        <v>2</v>
      </c>
      <c r="D560">
        <f>IFERROR(INDEX(SBC_DIO_E1N004INF1!N:N,MATCH('По платам'!$B560,SBC_DIO_E1N004INF1!L:L,0)),0)</f>
        <v>0</v>
      </c>
      <c r="E560">
        <f>IFERROR(INDEX(SBC_35_2C3_1_E1E001CPU1E!N:N,MATCH('По платам'!$B560,SBC_35_2C3_1_E1E001CPU1E!L:L,0)),0)</f>
        <v>0</v>
      </c>
      <c r="F560">
        <f>IFERROR(INDEX(PCIe104_PSU_E1N001PWR1!N:N,MATCH('По платам'!$B560,PCIe104_PSU_E1N001PWR1!L:L,0)),0)</f>
        <v>0</v>
      </c>
      <c r="G560">
        <f>IFERROR(INDEX(PCIe104_INF2_E1N006INF1!N:N,MATCH('По платам'!$B560,PCIe104_INF2_E1N006INF1!L:L,0)),0)</f>
        <v>0</v>
      </c>
      <c r="H560">
        <f>IFERROR(INDEX(PCIe104_CON_E1N005INF1!N:N,MATCH('По платам'!$B560,PCIe104_CON_E1N005INF1!L:L,0)),0)</f>
        <v>0</v>
      </c>
      <c r="I560">
        <f>IFERROR(INDEX('EM-PCIE104-CPU_E1E001CPU1E'!N:N,MATCH('По платам'!$B560,'EM-PCIE104-CPU_E1E001CPU1E'!L:L,0)),0)</f>
        <v>0</v>
      </c>
      <c r="J560">
        <f>IFERROR(INDEX(PCIe104_INF_E1N001INF1!N:N,MATCH('По платам'!$B560,PCIe104_INF_E1N001INF1!L:L,0)),0)</f>
        <v>0</v>
      </c>
      <c r="K560">
        <f>IFERROR(INDEX(IB_2RS232_E1N002INF1!N:N,MATCH('По платам'!$B560,IB_2RS232_E1N002INF1!L:L,0)),0)</f>
        <v>0</v>
      </c>
      <c r="L560">
        <f>IFERROR(INDEX(IB_2CAN_E1N003INF1!N:N,MATCH('По платам'!$B560,IB_2CAN_E1N003INF1!L:L,0)),0)</f>
        <v>0</v>
      </c>
    </row>
    <row r="561" spans="2:12">
      <c r="B561" s="3" t="s">
        <v>474</v>
      </c>
      <c r="C561">
        <f>IFERROR(INDEX('C2B004CPU2'!N:N,MATCH('По платам'!B561,'C2B004CPU2'!L:L,0)),0)</f>
        <v>0</v>
      </c>
      <c r="D561">
        <f>IFERROR(INDEX(SBC_DIO_E1N004INF1!N:N,MATCH('По платам'!$B561,SBC_DIO_E1N004INF1!L:L,0)),0)</f>
        <v>0</v>
      </c>
      <c r="E561">
        <f>IFERROR(INDEX(SBC_35_2C3_1_E1E001CPU1E!N:N,MATCH('По платам'!$B561,SBC_35_2C3_1_E1E001CPU1E!L:L,0)),0)</f>
        <v>0</v>
      </c>
      <c r="F561">
        <f>IFERROR(INDEX(PCIe104_PSU_E1N001PWR1!N:N,MATCH('По платам'!$B561,PCIe104_PSU_E1N001PWR1!L:L,0)),0)</f>
        <v>0</v>
      </c>
      <c r="G561">
        <f>IFERROR(INDEX(PCIe104_INF2_E1N006INF1!N:N,MATCH('По платам'!$B561,PCIe104_INF2_E1N006INF1!L:L,0)),0)</f>
        <v>0</v>
      </c>
      <c r="H561">
        <f>IFERROR(INDEX(PCIe104_CON_E1N005INF1!N:N,MATCH('По платам'!$B561,PCIe104_CON_E1N005INF1!L:L,0)),0)</f>
        <v>0</v>
      </c>
      <c r="I561">
        <f>IFERROR(INDEX('EM-PCIE104-CPU_E1E001CPU1E'!N:N,MATCH('По платам'!$B561,'EM-PCIE104-CPU_E1E001CPU1E'!L:L,0)),0)</f>
        <v>2</v>
      </c>
      <c r="J561">
        <f>IFERROR(INDEX(PCIe104_INF_E1N001INF1!N:N,MATCH('По платам'!$B561,PCIe104_INF_E1N001INF1!L:L,0)),0)</f>
        <v>3</v>
      </c>
      <c r="K561">
        <f>IFERROR(INDEX(IB_2RS232_E1N002INF1!N:N,MATCH('По платам'!$B561,IB_2RS232_E1N002INF1!L:L,0)),0)</f>
        <v>0</v>
      </c>
      <c r="L561">
        <f>IFERROR(INDEX(IB_2CAN_E1N003INF1!N:N,MATCH('По платам'!$B561,IB_2CAN_E1N003INF1!L:L,0)),0)</f>
        <v>0</v>
      </c>
    </row>
    <row r="562" spans="2:12">
      <c r="B562" s="3" t="s">
        <v>2423</v>
      </c>
      <c r="C562">
        <f>IFERROR(INDEX('C2B004CPU2'!N:N,MATCH('По платам'!B562,'C2B004CPU2'!L:L,0)),0)</f>
        <v>41</v>
      </c>
      <c r="D562">
        <f>IFERROR(INDEX(SBC_DIO_E1N004INF1!N:N,MATCH('По платам'!$B562,SBC_DIO_E1N004INF1!L:L,0)),0)</f>
        <v>0</v>
      </c>
      <c r="E562">
        <f>IFERROR(INDEX(SBC_35_2C3_1_E1E001CPU1E!N:N,MATCH('По платам'!$B562,SBC_35_2C3_1_E1E001CPU1E!L:L,0)),0)</f>
        <v>0</v>
      </c>
      <c r="F562">
        <f>IFERROR(INDEX(PCIe104_PSU_E1N001PWR1!N:N,MATCH('По платам'!$B562,PCIe104_PSU_E1N001PWR1!L:L,0)),0)</f>
        <v>0</v>
      </c>
      <c r="G562">
        <f>IFERROR(INDEX(PCIe104_INF2_E1N006INF1!N:N,MATCH('По платам'!$B562,PCIe104_INF2_E1N006INF1!L:L,0)),0)</f>
        <v>0</v>
      </c>
      <c r="H562">
        <f>IFERROR(INDEX(PCIe104_CON_E1N005INF1!N:N,MATCH('По платам'!$B562,PCIe104_CON_E1N005INF1!L:L,0)),0)</f>
        <v>0</v>
      </c>
      <c r="I562">
        <f>IFERROR(INDEX('EM-PCIE104-CPU_E1E001CPU1E'!N:N,MATCH('По платам'!$B562,'EM-PCIE104-CPU_E1E001CPU1E'!L:L,0)),0)</f>
        <v>0</v>
      </c>
      <c r="J562">
        <f>IFERROR(INDEX(PCIe104_INF_E1N001INF1!N:N,MATCH('По платам'!$B562,PCIe104_INF_E1N001INF1!L:L,0)),0)</f>
        <v>0</v>
      </c>
      <c r="K562">
        <f>IFERROR(INDEX(IB_2RS232_E1N002INF1!N:N,MATCH('По платам'!$B562,IB_2RS232_E1N002INF1!L:L,0)),0)</f>
        <v>0</v>
      </c>
      <c r="L562">
        <f>IFERROR(INDEX(IB_2CAN_E1N003INF1!N:N,MATCH('По платам'!$B562,IB_2CAN_E1N003INF1!L:L,0)),0)</f>
        <v>0</v>
      </c>
    </row>
    <row r="563" spans="2:12">
      <c r="B563" s="3" t="s">
        <v>2399</v>
      </c>
      <c r="C563">
        <f>IFERROR(INDEX('C2B004CPU2'!N:N,MATCH('По платам'!B563,'C2B004CPU2'!L:L,0)),0)</f>
        <v>5</v>
      </c>
      <c r="D563">
        <f>IFERROR(INDEX(SBC_DIO_E1N004INF1!N:N,MATCH('По платам'!$B563,SBC_DIO_E1N004INF1!L:L,0)),0)</f>
        <v>0</v>
      </c>
      <c r="E563">
        <f>IFERROR(INDEX(SBC_35_2C3_1_E1E001CPU1E!N:N,MATCH('По платам'!$B563,SBC_35_2C3_1_E1E001CPU1E!L:L,0)),0)</f>
        <v>0</v>
      </c>
      <c r="F563">
        <f>IFERROR(INDEX(PCIe104_PSU_E1N001PWR1!N:N,MATCH('По платам'!$B563,PCIe104_PSU_E1N001PWR1!L:L,0)),0)</f>
        <v>0</v>
      </c>
      <c r="G563">
        <f>IFERROR(INDEX(PCIe104_INF2_E1N006INF1!N:N,MATCH('По платам'!$B563,PCIe104_INF2_E1N006INF1!L:L,0)),0)</f>
        <v>0</v>
      </c>
      <c r="H563">
        <f>IFERROR(INDEX(PCIe104_CON_E1N005INF1!N:N,MATCH('По платам'!$B563,PCIe104_CON_E1N005INF1!L:L,0)),0)</f>
        <v>0</v>
      </c>
      <c r="I563">
        <f>IFERROR(INDEX('EM-PCIE104-CPU_E1E001CPU1E'!N:N,MATCH('По платам'!$B563,'EM-PCIE104-CPU_E1E001CPU1E'!L:L,0)),0)</f>
        <v>0</v>
      </c>
      <c r="J563">
        <f>IFERROR(INDEX(PCIe104_INF_E1N001INF1!N:N,MATCH('По платам'!$B563,PCIe104_INF_E1N001INF1!L:L,0)),0)</f>
        <v>0</v>
      </c>
      <c r="K563">
        <f>IFERROR(INDEX(IB_2RS232_E1N002INF1!N:N,MATCH('По платам'!$B563,IB_2RS232_E1N002INF1!L:L,0)),0)</f>
        <v>0</v>
      </c>
      <c r="L563">
        <f>IFERROR(INDEX(IB_2CAN_E1N003INF1!N:N,MATCH('По платам'!$B563,IB_2CAN_E1N003INF1!L:L,0)),0)</f>
        <v>0</v>
      </c>
    </row>
    <row r="564" spans="2:12">
      <c r="B564" s="3" t="s">
        <v>2392</v>
      </c>
      <c r="C564">
        <f>IFERROR(INDEX('C2B004CPU2'!N:N,MATCH('По платам'!B564,'C2B004CPU2'!L:L,0)),0)</f>
        <v>13</v>
      </c>
      <c r="D564">
        <f>IFERROR(INDEX(SBC_DIO_E1N004INF1!N:N,MATCH('По платам'!$B564,SBC_DIO_E1N004INF1!L:L,0)),0)</f>
        <v>0</v>
      </c>
      <c r="E564">
        <f>IFERROR(INDEX(SBC_35_2C3_1_E1E001CPU1E!N:N,MATCH('По платам'!$B564,SBC_35_2C3_1_E1E001CPU1E!L:L,0)),0)</f>
        <v>0</v>
      </c>
      <c r="F564">
        <f>IFERROR(INDEX(PCIe104_PSU_E1N001PWR1!N:N,MATCH('По платам'!$B564,PCIe104_PSU_E1N001PWR1!L:L,0)),0)</f>
        <v>0</v>
      </c>
      <c r="G564">
        <f>IFERROR(INDEX(PCIe104_INF2_E1N006INF1!N:N,MATCH('По платам'!$B564,PCIe104_INF2_E1N006INF1!L:L,0)),0)</f>
        <v>0</v>
      </c>
      <c r="H564">
        <f>IFERROR(INDEX(PCIe104_CON_E1N005INF1!N:N,MATCH('По платам'!$B564,PCIe104_CON_E1N005INF1!L:L,0)),0)</f>
        <v>0</v>
      </c>
      <c r="I564">
        <f>IFERROR(INDEX('EM-PCIE104-CPU_E1E001CPU1E'!N:N,MATCH('По платам'!$B564,'EM-PCIE104-CPU_E1E001CPU1E'!L:L,0)),0)</f>
        <v>0</v>
      </c>
      <c r="J564">
        <f>IFERROR(INDEX(PCIe104_INF_E1N001INF1!N:N,MATCH('По платам'!$B564,PCIe104_INF_E1N001INF1!L:L,0)),0)</f>
        <v>0</v>
      </c>
      <c r="K564">
        <f>IFERROR(INDEX(IB_2RS232_E1N002INF1!N:N,MATCH('По платам'!$B564,IB_2RS232_E1N002INF1!L:L,0)),0)</f>
        <v>0</v>
      </c>
      <c r="L564">
        <f>IFERROR(INDEX(IB_2CAN_E1N003INF1!N:N,MATCH('По платам'!$B564,IB_2CAN_E1N003INF1!L:L,0)),0)</f>
        <v>0</v>
      </c>
    </row>
    <row r="565" spans="2:12">
      <c r="B565" s="3" t="s">
        <v>2441</v>
      </c>
      <c r="C565">
        <f>IFERROR(INDEX('C2B004CPU2'!N:N,MATCH('По платам'!B565,'C2B004CPU2'!L:L,0)),0)</f>
        <v>2</v>
      </c>
      <c r="D565">
        <f>IFERROR(INDEX(SBC_DIO_E1N004INF1!N:N,MATCH('По платам'!$B565,SBC_DIO_E1N004INF1!L:L,0)),0)</f>
        <v>0</v>
      </c>
      <c r="E565">
        <f>IFERROR(INDEX(SBC_35_2C3_1_E1E001CPU1E!N:N,MATCH('По платам'!$B565,SBC_35_2C3_1_E1E001CPU1E!L:L,0)),0)</f>
        <v>0</v>
      </c>
      <c r="F565">
        <f>IFERROR(INDEX(PCIe104_PSU_E1N001PWR1!N:N,MATCH('По платам'!$B565,PCIe104_PSU_E1N001PWR1!L:L,0)),0)</f>
        <v>0</v>
      </c>
      <c r="G565">
        <f>IFERROR(INDEX(PCIe104_INF2_E1N006INF1!N:N,MATCH('По платам'!$B565,PCIe104_INF2_E1N006INF1!L:L,0)),0)</f>
        <v>0</v>
      </c>
      <c r="H565">
        <f>IFERROR(INDEX(PCIe104_CON_E1N005INF1!N:N,MATCH('По платам'!$B565,PCIe104_CON_E1N005INF1!L:L,0)),0)</f>
        <v>0</v>
      </c>
      <c r="I565">
        <f>IFERROR(INDEX('EM-PCIE104-CPU_E1E001CPU1E'!N:N,MATCH('По платам'!$B565,'EM-PCIE104-CPU_E1E001CPU1E'!L:L,0)),0)</f>
        <v>0</v>
      </c>
      <c r="J565">
        <f>IFERROR(INDEX(PCIe104_INF_E1N001INF1!N:N,MATCH('По платам'!$B565,PCIe104_INF_E1N001INF1!L:L,0)),0)</f>
        <v>0</v>
      </c>
      <c r="K565">
        <f>IFERROR(INDEX(IB_2RS232_E1N002INF1!N:N,MATCH('По платам'!$B565,IB_2RS232_E1N002INF1!L:L,0)),0)</f>
        <v>0</v>
      </c>
      <c r="L565">
        <f>IFERROR(INDEX(IB_2CAN_E1N003INF1!N:N,MATCH('По платам'!$B565,IB_2CAN_E1N003INF1!L:L,0)),0)</f>
        <v>0</v>
      </c>
    </row>
    <row r="566" spans="2:12">
      <c r="B566" s="3" t="s">
        <v>208</v>
      </c>
      <c r="C566">
        <f>IFERROR(INDEX('C2B004CPU2'!N:N,MATCH('По платам'!B566,'C2B004CPU2'!L:L,0)),0)</f>
        <v>5</v>
      </c>
      <c r="D566">
        <f>IFERROR(INDEX(SBC_DIO_E1N004INF1!N:N,MATCH('По платам'!$B566,SBC_DIO_E1N004INF1!L:L,0)),0)</f>
        <v>18</v>
      </c>
      <c r="E566">
        <f>IFERROR(INDEX(SBC_35_2C3_1_E1E001CPU1E!N:N,MATCH('По платам'!$B566,SBC_35_2C3_1_E1E001CPU1E!L:L,0)),0)</f>
        <v>0</v>
      </c>
      <c r="F566">
        <f>IFERROR(INDEX(PCIe104_PSU_E1N001PWR1!N:N,MATCH('По платам'!$B566,PCIe104_PSU_E1N001PWR1!L:L,0)),0)</f>
        <v>8</v>
      </c>
      <c r="G566">
        <f>IFERROR(INDEX(PCIe104_INF2_E1N006INF1!N:N,MATCH('По платам'!$B566,PCIe104_INF2_E1N006INF1!L:L,0)),0)</f>
        <v>0</v>
      </c>
      <c r="H566">
        <f>IFERROR(INDEX(PCIe104_CON_E1N005INF1!N:N,MATCH('По платам'!$B566,PCIe104_CON_E1N005INF1!L:L,0)),0)</f>
        <v>8</v>
      </c>
      <c r="I566">
        <f>IFERROR(INDEX('EM-PCIE104-CPU_E1E001CPU1E'!N:N,MATCH('По платам'!$B566,'EM-PCIE104-CPU_E1E001CPU1E'!L:L,0)),0)</f>
        <v>0</v>
      </c>
      <c r="J566">
        <f>IFERROR(INDEX(PCIe104_INF_E1N001INF1!N:N,MATCH('По платам'!$B566,PCIe104_INF_E1N001INF1!L:L,0)),0)</f>
        <v>0</v>
      </c>
      <c r="K566">
        <f>IFERROR(INDEX(IB_2RS232_E1N002INF1!N:N,MATCH('По платам'!$B566,IB_2RS232_E1N002INF1!L:L,0)),0)</f>
        <v>9</v>
      </c>
      <c r="L566">
        <f>IFERROR(INDEX(IB_2CAN_E1N003INF1!N:N,MATCH('По платам'!$B566,IB_2CAN_E1N003INF1!L:L,0)),0)</f>
        <v>0</v>
      </c>
    </row>
    <row r="567" spans="2:12">
      <c r="B567" s="3" t="s">
        <v>916</v>
      </c>
      <c r="C567">
        <f>IFERROR(INDEX('C2B004CPU2'!N:N,MATCH('По платам'!B567,'C2B004CPU2'!L:L,0)),0)</f>
        <v>0</v>
      </c>
      <c r="D567">
        <f>IFERROR(INDEX(SBC_DIO_E1N004INF1!N:N,MATCH('По платам'!$B567,SBC_DIO_E1N004INF1!L:L,0)),0)</f>
        <v>0</v>
      </c>
      <c r="E567">
        <f>IFERROR(INDEX(SBC_35_2C3_1_E1E001CPU1E!N:N,MATCH('По платам'!$B567,SBC_35_2C3_1_E1E001CPU1E!L:L,0)),0)</f>
        <v>0</v>
      </c>
      <c r="F567">
        <f>IFERROR(INDEX(PCIe104_PSU_E1N001PWR1!N:N,MATCH('По платам'!$B567,PCIe104_PSU_E1N001PWR1!L:L,0)),0)</f>
        <v>0</v>
      </c>
      <c r="G567">
        <f>IFERROR(INDEX(PCIe104_INF2_E1N006INF1!N:N,MATCH('По платам'!$B567,PCIe104_INF2_E1N006INF1!L:L,0)),0)</f>
        <v>0</v>
      </c>
      <c r="H567">
        <f>IFERROR(INDEX(PCIe104_CON_E1N005INF1!N:N,MATCH('По платам'!$B567,PCIe104_CON_E1N005INF1!L:L,0)),0)</f>
        <v>0</v>
      </c>
      <c r="I567">
        <f>IFERROR(INDEX('EM-PCIE104-CPU_E1E001CPU1E'!N:N,MATCH('По платам'!$B567,'EM-PCIE104-CPU_E1E001CPU1E'!L:L,0)),0)</f>
        <v>4</v>
      </c>
      <c r="J567">
        <f>IFERROR(INDEX(PCIe104_INF_E1N001INF1!N:N,MATCH('По платам'!$B567,PCIe104_INF_E1N001INF1!L:L,0)),0)</f>
        <v>0</v>
      </c>
      <c r="K567">
        <f>IFERROR(INDEX(IB_2RS232_E1N002INF1!N:N,MATCH('По платам'!$B567,IB_2RS232_E1N002INF1!L:L,0)),0)</f>
        <v>0</v>
      </c>
      <c r="L567">
        <f>IFERROR(INDEX(IB_2CAN_E1N003INF1!N:N,MATCH('По платам'!$B567,IB_2CAN_E1N003INF1!L:L,0)),0)</f>
        <v>0</v>
      </c>
    </row>
    <row r="568" spans="2:12">
      <c r="B568" s="3" t="s">
        <v>874</v>
      </c>
      <c r="C568">
        <f>IFERROR(INDEX('C2B004CPU2'!N:N,MATCH('По платам'!B568,'C2B004CPU2'!L:L,0)),0)</f>
        <v>82</v>
      </c>
      <c r="D568">
        <f>IFERROR(INDEX(SBC_DIO_E1N004INF1!N:N,MATCH('По платам'!$B568,SBC_DIO_E1N004INF1!L:L,0)),0)</f>
        <v>3</v>
      </c>
      <c r="E568">
        <f>IFERROR(INDEX(SBC_35_2C3_1_E1E001CPU1E!N:N,MATCH('По платам'!$B568,SBC_35_2C3_1_E1E001CPU1E!L:L,0)),0)</f>
        <v>0</v>
      </c>
      <c r="F568">
        <f>IFERROR(INDEX(PCIe104_PSU_E1N001PWR1!N:N,MATCH('По платам'!$B568,PCIe104_PSU_E1N001PWR1!L:L,0)),0)</f>
        <v>10</v>
      </c>
      <c r="G568">
        <f>IFERROR(INDEX(PCIe104_INF2_E1N006INF1!N:N,MATCH('По платам'!$B568,PCIe104_INF2_E1N006INF1!L:L,0)),0)</f>
        <v>0</v>
      </c>
      <c r="H568">
        <f>IFERROR(INDEX(PCIe104_CON_E1N005INF1!N:N,MATCH('По платам'!$B568,PCIe104_CON_E1N005INF1!L:L,0)),0)</f>
        <v>0</v>
      </c>
      <c r="I568">
        <f>IFERROR(INDEX('EM-PCIE104-CPU_E1E001CPU1E'!N:N,MATCH('По платам'!$B568,'EM-PCIE104-CPU_E1E001CPU1E'!L:L,0)),0)</f>
        <v>1</v>
      </c>
      <c r="J568">
        <f>IFERROR(INDEX(PCIe104_INF_E1N001INF1!N:N,MATCH('По платам'!$B568,PCIe104_INF_E1N001INF1!L:L,0)),0)</f>
        <v>0</v>
      </c>
      <c r="K568">
        <f>IFERROR(INDEX(IB_2RS232_E1N002INF1!N:N,MATCH('По платам'!$B568,IB_2RS232_E1N002INF1!L:L,0)),0)</f>
        <v>0</v>
      </c>
      <c r="L568">
        <f>IFERROR(INDEX(IB_2CAN_E1N003INF1!N:N,MATCH('По платам'!$B568,IB_2CAN_E1N003INF1!L:L,0)),0)</f>
        <v>0</v>
      </c>
    </row>
    <row r="569" spans="2:12">
      <c r="B569" s="3" t="s">
        <v>1150</v>
      </c>
      <c r="C569">
        <f>IFERROR(INDEX('C2B004CPU2'!N:N,MATCH('По платам'!B569,'C2B004CPU2'!L:L,0)),0)</f>
        <v>0</v>
      </c>
      <c r="D569">
        <f>IFERROR(INDEX(SBC_DIO_E1N004INF1!N:N,MATCH('По платам'!$B569,SBC_DIO_E1N004INF1!L:L,0)),0)</f>
        <v>0</v>
      </c>
      <c r="E569">
        <f>IFERROR(INDEX(SBC_35_2C3_1_E1E001CPU1E!N:N,MATCH('По платам'!$B569,SBC_35_2C3_1_E1E001CPU1E!L:L,0)),0)</f>
        <v>0</v>
      </c>
      <c r="F569">
        <f>IFERROR(INDEX(PCIe104_PSU_E1N001PWR1!N:N,MATCH('По платам'!$B569,PCIe104_PSU_E1N001PWR1!L:L,0)),0)</f>
        <v>13</v>
      </c>
      <c r="G569">
        <f>IFERROR(INDEX(PCIe104_INF2_E1N006INF1!N:N,MATCH('По платам'!$B569,PCIe104_INF2_E1N006INF1!L:L,0)),0)</f>
        <v>0</v>
      </c>
      <c r="H569">
        <f>IFERROR(INDEX(PCIe104_CON_E1N005INF1!N:N,MATCH('По платам'!$B569,PCIe104_CON_E1N005INF1!L:L,0)),0)</f>
        <v>1</v>
      </c>
      <c r="I569">
        <f>IFERROR(INDEX('EM-PCIE104-CPU_E1E001CPU1E'!N:N,MATCH('По платам'!$B569,'EM-PCIE104-CPU_E1E001CPU1E'!L:L,0)),0)</f>
        <v>0</v>
      </c>
      <c r="J569">
        <f>IFERROR(INDEX(PCIe104_INF_E1N001INF1!N:N,MATCH('По платам'!$B569,PCIe104_INF_E1N001INF1!L:L,0)),0)</f>
        <v>0</v>
      </c>
      <c r="K569">
        <f>IFERROR(INDEX(IB_2RS232_E1N002INF1!N:N,MATCH('По платам'!$B569,IB_2RS232_E1N002INF1!L:L,0)),0)</f>
        <v>0</v>
      </c>
      <c r="L569">
        <f>IFERROR(INDEX(IB_2CAN_E1N003INF1!N:N,MATCH('По платам'!$B569,IB_2CAN_E1N003INF1!L:L,0)),0)</f>
        <v>0</v>
      </c>
    </row>
    <row r="570" spans="2:12">
      <c r="B570" s="3" t="s">
        <v>2463</v>
      </c>
      <c r="C570">
        <f>IFERROR(INDEX('C2B004CPU2'!N:N,MATCH('По платам'!B570,'C2B004CPU2'!L:L,0)),0)</f>
        <v>4</v>
      </c>
      <c r="D570">
        <f>IFERROR(INDEX(SBC_DIO_E1N004INF1!N:N,MATCH('По платам'!$B570,SBC_DIO_E1N004INF1!L:L,0)),0)</f>
        <v>0</v>
      </c>
      <c r="E570">
        <f>IFERROR(INDEX(SBC_35_2C3_1_E1E001CPU1E!N:N,MATCH('По платам'!$B570,SBC_35_2C3_1_E1E001CPU1E!L:L,0)),0)</f>
        <v>0</v>
      </c>
      <c r="F570">
        <f>IFERROR(INDEX(PCIe104_PSU_E1N001PWR1!N:N,MATCH('По платам'!$B570,PCIe104_PSU_E1N001PWR1!L:L,0)),0)</f>
        <v>0</v>
      </c>
      <c r="G570">
        <f>IFERROR(INDEX(PCIe104_INF2_E1N006INF1!N:N,MATCH('По платам'!$B570,PCIe104_INF2_E1N006INF1!L:L,0)),0)</f>
        <v>0</v>
      </c>
      <c r="H570">
        <f>IFERROR(INDEX(PCIe104_CON_E1N005INF1!N:N,MATCH('По платам'!$B570,PCIe104_CON_E1N005INF1!L:L,0)),0)</f>
        <v>0</v>
      </c>
      <c r="I570">
        <f>IFERROR(INDEX('EM-PCIE104-CPU_E1E001CPU1E'!N:N,MATCH('По платам'!$B570,'EM-PCIE104-CPU_E1E001CPU1E'!L:L,0)),0)</f>
        <v>0</v>
      </c>
      <c r="J570">
        <f>IFERROR(INDEX(PCIe104_INF_E1N001INF1!N:N,MATCH('По платам'!$B570,PCIe104_INF_E1N001INF1!L:L,0)),0)</f>
        <v>0</v>
      </c>
      <c r="K570">
        <f>IFERROR(INDEX(IB_2RS232_E1N002INF1!N:N,MATCH('По платам'!$B570,IB_2RS232_E1N002INF1!L:L,0)),0)</f>
        <v>0</v>
      </c>
      <c r="L570">
        <f>IFERROR(INDEX(IB_2CAN_E1N003INF1!N:N,MATCH('По платам'!$B570,IB_2CAN_E1N003INF1!L:L,0)),0)</f>
        <v>0</v>
      </c>
    </row>
    <row r="571" spans="2:12">
      <c r="B571" s="3" t="s">
        <v>205</v>
      </c>
      <c r="C571">
        <f>IFERROR(INDEX('C2B004CPU2'!N:N,MATCH('По платам'!B571,'C2B004CPU2'!L:L,0)),0)</f>
        <v>0</v>
      </c>
      <c r="D571">
        <f>IFERROR(INDEX(SBC_DIO_E1N004INF1!N:N,MATCH('По платам'!$B571,SBC_DIO_E1N004INF1!L:L,0)),0)</f>
        <v>0</v>
      </c>
      <c r="E571">
        <f>IFERROR(INDEX(SBC_35_2C3_1_E1E001CPU1E!N:N,MATCH('По платам'!$B571,SBC_35_2C3_1_E1E001CPU1E!L:L,0)),0)</f>
        <v>0</v>
      </c>
      <c r="F571">
        <f>IFERROR(INDEX(PCIe104_PSU_E1N001PWR1!N:N,MATCH('По платам'!$B571,PCIe104_PSU_E1N001PWR1!L:L,0)),0)</f>
        <v>0</v>
      </c>
      <c r="G571">
        <f>IFERROR(INDEX(PCIe104_INF2_E1N006INF1!N:N,MATCH('По платам'!$B571,PCIe104_INF2_E1N006INF1!L:L,0)),0)</f>
        <v>0</v>
      </c>
      <c r="H571">
        <f>IFERROR(INDEX(PCIe104_CON_E1N005INF1!N:N,MATCH('По платам'!$B571,PCIe104_CON_E1N005INF1!L:L,0)),0)</f>
        <v>0</v>
      </c>
      <c r="I571">
        <f>IFERROR(INDEX('EM-PCIE104-CPU_E1E001CPU1E'!N:N,MATCH('По платам'!$B571,'EM-PCIE104-CPU_E1E001CPU1E'!L:L,0)),0)</f>
        <v>0</v>
      </c>
      <c r="J571">
        <f>IFERROR(INDEX(PCIe104_INF_E1N001INF1!N:N,MATCH('По платам'!$B571,PCIe104_INF_E1N001INF1!L:L,0)),0)</f>
        <v>0</v>
      </c>
      <c r="K571">
        <f>IFERROR(INDEX(IB_2RS232_E1N002INF1!N:N,MATCH('По платам'!$B571,IB_2RS232_E1N002INF1!L:L,0)),0)</f>
        <v>10</v>
      </c>
      <c r="L571">
        <f>IFERROR(INDEX(IB_2CAN_E1N003INF1!N:N,MATCH('По платам'!$B571,IB_2CAN_E1N003INF1!L:L,0)),0)</f>
        <v>0</v>
      </c>
    </row>
    <row r="572" spans="2:12">
      <c r="B572" s="3" t="s">
        <v>2455</v>
      </c>
      <c r="C572">
        <f>IFERROR(INDEX('C2B004CPU2'!N:N,MATCH('По платам'!B572,'C2B004CPU2'!L:L,0)),0)</f>
        <v>1</v>
      </c>
      <c r="D572">
        <f>IFERROR(INDEX(SBC_DIO_E1N004INF1!N:N,MATCH('По платам'!$B572,SBC_DIO_E1N004INF1!L:L,0)),0)</f>
        <v>0</v>
      </c>
      <c r="E572">
        <f>IFERROR(INDEX(SBC_35_2C3_1_E1E001CPU1E!N:N,MATCH('По платам'!$B572,SBC_35_2C3_1_E1E001CPU1E!L:L,0)),0)</f>
        <v>0</v>
      </c>
      <c r="F572">
        <f>IFERROR(INDEX(PCIe104_PSU_E1N001PWR1!N:N,MATCH('По платам'!$B572,PCIe104_PSU_E1N001PWR1!L:L,0)),0)</f>
        <v>0</v>
      </c>
      <c r="G572">
        <f>IFERROR(INDEX(PCIe104_INF2_E1N006INF1!N:N,MATCH('По платам'!$B572,PCIe104_INF2_E1N006INF1!L:L,0)),0)</f>
        <v>0</v>
      </c>
      <c r="H572">
        <f>IFERROR(INDEX(PCIe104_CON_E1N005INF1!N:N,MATCH('По платам'!$B572,PCIe104_CON_E1N005INF1!L:L,0)),0)</f>
        <v>0</v>
      </c>
      <c r="I572">
        <f>IFERROR(INDEX('EM-PCIE104-CPU_E1E001CPU1E'!N:N,MATCH('По платам'!$B572,'EM-PCIE104-CPU_E1E001CPU1E'!L:L,0)),0)</f>
        <v>0</v>
      </c>
      <c r="J572">
        <f>IFERROR(INDEX(PCIe104_INF_E1N001INF1!N:N,MATCH('По платам'!$B572,PCIe104_INF_E1N001INF1!L:L,0)),0)</f>
        <v>0</v>
      </c>
      <c r="K572">
        <f>IFERROR(INDEX(IB_2RS232_E1N002INF1!N:N,MATCH('По платам'!$B572,IB_2RS232_E1N002INF1!L:L,0)),0)</f>
        <v>0</v>
      </c>
      <c r="L572">
        <f>IFERROR(INDEX(IB_2CAN_E1N003INF1!N:N,MATCH('По платам'!$B572,IB_2CAN_E1N003INF1!L:L,0)),0)</f>
        <v>0</v>
      </c>
    </row>
    <row r="573" spans="2:12">
      <c r="B573" s="3" t="s">
        <v>2493</v>
      </c>
      <c r="C573">
        <f>IFERROR(INDEX('C2B004CPU2'!N:N,MATCH('По платам'!B573,'C2B004CPU2'!L:L,0)),0)</f>
        <v>1</v>
      </c>
      <c r="D573">
        <f>IFERROR(INDEX(SBC_DIO_E1N004INF1!N:N,MATCH('По платам'!$B573,SBC_DIO_E1N004INF1!L:L,0)),0)</f>
        <v>0</v>
      </c>
      <c r="E573">
        <f>IFERROR(INDEX(SBC_35_2C3_1_E1E001CPU1E!N:N,MATCH('По платам'!$B573,SBC_35_2C3_1_E1E001CPU1E!L:L,0)),0)</f>
        <v>0</v>
      </c>
      <c r="F573">
        <f>IFERROR(INDEX(PCIe104_PSU_E1N001PWR1!N:N,MATCH('По платам'!$B573,PCIe104_PSU_E1N001PWR1!L:L,0)),0)</f>
        <v>0</v>
      </c>
      <c r="G573">
        <f>IFERROR(INDEX(PCIe104_INF2_E1N006INF1!N:N,MATCH('По платам'!$B573,PCIe104_INF2_E1N006INF1!L:L,0)),0)</f>
        <v>0</v>
      </c>
      <c r="H573">
        <f>IFERROR(INDEX(PCIe104_CON_E1N005INF1!N:N,MATCH('По платам'!$B573,PCIe104_CON_E1N005INF1!L:L,0)),0)</f>
        <v>0</v>
      </c>
      <c r="I573">
        <f>IFERROR(INDEX('EM-PCIE104-CPU_E1E001CPU1E'!N:N,MATCH('По платам'!$B573,'EM-PCIE104-CPU_E1E001CPU1E'!L:L,0)),0)</f>
        <v>0</v>
      </c>
      <c r="J573">
        <f>IFERROR(INDEX(PCIe104_INF_E1N001INF1!N:N,MATCH('По платам'!$B573,PCIe104_INF_E1N001INF1!L:L,0)),0)</f>
        <v>0</v>
      </c>
      <c r="K573">
        <f>IFERROR(INDEX(IB_2RS232_E1N002INF1!N:N,MATCH('По платам'!$B573,IB_2RS232_E1N002INF1!L:L,0)),0)</f>
        <v>0</v>
      </c>
      <c r="L573">
        <f>IFERROR(INDEX(IB_2CAN_E1N003INF1!N:N,MATCH('По платам'!$B573,IB_2CAN_E1N003INF1!L:L,0)),0)</f>
        <v>0</v>
      </c>
    </row>
    <row r="574" spans="2:12">
      <c r="B574" s="3" t="s">
        <v>1009</v>
      </c>
      <c r="C574">
        <f>IFERROR(INDEX('C2B004CPU2'!N:N,MATCH('По платам'!B574,'C2B004CPU2'!L:L,0)),0)</f>
        <v>0</v>
      </c>
      <c r="D574">
        <f>IFERROR(INDEX(SBC_DIO_E1N004INF1!N:N,MATCH('По платам'!$B574,SBC_DIO_E1N004INF1!L:L,0)),0)</f>
        <v>0</v>
      </c>
      <c r="E574">
        <f>IFERROR(INDEX(SBC_35_2C3_1_E1E001CPU1E!N:N,MATCH('По платам'!$B574,SBC_35_2C3_1_E1E001CPU1E!L:L,0)),0)</f>
        <v>0</v>
      </c>
      <c r="F574">
        <f>IFERROR(INDEX(PCIe104_PSU_E1N001PWR1!N:N,MATCH('По платам'!$B574,PCIe104_PSU_E1N001PWR1!L:L,0)),0)</f>
        <v>0</v>
      </c>
      <c r="G574">
        <f>IFERROR(INDEX(PCIe104_INF2_E1N006INF1!N:N,MATCH('По платам'!$B574,PCIe104_INF2_E1N006INF1!L:L,0)),0)</f>
        <v>0</v>
      </c>
      <c r="H574">
        <f>IFERROR(INDEX(PCIe104_CON_E1N005INF1!N:N,MATCH('По платам'!$B574,PCIe104_CON_E1N005INF1!L:L,0)),0)</f>
        <v>0</v>
      </c>
      <c r="I574">
        <f>IFERROR(INDEX('EM-PCIE104-CPU_E1E001CPU1E'!N:N,MATCH('По платам'!$B574,'EM-PCIE104-CPU_E1E001CPU1E'!L:L,0)),0)</f>
        <v>2</v>
      </c>
      <c r="J574">
        <f>IFERROR(INDEX(PCIe104_INF_E1N001INF1!N:N,MATCH('По платам'!$B574,PCIe104_INF_E1N001INF1!L:L,0)),0)</f>
        <v>0</v>
      </c>
      <c r="K574">
        <f>IFERROR(INDEX(IB_2RS232_E1N002INF1!N:N,MATCH('По платам'!$B574,IB_2RS232_E1N002INF1!L:L,0)),0)</f>
        <v>0</v>
      </c>
      <c r="L574">
        <f>IFERROR(INDEX(IB_2CAN_E1N003INF1!N:N,MATCH('По платам'!$B574,IB_2CAN_E1N003INF1!L:L,0)),0)</f>
        <v>0</v>
      </c>
    </row>
    <row r="575" spans="2:12">
      <c r="B575" s="3" t="s">
        <v>2482</v>
      </c>
      <c r="C575">
        <f>IFERROR(INDEX('C2B004CPU2'!N:N,MATCH('По платам'!B575,'C2B004CPU2'!L:L,0)),0)</f>
        <v>1</v>
      </c>
      <c r="D575">
        <f>IFERROR(INDEX(SBC_DIO_E1N004INF1!N:N,MATCH('По платам'!$B575,SBC_DIO_E1N004INF1!L:L,0)),0)</f>
        <v>0</v>
      </c>
      <c r="E575">
        <f>IFERROR(INDEX(SBC_35_2C3_1_E1E001CPU1E!N:N,MATCH('По платам'!$B575,SBC_35_2C3_1_E1E001CPU1E!L:L,0)),0)</f>
        <v>0</v>
      </c>
      <c r="F575">
        <f>IFERROR(INDEX(PCIe104_PSU_E1N001PWR1!N:N,MATCH('По платам'!$B575,PCIe104_PSU_E1N001PWR1!L:L,0)),0)</f>
        <v>0</v>
      </c>
      <c r="G575">
        <f>IFERROR(INDEX(PCIe104_INF2_E1N006INF1!N:N,MATCH('По платам'!$B575,PCIe104_INF2_E1N006INF1!L:L,0)),0)</f>
        <v>0</v>
      </c>
      <c r="H575">
        <f>IFERROR(INDEX(PCIe104_CON_E1N005INF1!N:N,MATCH('По платам'!$B575,PCIe104_CON_E1N005INF1!L:L,0)),0)</f>
        <v>0</v>
      </c>
      <c r="I575">
        <f>IFERROR(INDEX('EM-PCIE104-CPU_E1E001CPU1E'!N:N,MATCH('По платам'!$B575,'EM-PCIE104-CPU_E1E001CPU1E'!L:L,0)),0)</f>
        <v>0</v>
      </c>
      <c r="J575">
        <f>IFERROR(INDEX(PCIe104_INF_E1N001INF1!N:N,MATCH('По платам'!$B575,PCIe104_INF_E1N001INF1!L:L,0)),0)</f>
        <v>0</v>
      </c>
      <c r="K575">
        <f>IFERROR(INDEX(IB_2RS232_E1N002INF1!N:N,MATCH('По платам'!$B575,IB_2RS232_E1N002INF1!L:L,0)),0)</f>
        <v>0</v>
      </c>
      <c r="L575">
        <f>IFERROR(INDEX(IB_2CAN_E1N003INF1!N:N,MATCH('По платам'!$B575,IB_2CAN_E1N003INF1!L:L,0)),0)</f>
        <v>0</v>
      </c>
    </row>
    <row r="576" spans="2:12">
      <c r="B576" s="3" t="s">
        <v>2555</v>
      </c>
      <c r="C576">
        <f>IFERROR(INDEX('C2B004CPU2'!N:N,MATCH('По платам'!B576,'C2B004CPU2'!L:L,0)),0)</f>
        <v>3</v>
      </c>
      <c r="D576">
        <f>IFERROR(INDEX(SBC_DIO_E1N004INF1!N:N,MATCH('По платам'!$B576,SBC_DIO_E1N004INF1!L:L,0)),0)</f>
        <v>0</v>
      </c>
      <c r="E576">
        <f>IFERROR(INDEX(SBC_35_2C3_1_E1E001CPU1E!N:N,MATCH('По платам'!$B576,SBC_35_2C3_1_E1E001CPU1E!L:L,0)),0)</f>
        <v>0</v>
      </c>
      <c r="F576">
        <f>IFERROR(INDEX(PCIe104_PSU_E1N001PWR1!N:N,MATCH('По платам'!$B576,PCIe104_PSU_E1N001PWR1!L:L,0)),0)</f>
        <v>0</v>
      </c>
      <c r="G576">
        <f>IFERROR(INDEX(PCIe104_INF2_E1N006INF1!N:N,MATCH('По платам'!$B576,PCIe104_INF2_E1N006INF1!L:L,0)),0)</f>
        <v>0</v>
      </c>
      <c r="H576">
        <f>IFERROR(INDEX(PCIe104_CON_E1N005INF1!N:N,MATCH('По платам'!$B576,PCIe104_CON_E1N005INF1!L:L,0)),0)</f>
        <v>0</v>
      </c>
      <c r="I576">
        <f>IFERROR(INDEX('EM-PCIE104-CPU_E1E001CPU1E'!N:N,MATCH('По платам'!$B576,'EM-PCIE104-CPU_E1E001CPU1E'!L:L,0)),0)</f>
        <v>0</v>
      </c>
      <c r="J576">
        <f>IFERROR(INDEX(PCIe104_INF_E1N001INF1!N:N,MATCH('По платам'!$B576,PCIe104_INF_E1N001INF1!L:L,0)),0)</f>
        <v>0</v>
      </c>
      <c r="K576">
        <f>IFERROR(INDEX(IB_2RS232_E1N002INF1!N:N,MATCH('По платам'!$B576,IB_2RS232_E1N002INF1!L:L,0)),0)</f>
        <v>0</v>
      </c>
      <c r="L576">
        <f>IFERROR(INDEX(IB_2CAN_E1N003INF1!N:N,MATCH('По платам'!$B576,IB_2CAN_E1N003INF1!L:L,0)),0)</f>
        <v>0</v>
      </c>
    </row>
    <row r="577" spans="2:12">
      <c r="B577" s="3" t="s">
        <v>1379</v>
      </c>
      <c r="C577">
        <f>IFERROR(INDEX('C2B004CPU2'!N:N,MATCH('По платам'!B577,'C2B004CPU2'!L:L,0)),0)</f>
        <v>0</v>
      </c>
      <c r="D577">
        <f>IFERROR(INDEX(SBC_DIO_E1N004INF1!N:N,MATCH('По платам'!$B577,SBC_DIO_E1N004INF1!L:L,0)),0)</f>
        <v>0</v>
      </c>
      <c r="E577">
        <f>IFERROR(INDEX(SBC_35_2C3_1_E1E001CPU1E!N:N,MATCH('По платам'!$B577,SBC_35_2C3_1_E1E001CPU1E!L:L,0)),0)</f>
        <v>0</v>
      </c>
      <c r="F577">
        <f>IFERROR(INDEX(PCIe104_PSU_E1N001PWR1!N:N,MATCH('По платам'!$B577,PCIe104_PSU_E1N001PWR1!L:L,0)),0)</f>
        <v>1</v>
      </c>
      <c r="G577">
        <f>IFERROR(INDEX(PCIe104_INF2_E1N006INF1!N:N,MATCH('По платам'!$B577,PCIe104_INF2_E1N006INF1!L:L,0)),0)</f>
        <v>0</v>
      </c>
      <c r="H577">
        <f>IFERROR(INDEX(PCIe104_CON_E1N005INF1!N:N,MATCH('По платам'!$B577,PCIe104_CON_E1N005INF1!L:L,0)),0)</f>
        <v>0</v>
      </c>
      <c r="I577">
        <f>IFERROR(INDEX('EM-PCIE104-CPU_E1E001CPU1E'!N:N,MATCH('По платам'!$B577,'EM-PCIE104-CPU_E1E001CPU1E'!L:L,0)),0)</f>
        <v>0</v>
      </c>
      <c r="J577">
        <f>IFERROR(INDEX(PCIe104_INF_E1N001INF1!N:N,MATCH('По платам'!$B577,PCIe104_INF_E1N001INF1!L:L,0)),0)</f>
        <v>0</v>
      </c>
      <c r="K577">
        <f>IFERROR(INDEX(IB_2RS232_E1N002INF1!N:N,MATCH('По платам'!$B577,IB_2RS232_E1N002INF1!L:L,0)),0)</f>
        <v>0</v>
      </c>
      <c r="L577">
        <f>IFERROR(INDEX(IB_2CAN_E1N003INF1!N:N,MATCH('По платам'!$B577,IB_2CAN_E1N003INF1!L:L,0)),0)</f>
        <v>0</v>
      </c>
    </row>
    <row r="578" spans="2:12">
      <c r="B578" s="3" t="s">
        <v>93</v>
      </c>
      <c r="C578">
        <f>IFERROR(INDEX('C2B004CPU2'!N:N,MATCH('По платам'!B578,'C2B004CPU2'!L:L,0)),0)</f>
        <v>0</v>
      </c>
      <c r="D578">
        <f>IFERROR(INDEX(SBC_DIO_E1N004INF1!N:N,MATCH('По платам'!$B578,SBC_DIO_E1N004INF1!L:L,0)),0)</f>
        <v>0</v>
      </c>
      <c r="E578">
        <f>IFERROR(INDEX(SBC_35_2C3_1_E1E001CPU1E!N:N,MATCH('По платам'!$B578,SBC_35_2C3_1_E1E001CPU1E!L:L,0)),0)</f>
        <v>0</v>
      </c>
      <c r="F578">
        <f>IFERROR(INDEX(PCIe104_PSU_E1N001PWR1!N:N,MATCH('По платам'!$B578,PCIe104_PSU_E1N001PWR1!L:L,0)),0)</f>
        <v>0</v>
      </c>
      <c r="G578">
        <f>IFERROR(INDEX(PCIe104_INF2_E1N006INF1!N:N,MATCH('По платам'!$B578,PCIe104_INF2_E1N006INF1!L:L,0)),0)</f>
        <v>0</v>
      </c>
      <c r="H578">
        <f>IFERROR(INDEX(PCIe104_CON_E1N005INF1!N:N,MATCH('По платам'!$B578,PCIe104_CON_E1N005INF1!L:L,0)),0)</f>
        <v>0</v>
      </c>
      <c r="I578">
        <f>IFERROR(INDEX('EM-PCIE104-CPU_E1E001CPU1E'!N:N,MATCH('По платам'!$B578,'EM-PCIE104-CPU_E1E001CPU1E'!L:L,0)),0)</f>
        <v>0</v>
      </c>
      <c r="J578">
        <f>IFERROR(INDEX(PCIe104_INF_E1N001INF1!N:N,MATCH('По платам'!$B578,PCIe104_INF_E1N001INF1!L:L,0)),0)</f>
        <v>1</v>
      </c>
      <c r="K578">
        <f>IFERROR(INDEX(IB_2RS232_E1N002INF1!N:N,MATCH('По платам'!$B578,IB_2RS232_E1N002INF1!L:L,0)),0)</f>
        <v>0</v>
      </c>
      <c r="L578">
        <f>IFERROR(INDEX(IB_2CAN_E1N003INF1!N:N,MATCH('По платам'!$B578,IB_2CAN_E1N003INF1!L:L,0)),0)</f>
        <v>1</v>
      </c>
    </row>
    <row r="579" spans="2:12">
      <c r="B579" s="3" t="s">
        <v>2417</v>
      </c>
      <c r="C579">
        <f>IFERROR(INDEX('C2B004CPU2'!N:N,MATCH('По платам'!B579,'C2B004CPU2'!L:L,0)),0)</f>
        <v>5</v>
      </c>
      <c r="D579">
        <f>IFERROR(INDEX(SBC_DIO_E1N004INF1!N:N,MATCH('По платам'!$B579,SBC_DIO_E1N004INF1!L:L,0)),0)</f>
        <v>0</v>
      </c>
      <c r="E579">
        <f>IFERROR(INDEX(SBC_35_2C3_1_E1E001CPU1E!N:N,MATCH('По платам'!$B579,SBC_35_2C3_1_E1E001CPU1E!L:L,0)),0)</f>
        <v>0</v>
      </c>
      <c r="F579">
        <f>IFERROR(INDEX(PCIe104_PSU_E1N001PWR1!N:N,MATCH('По платам'!$B579,PCIe104_PSU_E1N001PWR1!L:L,0)),0)</f>
        <v>0</v>
      </c>
      <c r="G579">
        <f>IFERROR(INDEX(PCIe104_INF2_E1N006INF1!N:N,MATCH('По платам'!$B579,PCIe104_INF2_E1N006INF1!L:L,0)),0)</f>
        <v>0</v>
      </c>
      <c r="H579">
        <f>IFERROR(INDEX(PCIe104_CON_E1N005INF1!N:N,MATCH('По платам'!$B579,PCIe104_CON_E1N005INF1!L:L,0)),0)</f>
        <v>0</v>
      </c>
      <c r="I579">
        <f>IFERROR(INDEX('EM-PCIE104-CPU_E1E001CPU1E'!N:N,MATCH('По платам'!$B579,'EM-PCIE104-CPU_E1E001CPU1E'!L:L,0)),0)</f>
        <v>0</v>
      </c>
      <c r="J579">
        <f>IFERROR(INDEX(PCIe104_INF_E1N001INF1!N:N,MATCH('По платам'!$B579,PCIe104_INF_E1N001INF1!L:L,0)),0)</f>
        <v>0</v>
      </c>
      <c r="K579">
        <f>IFERROR(INDEX(IB_2RS232_E1N002INF1!N:N,MATCH('По платам'!$B579,IB_2RS232_E1N002INF1!L:L,0)),0)</f>
        <v>0</v>
      </c>
      <c r="L579">
        <f>IFERROR(INDEX(IB_2CAN_E1N003INF1!N:N,MATCH('По платам'!$B579,IB_2CAN_E1N003INF1!L:L,0)),0)</f>
        <v>0</v>
      </c>
    </row>
    <row r="580" spans="2:12">
      <c r="B580" s="3" t="s">
        <v>88</v>
      </c>
      <c r="C580">
        <f>IFERROR(INDEX('C2B004CPU2'!N:N,MATCH('По платам'!B580,'C2B004CPU2'!L:L,0)),0)</f>
        <v>0</v>
      </c>
      <c r="D580">
        <f>IFERROR(INDEX(SBC_DIO_E1N004INF1!N:N,MATCH('По платам'!$B580,SBC_DIO_E1N004INF1!L:L,0)),0)</f>
        <v>0</v>
      </c>
      <c r="E580">
        <f>IFERROR(INDEX(SBC_35_2C3_1_E1E001CPU1E!N:N,MATCH('По платам'!$B580,SBC_35_2C3_1_E1E001CPU1E!L:L,0)),0)</f>
        <v>0</v>
      </c>
      <c r="F580">
        <f>IFERROR(INDEX(PCIe104_PSU_E1N001PWR1!N:N,MATCH('По платам'!$B580,PCIe104_PSU_E1N001PWR1!L:L,0)),0)</f>
        <v>11</v>
      </c>
      <c r="G580">
        <f>IFERROR(INDEX(PCIe104_INF2_E1N006INF1!N:N,MATCH('По платам'!$B580,PCIe104_INF2_E1N006INF1!L:L,0)),0)</f>
        <v>0</v>
      </c>
      <c r="H580">
        <f>IFERROR(INDEX(PCIe104_CON_E1N005INF1!N:N,MATCH('По платам'!$B580,PCIe104_CON_E1N005INF1!L:L,0)),0)</f>
        <v>0</v>
      </c>
      <c r="I580">
        <f>IFERROR(INDEX('EM-PCIE104-CPU_E1E001CPU1E'!N:N,MATCH('По платам'!$B580,'EM-PCIE104-CPU_E1E001CPU1E'!L:L,0)),0)</f>
        <v>0</v>
      </c>
      <c r="J580">
        <f>IFERROR(INDEX(PCIe104_INF_E1N001INF1!N:N,MATCH('По платам'!$B580,PCIe104_INF_E1N001INF1!L:L,0)),0)</f>
        <v>0</v>
      </c>
      <c r="K580">
        <f>IFERROR(INDEX(IB_2RS232_E1N002INF1!N:N,MATCH('По платам'!$B580,IB_2RS232_E1N002INF1!L:L,0)),0)</f>
        <v>0</v>
      </c>
      <c r="L580">
        <f>IFERROR(INDEX(IB_2CAN_E1N003INF1!N:N,MATCH('По платам'!$B580,IB_2CAN_E1N003INF1!L:L,0)),0)</f>
        <v>4</v>
      </c>
    </row>
    <row r="581" spans="2:12">
      <c r="B581" s="3" t="s">
        <v>2485</v>
      </c>
      <c r="C581">
        <f>IFERROR(INDEX('C2B004CPU2'!N:N,MATCH('По платам'!B581,'C2B004CPU2'!L:L,0)),0)</f>
        <v>1</v>
      </c>
      <c r="D581">
        <f>IFERROR(INDEX(SBC_DIO_E1N004INF1!N:N,MATCH('По платам'!$B581,SBC_DIO_E1N004INF1!L:L,0)),0)</f>
        <v>0</v>
      </c>
      <c r="E581">
        <f>IFERROR(INDEX(SBC_35_2C3_1_E1E001CPU1E!N:N,MATCH('По платам'!$B581,SBC_35_2C3_1_E1E001CPU1E!L:L,0)),0)</f>
        <v>0</v>
      </c>
      <c r="F581">
        <f>IFERROR(INDEX(PCIe104_PSU_E1N001PWR1!N:N,MATCH('По платам'!$B581,PCIe104_PSU_E1N001PWR1!L:L,0)),0)</f>
        <v>0</v>
      </c>
      <c r="G581">
        <f>IFERROR(INDEX(PCIe104_INF2_E1N006INF1!N:N,MATCH('По платам'!$B581,PCIe104_INF2_E1N006INF1!L:L,0)),0)</f>
        <v>0</v>
      </c>
      <c r="H581">
        <f>IFERROR(INDEX(PCIe104_CON_E1N005INF1!N:N,MATCH('По платам'!$B581,PCIe104_CON_E1N005INF1!L:L,0)),0)</f>
        <v>0</v>
      </c>
      <c r="I581">
        <f>IFERROR(INDEX('EM-PCIE104-CPU_E1E001CPU1E'!N:N,MATCH('По платам'!$B581,'EM-PCIE104-CPU_E1E001CPU1E'!L:L,0)),0)</f>
        <v>0</v>
      </c>
      <c r="J581">
        <f>IFERROR(INDEX(PCIe104_INF_E1N001INF1!N:N,MATCH('По платам'!$B581,PCIe104_INF_E1N001INF1!L:L,0)),0)</f>
        <v>0</v>
      </c>
      <c r="K581">
        <f>IFERROR(INDEX(IB_2RS232_E1N002INF1!N:N,MATCH('По платам'!$B581,IB_2RS232_E1N002INF1!L:L,0)),0)</f>
        <v>0</v>
      </c>
      <c r="L581">
        <f>IFERROR(INDEX(IB_2CAN_E1N003INF1!N:N,MATCH('По платам'!$B581,IB_2CAN_E1N003INF1!L:L,0)),0)</f>
        <v>0</v>
      </c>
    </row>
    <row r="582" spans="2:12">
      <c r="B582" s="3" t="s">
        <v>2479</v>
      </c>
      <c r="C582">
        <f>IFERROR(INDEX('C2B004CPU2'!N:N,MATCH('По платам'!B582,'C2B004CPU2'!L:L,0)),0)</f>
        <v>1</v>
      </c>
      <c r="D582">
        <f>IFERROR(INDEX(SBC_DIO_E1N004INF1!N:N,MATCH('По платам'!$B582,SBC_DIO_E1N004INF1!L:L,0)),0)</f>
        <v>0</v>
      </c>
      <c r="E582">
        <f>IFERROR(INDEX(SBC_35_2C3_1_E1E001CPU1E!N:N,MATCH('По платам'!$B582,SBC_35_2C3_1_E1E001CPU1E!L:L,0)),0)</f>
        <v>0</v>
      </c>
      <c r="F582">
        <f>IFERROR(INDEX(PCIe104_PSU_E1N001PWR1!N:N,MATCH('По платам'!$B582,PCIe104_PSU_E1N001PWR1!L:L,0)),0)</f>
        <v>0</v>
      </c>
      <c r="G582">
        <f>IFERROR(INDEX(PCIe104_INF2_E1N006INF1!N:N,MATCH('По платам'!$B582,PCIe104_INF2_E1N006INF1!L:L,0)),0)</f>
        <v>0</v>
      </c>
      <c r="H582">
        <f>IFERROR(INDEX(PCIe104_CON_E1N005INF1!N:N,MATCH('По платам'!$B582,PCIe104_CON_E1N005INF1!L:L,0)),0)</f>
        <v>0</v>
      </c>
      <c r="I582">
        <f>IFERROR(INDEX('EM-PCIE104-CPU_E1E001CPU1E'!N:N,MATCH('По платам'!$B582,'EM-PCIE104-CPU_E1E001CPU1E'!L:L,0)),0)</f>
        <v>0</v>
      </c>
      <c r="J582">
        <f>IFERROR(INDEX(PCIe104_INF_E1N001INF1!N:N,MATCH('По платам'!$B582,PCIe104_INF_E1N001INF1!L:L,0)),0)</f>
        <v>0</v>
      </c>
      <c r="K582">
        <f>IFERROR(INDEX(IB_2RS232_E1N002INF1!N:N,MATCH('По платам'!$B582,IB_2RS232_E1N002INF1!L:L,0)),0)</f>
        <v>0</v>
      </c>
      <c r="L582">
        <f>IFERROR(INDEX(IB_2CAN_E1N003INF1!N:N,MATCH('По платам'!$B582,IB_2CAN_E1N003INF1!L:L,0)),0)</f>
        <v>0</v>
      </c>
    </row>
    <row r="583" spans="2:12">
      <c r="B583" s="3" t="s">
        <v>2403</v>
      </c>
      <c r="C583">
        <f>IFERROR(INDEX('C2B004CPU2'!N:N,MATCH('По платам'!B583,'C2B004CPU2'!L:L,0)),0)</f>
        <v>10</v>
      </c>
      <c r="D583">
        <f>IFERROR(INDEX(SBC_DIO_E1N004INF1!N:N,MATCH('По платам'!$B583,SBC_DIO_E1N004INF1!L:L,0)),0)</f>
        <v>0</v>
      </c>
      <c r="E583">
        <f>IFERROR(INDEX(SBC_35_2C3_1_E1E001CPU1E!N:N,MATCH('По платам'!$B583,SBC_35_2C3_1_E1E001CPU1E!L:L,0)),0)</f>
        <v>0</v>
      </c>
      <c r="F583">
        <f>IFERROR(INDEX(PCIe104_PSU_E1N001PWR1!N:N,MATCH('По платам'!$B583,PCIe104_PSU_E1N001PWR1!L:L,0)),0)</f>
        <v>0</v>
      </c>
      <c r="G583">
        <f>IFERROR(INDEX(PCIe104_INF2_E1N006INF1!N:N,MATCH('По платам'!$B583,PCIe104_INF2_E1N006INF1!L:L,0)),0)</f>
        <v>0</v>
      </c>
      <c r="H583">
        <f>IFERROR(INDEX(PCIe104_CON_E1N005INF1!N:N,MATCH('По платам'!$B583,PCIe104_CON_E1N005INF1!L:L,0)),0)</f>
        <v>0</v>
      </c>
      <c r="I583">
        <f>IFERROR(INDEX('EM-PCIE104-CPU_E1E001CPU1E'!N:N,MATCH('По платам'!$B583,'EM-PCIE104-CPU_E1E001CPU1E'!L:L,0)),0)</f>
        <v>0</v>
      </c>
      <c r="J583">
        <f>IFERROR(INDEX(PCIe104_INF_E1N001INF1!N:N,MATCH('По платам'!$B583,PCIe104_INF_E1N001INF1!L:L,0)),0)</f>
        <v>0</v>
      </c>
      <c r="K583">
        <f>IFERROR(INDEX(IB_2RS232_E1N002INF1!N:N,MATCH('По платам'!$B583,IB_2RS232_E1N002INF1!L:L,0)),0)</f>
        <v>0</v>
      </c>
      <c r="L583">
        <f>IFERROR(INDEX(IB_2CAN_E1N003INF1!N:N,MATCH('По платам'!$B583,IB_2CAN_E1N003INF1!L:L,0)),0)</f>
        <v>0</v>
      </c>
    </row>
    <row r="584" spans="2:12">
      <c r="B584" s="3" t="s">
        <v>1865</v>
      </c>
      <c r="C584">
        <f>IFERROR(INDEX('C2B004CPU2'!N:N,MATCH('По платам'!B584,'C2B004CPU2'!L:L,0)),0)</f>
        <v>0</v>
      </c>
      <c r="D584">
        <f>IFERROR(INDEX(SBC_DIO_E1N004INF1!N:N,MATCH('По платам'!$B584,SBC_DIO_E1N004INF1!L:L,0)),0)</f>
        <v>0</v>
      </c>
      <c r="E584">
        <f>IFERROR(INDEX(SBC_35_2C3_1_E1E001CPU1E!N:N,MATCH('По платам'!$B584,SBC_35_2C3_1_E1E001CPU1E!L:L,0)),0)</f>
        <v>1</v>
      </c>
      <c r="F584">
        <f>IFERROR(INDEX(PCIe104_PSU_E1N001PWR1!N:N,MATCH('По платам'!$B584,PCIe104_PSU_E1N001PWR1!L:L,0)),0)</f>
        <v>0</v>
      </c>
      <c r="G584">
        <f>IFERROR(INDEX(PCIe104_INF2_E1N006INF1!N:N,MATCH('По платам'!$B584,PCIe104_INF2_E1N006INF1!L:L,0)),0)</f>
        <v>0</v>
      </c>
      <c r="H584">
        <f>IFERROR(INDEX(PCIe104_CON_E1N005INF1!N:N,MATCH('По платам'!$B584,PCIe104_CON_E1N005INF1!L:L,0)),0)</f>
        <v>0</v>
      </c>
      <c r="I584">
        <f>IFERROR(INDEX('EM-PCIE104-CPU_E1E001CPU1E'!N:N,MATCH('По платам'!$B584,'EM-PCIE104-CPU_E1E001CPU1E'!L:L,0)),0)</f>
        <v>0</v>
      </c>
      <c r="J584">
        <f>IFERROR(INDEX(PCIe104_INF_E1N001INF1!N:N,MATCH('По платам'!$B584,PCIe104_INF_E1N001INF1!L:L,0)),0)</f>
        <v>0</v>
      </c>
      <c r="K584">
        <f>IFERROR(INDEX(IB_2RS232_E1N002INF1!N:N,MATCH('По платам'!$B584,IB_2RS232_E1N002INF1!L:L,0)),0)</f>
        <v>0</v>
      </c>
      <c r="L584">
        <f>IFERROR(INDEX(IB_2CAN_E1N003INF1!N:N,MATCH('По платам'!$B584,IB_2CAN_E1N003INF1!L:L,0)),0)</f>
        <v>0</v>
      </c>
    </row>
    <row r="585" spans="2:12">
      <c r="B585" s="3" t="s">
        <v>475</v>
      </c>
      <c r="C585">
        <f>IFERROR(INDEX('C2B004CPU2'!N:N,MATCH('По платам'!B585,'C2B004CPU2'!L:L,0)),0)</f>
        <v>0</v>
      </c>
      <c r="D585">
        <f>IFERROR(INDEX(SBC_DIO_E1N004INF1!N:N,MATCH('По платам'!$B585,SBC_DIO_E1N004INF1!L:L,0)),0)</f>
        <v>0</v>
      </c>
      <c r="E585">
        <f>IFERROR(INDEX(SBC_35_2C3_1_E1E001CPU1E!N:N,MATCH('По платам'!$B585,SBC_35_2C3_1_E1E001CPU1E!L:L,0)),0)</f>
        <v>0</v>
      </c>
      <c r="F585">
        <f>IFERROR(INDEX(PCIe104_PSU_E1N001PWR1!N:N,MATCH('По платам'!$B585,PCIe104_PSU_E1N001PWR1!L:L,0)),0)</f>
        <v>0</v>
      </c>
      <c r="G585">
        <f>IFERROR(INDEX(PCIe104_INF2_E1N006INF1!N:N,MATCH('По платам'!$B585,PCIe104_INF2_E1N006INF1!L:L,0)),0)</f>
        <v>0</v>
      </c>
      <c r="H585">
        <f>IFERROR(INDEX(PCIe104_CON_E1N005INF1!N:N,MATCH('По платам'!$B585,PCIe104_CON_E1N005INF1!L:L,0)),0)</f>
        <v>0</v>
      </c>
      <c r="I585">
        <f>IFERROR(INDEX('EM-PCIE104-CPU_E1E001CPU1E'!N:N,MATCH('По платам'!$B585,'EM-PCIE104-CPU_E1E001CPU1E'!L:L,0)),0)</f>
        <v>0</v>
      </c>
      <c r="J585">
        <f>IFERROR(INDEX(PCIe104_INF_E1N001INF1!N:N,MATCH('По платам'!$B585,PCIe104_INF_E1N001INF1!L:L,0)),0)</f>
        <v>1</v>
      </c>
      <c r="K585">
        <f>IFERROR(INDEX(IB_2RS232_E1N002INF1!N:N,MATCH('По платам'!$B585,IB_2RS232_E1N002INF1!L:L,0)),0)</f>
        <v>0</v>
      </c>
      <c r="L585">
        <f>IFERROR(INDEX(IB_2CAN_E1N003INF1!N:N,MATCH('По платам'!$B585,IB_2CAN_E1N003INF1!L:L,0)),0)</f>
        <v>0</v>
      </c>
    </row>
    <row r="586" spans="2:12">
      <c r="B586" s="3" t="s">
        <v>1005</v>
      </c>
      <c r="C586">
        <f>IFERROR(INDEX('C2B004CPU2'!N:N,MATCH('По платам'!B586,'C2B004CPU2'!L:L,0)),0)</f>
        <v>0</v>
      </c>
      <c r="D586">
        <f>IFERROR(INDEX(SBC_DIO_E1N004INF1!N:N,MATCH('По платам'!$B586,SBC_DIO_E1N004INF1!L:L,0)),0)</f>
        <v>0</v>
      </c>
      <c r="E586">
        <f>IFERROR(INDEX(SBC_35_2C3_1_E1E001CPU1E!N:N,MATCH('По платам'!$B586,SBC_35_2C3_1_E1E001CPU1E!L:L,0)),0)</f>
        <v>0</v>
      </c>
      <c r="F586">
        <f>IFERROR(INDEX(PCIe104_PSU_E1N001PWR1!N:N,MATCH('По платам'!$B586,PCIe104_PSU_E1N001PWR1!L:L,0)),0)</f>
        <v>0</v>
      </c>
      <c r="G586">
        <f>IFERROR(INDEX(PCIe104_INF2_E1N006INF1!N:N,MATCH('По платам'!$B586,PCIe104_INF2_E1N006INF1!L:L,0)),0)</f>
        <v>0</v>
      </c>
      <c r="H586">
        <f>IFERROR(INDEX(PCIe104_CON_E1N005INF1!N:N,MATCH('По платам'!$B586,PCIe104_CON_E1N005INF1!L:L,0)),0)</f>
        <v>0</v>
      </c>
      <c r="I586">
        <f>IFERROR(INDEX('EM-PCIE104-CPU_E1E001CPU1E'!N:N,MATCH('По платам'!$B586,'EM-PCIE104-CPU_E1E001CPU1E'!L:L,0)),0)</f>
        <v>1</v>
      </c>
      <c r="J586">
        <f>IFERROR(INDEX(PCIe104_INF_E1N001INF1!N:N,MATCH('По платам'!$B586,PCIe104_INF_E1N001INF1!L:L,0)),0)</f>
        <v>0</v>
      </c>
      <c r="K586">
        <f>IFERROR(INDEX(IB_2RS232_E1N002INF1!N:N,MATCH('По платам'!$B586,IB_2RS232_E1N002INF1!L:L,0)),0)</f>
        <v>0</v>
      </c>
      <c r="L586">
        <f>IFERROR(INDEX(IB_2CAN_E1N003INF1!N:N,MATCH('По платам'!$B586,IB_2CAN_E1N003INF1!L:L,0)),0)</f>
        <v>0</v>
      </c>
    </row>
    <row r="587" spans="2:12">
      <c r="B587" s="3" t="s">
        <v>1822</v>
      </c>
      <c r="C587">
        <f>IFERROR(INDEX('C2B004CPU2'!N:N,MATCH('По платам'!B587,'C2B004CPU2'!L:L,0)),0)</f>
        <v>0</v>
      </c>
      <c r="D587">
        <f>IFERROR(INDEX(SBC_DIO_E1N004INF1!N:N,MATCH('По платам'!$B587,SBC_DIO_E1N004INF1!L:L,0)),0)</f>
        <v>0</v>
      </c>
      <c r="E587">
        <f>IFERROR(INDEX(SBC_35_2C3_1_E1E001CPU1E!N:N,MATCH('По платам'!$B587,SBC_35_2C3_1_E1E001CPU1E!L:L,0)),0)</f>
        <v>1</v>
      </c>
      <c r="F587">
        <f>IFERROR(INDEX(PCIe104_PSU_E1N001PWR1!N:N,MATCH('По платам'!$B587,PCIe104_PSU_E1N001PWR1!L:L,0)),0)</f>
        <v>0</v>
      </c>
      <c r="G587">
        <f>IFERROR(INDEX(PCIe104_INF2_E1N006INF1!N:N,MATCH('По платам'!$B587,PCIe104_INF2_E1N006INF1!L:L,0)),0)</f>
        <v>0</v>
      </c>
      <c r="H587">
        <f>IFERROR(INDEX(PCIe104_CON_E1N005INF1!N:N,MATCH('По платам'!$B587,PCIe104_CON_E1N005INF1!L:L,0)),0)</f>
        <v>0</v>
      </c>
      <c r="I587">
        <f>IFERROR(INDEX('EM-PCIE104-CPU_E1E001CPU1E'!N:N,MATCH('По платам'!$B587,'EM-PCIE104-CPU_E1E001CPU1E'!L:L,0)),0)</f>
        <v>0</v>
      </c>
      <c r="J587">
        <f>IFERROR(INDEX(PCIe104_INF_E1N001INF1!N:N,MATCH('По платам'!$B587,PCIe104_INF_E1N001INF1!L:L,0)),0)</f>
        <v>0</v>
      </c>
      <c r="K587">
        <f>IFERROR(INDEX(IB_2RS232_E1N002INF1!N:N,MATCH('По платам'!$B587,IB_2RS232_E1N002INF1!L:L,0)),0)</f>
        <v>0</v>
      </c>
      <c r="L587">
        <f>IFERROR(INDEX(IB_2CAN_E1N003INF1!N:N,MATCH('По платам'!$B587,IB_2CAN_E1N003INF1!L:L,0)),0)</f>
        <v>0</v>
      </c>
    </row>
    <row r="588" spans="2:12">
      <c r="B588" s="3" t="s">
        <v>2382</v>
      </c>
      <c r="C588">
        <f>IFERROR(INDEX('C2B004CPU2'!N:N,MATCH('По платам'!B588,'C2B004CPU2'!L:L,0)),0)</f>
        <v>6</v>
      </c>
      <c r="D588">
        <f>IFERROR(INDEX(SBC_DIO_E1N004INF1!N:N,MATCH('По платам'!$B588,SBC_DIO_E1N004INF1!L:L,0)),0)</f>
        <v>0</v>
      </c>
      <c r="E588">
        <f>IFERROR(INDEX(SBC_35_2C3_1_E1E001CPU1E!N:N,MATCH('По платам'!$B588,SBC_35_2C3_1_E1E001CPU1E!L:L,0)),0)</f>
        <v>0</v>
      </c>
      <c r="F588">
        <f>IFERROR(INDEX(PCIe104_PSU_E1N001PWR1!N:N,MATCH('По платам'!$B588,PCIe104_PSU_E1N001PWR1!L:L,0)),0)</f>
        <v>0</v>
      </c>
      <c r="G588">
        <f>IFERROR(INDEX(PCIe104_INF2_E1N006INF1!N:N,MATCH('По платам'!$B588,PCIe104_INF2_E1N006INF1!L:L,0)),0)</f>
        <v>0</v>
      </c>
      <c r="H588">
        <f>IFERROR(INDEX(PCIe104_CON_E1N005INF1!N:N,MATCH('По платам'!$B588,PCIe104_CON_E1N005INF1!L:L,0)),0)</f>
        <v>0</v>
      </c>
      <c r="I588">
        <f>IFERROR(INDEX('EM-PCIE104-CPU_E1E001CPU1E'!N:N,MATCH('По платам'!$B588,'EM-PCIE104-CPU_E1E001CPU1E'!L:L,0)),0)</f>
        <v>0</v>
      </c>
      <c r="J588">
        <f>IFERROR(INDEX(PCIe104_INF_E1N001INF1!N:N,MATCH('По платам'!$B588,PCIe104_INF_E1N001INF1!L:L,0)),0)</f>
        <v>0</v>
      </c>
      <c r="K588">
        <f>IFERROR(INDEX(IB_2RS232_E1N002INF1!N:N,MATCH('По платам'!$B588,IB_2RS232_E1N002INF1!L:L,0)),0)</f>
        <v>0</v>
      </c>
      <c r="L588">
        <f>IFERROR(INDEX(IB_2CAN_E1N003INF1!N:N,MATCH('По платам'!$B588,IB_2CAN_E1N003INF1!L:L,0)),0)</f>
        <v>0</v>
      </c>
    </row>
    <row r="589" spans="2:12">
      <c r="B589" s="3" t="s">
        <v>1818</v>
      </c>
      <c r="C589">
        <f>IFERROR(INDEX('C2B004CPU2'!N:N,MATCH('По платам'!B589,'C2B004CPU2'!L:L,0)),0)</f>
        <v>0</v>
      </c>
      <c r="D589">
        <f>IFERROR(INDEX(SBC_DIO_E1N004INF1!N:N,MATCH('По платам'!$B589,SBC_DIO_E1N004INF1!L:L,0)),0)</f>
        <v>0</v>
      </c>
      <c r="E589">
        <f>IFERROR(INDEX(SBC_35_2C3_1_E1E001CPU1E!N:N,MATCH('По платам'!$B589,SBC_35_2C3_1_E1E001CPU1E!L:L,0)),0)</f>
        <v>1</v>
      </c>
      <c r="F589">
        <f>IFERROR(INDEX(PCIe104_PSU_E1N001PWR1!N:N,MATCH('По платам'!$B589,PCIe104_PSU_E1N001PWR1!L:L,0)),0)</f>
        <v>0</v>
      </c>
      <c r="G589">
        <f>IFERROR(INDEX(PCIe104_INF2_E1N006INF1!N:N,MATCH('По платам'!$B589,PCIe104_INF2_E1N006INF1!L:L,0)),0)</f>
        <v>0</v>
      </c>
      <c r="H589">
        <f>IFERROR(INDEX(PCIe104_CON_E1N005INF1!N:N,MATCH('По платам'!$B589,PCIe104_CON_E1N005INF1!L:L,0)),0)</f>
        <v>0</v>
      </c>
      <c r="I589">
        <f>IFERROR(INDEX('EM-PCIE104-CPU_E1E001CPU1E'!N:N,MATCH('По платам'!$B589,'EM-PCIE104-CPU_E1E001CPU1E'!L:L,0)),0)</f>
        <v>0</v>
      </c>
      <c r="J589">
        <f>IFERROR(INDEX(PCIe104_INF_E1N001INF1!N:N,MATCH('По платам'!$B589,PCIe104_INF_E1N001INF1!L:L,0)),0)</f>
        <v>0</v>
      </c>
      <c r="K589">
        <f>IFERROR(INDEX(IB_2RS232_E1N002INF1!N:N,MATCH('По платам'!$B589,IB_2RS232_E1N002INF1!L:L,0)),0)</f>
        <v>0</v>
      </c>
      <c r="L589">
        <f>IFERROR(INDEX(IB_2CAN_E1N003INF1!N:N,MATCH('По платам'!$B589,IB_2CAN_E1N003INF1!L:L,0)),0)</f>
        <v>0</v>
      </c>
    </row>
    <row r="590" spans="2:12">
      <c r="B590" s="3" t="s">
        <v>1905</v>
      </c>
      <c r="C590">
        <f>IFERROR(INDEX('C2B004CPU2'!N:N,MATCH('По платам'!B590,'C2B004CPU2'!L:L,0)),0)</f>
        <v>1</v>
      </c>
      <c r="D590">
        <f>IFERROR(INDEX(SBC_DIO_E1N004INF1!N:N,MATCH('По платам'!$B590,SBC_DIO_E1N004INF1!L:L,0)),0)</f>
        <v>0</v>
      </c>
      <c r="E590">
        <f>IFERROR(INDEX(SBC_35_2C3_1_E1E001CPU1E!N:N,MATCH('По платам'!$B590,SBC_35_2C3_1_E1E001CPU1E!L:L,0)),0)</f>
        <v>1</v>
      </c>
      <c r="F590">
        <f>IFERROR(INDEX(PCIe104_PSU_E1N001PWR1!N:N,MATCH('По платам'!$B590,PCIe104_PSU_E1N001PWR1!L:L,0)),0)</f>
        <v>0</v>
      </c>
      <c r="G590">
        <f>IFERROR(INDEX(PCIe104_INF2_E1N006INF1!N:N,MATCH('По платам'!$B590,PCIe104_INF2_E1N006INF1!L:L,0)),0)</f>
        <v>0</v>
      </c>
      <c r="H590">
        <f>IFERROR(INDEX(PCIe104_CON_E1N005INF1!N:N,MATCH('По платам'!$B590,PCIe104_CON_E1N005INF1!L:L,0)),0)</f>
        <v>0</v>
      </c>
      <c r="I590">
        <f>IFERROR(INDEX('EM-PCIE104-CPU_E1E001CPU1E'!N:N,MATCH('По платам'!$B590,'EM-PCIE104-CPU_E1E001CPU1E'!L:L,0)),0)</f>
        <v>0</v>
      </c>
      <c r="J590">
        <f>IFERROR(INDEX(PCIe104_INF_E1N001INF1!N:N,MATCH('По платам'!$B590,PCIe104_INF_E1N001INF1!L:L,0)),0)</f>
        <v>0</v>
      </c>
      <c r="K590">
        <f>IFERROR(INDEX(IB_2RS232_E1N002INF1!N:N,MATCH('По платам'!$B590,IB_2RS232_E1N002INF1!L:L,0)),0)</f>
        <v>0</v>
      </c>
      <c r="L590">
        <f>IFERROR(INDEX(IB_2CAN_E1N003INF1!N:N,MATCH('По платам'!$B590,IB_2CAN_E1N003INF1!L:L,0)),0)</f>
        <v>0</v>
      </c>
    </row>
    <row r="591" spans="2:12">
      <c r="B591" s="3" t="s">
        <v>2433</v>
      </c>
      <c r="C591">
        <f>IFERROR(INDEX('C2B004CPU2'!N:N,MATCH('По платам'!B591,'C2B004CPU2'!L:L,0)),0)</f>
        <v>1</v>
      </c>
      <c r="D591">
        <f>IFERROR(INDEX(SBC_DIO_E1N004INF1!N:N,MATCH('По платам'!$B591,SBC_DIO_E1N004INF1!L:L,0)),0)</f>
        <v>0</v>
      </c>
      <c r="E591">
        <f>IFERROR(INDEX(SBC_35_2C3_1_E1E001CPU1E!N:N,MATCH('По платам'!$B591,SBC_35_2C3_1_E1E001CPU1E!L:L,0)),0)</f>
        <v>0</v>
      </c>
      <c r="F591">
        <f>IFERROR(INDEX(PCIe104_PSU_E1N001PWR1!N:N,MATCH('По платам'!$B591,PCIe104_PSU_E1N001PWR1!L:L,0)),0)</f>
        <v>0</v>
      </c>
      <c r="G591">
        <f>IFERROR(INDEX(PCIe104_INF2_E1N006INF1!N:N,MATCH('По платам'!$B591,PCIe104_INF2_E1N006INF1!L:L,0)),0)</f>
        <v>0</v>
      </c>
      <c r="H591">
        <f>IFERROR(INDEX(PCIe104_CON_E1N005INF1!N:N,MATCH('По платам'!$B591,PCIe104_CON_E1N005INF1!L:L,0)),0)</f>
        <v>0</v>
      </c>
      <c r="I591">
        <f>IFERROR(INDEX('EM-PCIE104-CPU_E1E001CPU1E'!N:N,MATCH('По платам'!$B591,'EM-PCIE104-CPU_E1E001CPU1E'!L:L,0)),0)</f>
        <v>0</v>
      </c>
      <c r="J591">
        <f>IFERROR(INDEX(PCIe104_INF_E1N001INF1!N:N,MATCH('По платам'!$B591,PCIe104_INF_E1N001INF1!L:L,0)),0)</f>
        <v>0</v>
      </c>
      <c r="K591">
        <f>IFERROR(INDEX(IB_2RS232_E1N002INF1!N:N,MATCH('По платам'!$B591,IB_2RS232_E1N002INF1!L:L,0)),0)</f>
        <v>0</v>
      </c>
      <c r="L591">
        <f>IFERROR(INDEX(IB_2CAN_E1N003INF1!N:N,MATCH('По платам'!$B591,IB_2CAN_E1N003INF1!L:L,0)),0)</f>
        <v>0</v>
      </c>
    </row>
    <row r="592" spans="2:12">
      <c r="B592" s="3" t="s">
        <v>2497</v>
      </c>
      <c r="C592">
        <f>IFERROR(INDEX('C2B004CPU2'!N:N,MATCH('По платам'!B592,'C2B004CPU2'!L:L,0)),0)</f>
        <v>1</v>
      </c>
      <c r="D592">
        <f>IFERROR(INDEX(SBC_DIO_E1N004INF1!N:N,MATCH('По платам'!$B592,SBC_DIO_E1N004INF1!L:L,0)),0)</f>
        <v>0</v>
      </c>
      <c r="E592">
        <f>IFERROR(INDEX(SBC_35_2C3_1_E1E001CPU1E!N:N,MATCH('По платам'!$B592,SBC_35_2C3_1_E1E001CPU1E!L:L,0)),0)</f>
        <v>0</v>
      </c>
      <c r="F592">
        <f>IFERROR(INDEX(PCIe104_PSU_E1N001PWR1!N:N,MATCH('По платам'!$B592,PCIe104_PSU_E1N001PWR1!L:L,0)),0)</f>
        <v>0</v>
      </c>
      <c r="G592">
        <f>IFERROR(INDEX(PCIe104_INF2_E1N006INF1!N:N,MATCH('По платам'!$B592,PCIe104_INF2_E1N006INF1!L:L,0)),0)</f>
        <v>0</v>
      </c>
      <c r="H592">
        <f>IFERROR(INDEX(PCIe104_CON_E1N005INF1!N:N,MATCH('По платам'!$B592,PCIe104_CON_E1N005INF1!L:L,0)),0)</f>
        <v>0</v>
      </c>
      <c r="I592">
        <f>IFERROR(INDEX('EM-PCIE104-CPU_E1E001CPU1E'!N:N,MATCH('По платам'!$B592,'EM-PCIE104-CPU_E1E001CPU1E'!L:L,0)),0)</f>
        <v>0</v>
      </c>
      <c r="J592">
        <f>IFERROR(INDEX(PCIe104_INF_E1N001INF1!N:N,MATCH('По платам'!$B592,PCIe104_INF_E1N001INF1!L:L,0)),0)</f>
        <v>0</v>
      </c>
      <c r="K592">
        <f>IFERROR(INDEX(IB_2RS232_E1N002INF1!N:N,MATCH('По платам'!$B592,IB_2RS232_E1N002INF1!L:L,0)),0)</f>
        <v>0</v>
      </c>
      <c r="L592">
        <f>IFERROR(INDEX(IB_2CAN_E1N003INF1!N:N,MATCH('По платам'!$B592,IB_2CAN_E1N003INF1!L:L,0)),0)</f>
        <v>0</v>
      </c>
    </row>
    <row r="593" spans="2:12">
      <c r="B593" s="3" t="s">
        <v>1158</v>
      </c>
      <c r="C593">
        <f>IFERROR(INDEX('C2B004CPU2'!N:N,MATCH('По платам'!B593,'C2B004CPU2'!L:L,0)),0)</f>
        <v>0</v>
      </c>
      <c r="D593">
        <f>IFERROR(INDEX(SBC_DIO_E1N004INF1!N:N,MATCH('По платам'!$B593,SBC_DIO_E1N004INF1!L:L,0)),0)</f>
        <v>3</v>
      </c>
      <c r="E593">
        <f>IFERROR(INDEX(SBC_35_2C3_1_E1E001CPU1E!N:N,MATCH('По платам'!$B593,SBC_35_2C3_1_E1E001CPU1E!L:L,0)),0)</f>
        <v>0</v>
      </c>
      <c r="F593">
        <f>IFERROR(INDEX(PCIe104_PSU_E1N001PWR1!N:N,MATCH('По платам'!$B593,PCIe104_PSU_E1N001PWR1!L:L,0)),0)</f>
        <v>0</v>
      </c>
      <c r="G593">
        <f>IFERROR(INDEX(PCIe104_INF2_E1N006INF1!N:N,MATCH('По платам'!$B593,PCIe104_INF2_E1N006INF1!L:L,0)),0)</f>
        <v>0</v>
      </c>
      <c r="H593">
        <f>IFERROR(INDEX(PCIe104_CON_E1N005INF1!N:N,MATCH('По платам'!$B593,PCIe104_CON_E1N005INF1!L:L,0)),0)</f>
        <v>4</v>
      </c>
      <c r="I593">
        <f>IFERROR(INDEX('EM-PCIE104-CPU_E1E001CPU1E'!N:N,MATCH('По платам'!$B593,'EM-PCIE104-CPU_E1E001CPU1E'!L:L,0)),0)</f>
        <v>0</v>
      </c>
      <c r="J593">
        <f>IFERROR(INDEX(PCIe104_INF_E1N001INF1!N:N,MATCH('По платам'!$B593,PCIe104_INF_E1N001INF1!L:L,0)),0)</f>
        <v>0</v>
      </c>
      <c r="K593">
        <f>IFERROR(INDEX(IB_2RS232_E1N002INF1!N:N,MATCH('По платам'!$B593,IB_2RS232_E1N002INF1!L:L,0)),0)</f>
        <v>0</v>
      </c>
      <c r="L593">
        <f>IFERROR(INDEX(IB_2CAN_E1N003INF1!N:N,MATCH('По платам'!$B593,IB_2CAN_E1N003INF1!L:L,0)),0)</f>
        <v>0</v>
      </c>
    </row>
    <row r="594" spans="2:12">
      <c r="B594" s="3" t="s">
        <v>985</v>
      </c>
      <c r="C594">
        <f>IFERROR(INDEX('C2B004CPU2'!N:N,MATCH('По платам'!B594,'C2B004CPU2'!L:L,0)),0)</f>
        <v>0</v>
      </c>
      <c r="D594">
        <f>IFERROR(INDEX(SBC_DIO_E1N004INF1!N:N,MATCH('По платам'!$B594,SBC_DIO_E1N004INF1!L:L,0)),0)</f>
        <v>0</v>
      </c>
      <c r="E594">
        <f>IFERROR(INDEX(SBC_35_2C3_1_E1E001CPU1E!N:N,MATCH('По платам'!$B594,SBC_35_2C3_1_E1E001CPU1E!L:L,0)),0)</f>
        <v>0</v>
      </c>
      <c r="F594">
        <f>IFERROR(INDEX(PCIe104_PSU_E1N001PWR1!N:N,MATCH('По платам'!$B594,PCIe104_PSU_E1N001PWR1!L:L,0)),0)</f>
        <v>0</v>
      </c>
      <c r="G594">
        <f>IFERROR(INDEX(PCIe104_INF2_E1N006INF1!N:N,MATCH('По платам'!$B594,PCIe104_INF2_E1N006INF1!L:L,0)),0)</f>
        <v>0</v>
      </c>
      <c r="H594">
        <f>IFERROR(INDEX(PCIe104_CON_E1N005INF1!N:N,MATCH('По платам'!$B594,PCIe104_CON_E1N005INF1!L:L,0)),0)</f>
        <v>0</v>
      </c>
      <c r="I594">
        <f>IFERROR(INDEX('EM-PCIE104-CPU_E1E001CPU1E'!N:N,MATCH('По платам'!$B594,'EM-PCIE104-CPU_E1E001CPU1E'!L:L,0)),0)</f>
        <v>1</v>
      </c>
      <c r="J594">
        <f>IFERROR(INDEX(PCIe104_INF_E1N001INF1!N:N,MATCH('По платам'!$B594,PCIe104_INF_E1N001INF1!L:L,0)),0)</f>
        <v>0</v>
      </c>
      <c r="K594">
        <f>IFERROR(INDEX(IB_2RS232_E1N002INF1!N:N,MATCH('По платам'!$B594,IB_2RS232_E1N002INF1!L:L,0)),0)</f>
        <v>0</v>
      </c>
      <c r="L594">
        <f>IFERROR(INDEX(IB_2CAN_E1N003INF1!N:N,MATCH('По платам'!$B594,IB_2CAN_E1N003INF1!L:L,0)),0)</f>
        <v>0</v>
      </c>
    </row>
    <row r="595" spans="2:12">
      <c r="B595" s="3" t="s">
        <v>435</v>
      </c>
      <c r="C595">
        <f>IFERROR(INDEX('C2B004CPU2'!N:N,MATCH('По платам'!B595,'C2B004CPU2'!L:L,0)),0)</f>
        <v>0</v>
      </c>
      <c r="D595">
        <f>IFERROR(INDEX(SBC_DIO_E1N004INF1!N:N,MATCH('По платам'!$B595,SBC_DIO_E1N004INF1!L:L,0)),0)</f>
        <v>0</v>
      </c>
      <c r="E595">
        <f>IFERROR(INDEX(SBC_35_2C3_1_E1E001CPU1E!N:N,MATCH('По платам'!$B595,SBC_35_2C3_1_E1E001CPU1E!L:L,0)),0)</f>
        <v>0</v>
      </c>
      <c r="F595">
        <f>IFERROR(INDEX(PCIe104_PSU_E1N001PWR1!N:N,MATCH('По платам'!$B595,PCIe104_PSU_E1N001PWR1!L:L,0)),0)</f>
        <v>0</v>
      </c>
      <c r="G595">
        <f>IFERROR(INDEX(PCIe104_INF2_E1N006INF1!N:N,MATCH('По платам'!$B595,PCIe104_INF2_E1N006INF1!L:L,0)),0)</f>
        <v>0</v>
      </c>
      <c r="H595">
        <f>IFERROR(INDEX(PCIe104_CON_E1N005INF1!N:N,MATCH('По платам'!$B595,PCIe104_CON_E1N005INF1!L:L,0)),0)</f>
        <v>0</v>
      </c>
      <c r="I595">
        <f>IFERROR(INDEX('EM-PCIE104-CPU_E1E001CPU1E'!N:N,MATCH('По платам'!$B595,'EM-PCIE104-CPU_E1E001CPU1E'!L:L,0)),0)</f>
        <v>0</v>
      </c>
      <c r="J595">
        <f>IFERROR(INDEX(PCIe104_INF_E1N001INF1!N:N,MATCH('По платам'!$B595,PCIe104_INF_E1N001INF1!L:L,0)),0)</f>
        <v>6</v>
      </c>
      <c r="K595">
        <f>IFERROR(INDEX(IB_2RS232_E1N002INF1!N:N,MATCH('По платам'!$B595,IB_2RS232_E1N002INF1!L:L,0)),0)</f>
        <v>0</v>
      </c>
      <c r="L595">
        <f>IFERROR(INDEX(IB_2CAN_E1N003INF1!N:N,MATCH('По платам'!$B595,IB_2CAN_E1N003INF1!L:L,0)),0)</f>
        <v>0</v>
      </c>
    </row>
    <row r="596" spans="2:12">
      <c r="B596" s="3" t="s">
        <v>1385</v>
      </c>
      <c r="C596">
        <f>IFERROR(INDEX('C2B004CPU2'!N:N,MATCH('По платам'!B596,'C2B004CPU2'!L:L,0)),0)</f>
        <v>0</v>
      </c>
      <c r="D596">
        <f>IFERROR(INDEX(SBC_DIO_E1N004INF1!N:N,MATCH('По платам'!$B596,SBC_DIO_E1N004INF1!L:L,0)),0)</f>
        <v>0</v>
      </c>
      <c r="E596">
        <f>IFERROR(INDEX(SBC_35_2C3_1_E1E001CPU1E!N:N,MATCH('По платам'!$B596,SBC_35_2C3_1_E1E001CPU1E!L:L,0)),0)</f>
        <v>0</v>
      </c>
      <c r="F596">
        <f>IFERROR(INDEX(PCIe104_PSU_E1N001PWR1!N:N,MATCH('По платам'!$B596,PCIe104_PSU_E1N001PWR1!L:L,0)),0)</f>
        <v>3</v>
      </c>
      <c r="G596">
        <f>IFERROR(INDEX(PCIe104_INF2_E1N006INF1!N:N,MATCH('По платам'!$B596,PCIe104_INF2_E1N006INF1!L:L,0)),0)</f>
        <v>0</v>
      </c>
      <c r="H596">
        <f>IFERROR(INDEX(PCIe104_CON_E1N005INF1!N:N,MATCH('По платам'!$B596,PCIe104_CON_E1N005INF1!L:L,0)),0)</f>
        <v>0</v>
      </c>
      <c r="I596">
        <f>IFERROR(INDEX('EM-PCIE104-CPU_E1E001CPU1E'!N:N,MATCH('По платам'!$B596,'EM-PCIE104-CPU_E1E001CPU1E'!L:L,0)),0)</f>
        <v>0</v>
      </c>
      <c r="J596">
        <f>IFERROR(INDEX(PCIe104_INF_E1N001INF1!N:N,MATCH('По платам'!$B596,PCIe104_INF_E1N001INF1!L:L,0)),0)</f>
        <v>0</v>
      </c>
      <c r="K596">
        <f>IFERROR(INDEX(IB_2RS232_E1N002INF1!N:N,MATCH('По платам'!$B596,IB_2RS232_E1N002INF1!L:L,0)),0)</f>
        <v>0</v>
      </c>
      <c r="L596">
        <f>IFERROR(INDEX(IB_2CAN_E1N003INF1!N:N,MATCH('По платам'!$B596,IB_2CAN_E1N003INF1!L:L,0)),0)</f>
        <v>0</v>
      </c>
    </row>
    <row r="597" spans="2:12">
      <c r="B597" s="3" t="s">
        <v>1415</v>
      </c>
      <c r="C597">
        <f>IFERROR(INDEX('C2B004CPU2'!N:N,MATCH('По платам'!B597,'C2B004CPU2'!L:L,0)),0)</f>
        <v>0</v>
      </c>
      <c r="D597">
        <f>IFERROR(INDEX(SBC_DIO_E1N004INF1!N:N,MATCH('По платам'!$B597,SBC_DIO_E1N004INF1!L:L,0)),0)</f>
        <v>0</v>
      </c>
      <c r="E597">
        <f>IFERROR(INDEX(SBC_35_2C3_1_E1E001CPU1E!N:N,MATCH('По платам'!$B597,SBC_35_2C3_1_E1E001CPU1E!L:L,0)),0)</f>
        <v>0</v>
      </c>
      <c r="F597">
        <f>IFERROR(INDEX(PCIe104_PSU_E1N001PWR1!N:N,MATCH('По платам'!$B597,PCIe104_PSU_E1N001PWR1!L:L,0)),0)</f>
        <v>2</v>
      </c>
      <c r="G597">
        <f>IFERROR(INDEX(PCIe104_INF2_E1N006INF1!N:N,MATCH('По платам'!$B597,PCIe104_INF2_E1N006INF1!L:L,0)),0)</f>
        <v>0</v>
      </c>
      <c r="H597">
        <f>IFERROR(INDEX(PCIe104_CON_E1N005INF1!N:N,MATCH('По платам'!$B597,PCIe104_CON_E1N005INF1!L:L,0)),0)</f>
        <v>0</v>
      </c>
      <c r="I597">
        <f>IFERROR(INDEX('EM-PCIE104-CPU_E1E001CPU1E'!N:N,MATCH('По платам'!$B597,'EM-PCIE104-CPU_E1E001CPU1E'!L:L,0)),0)</f>
        <v>0</v>
      </c>
      <c r="J597">
        <f>IFERROR(INDEX(PCIe104_INF_E1N001INF1!N:N,MATCH('По платам'!$B597,PCIe104_INF_E1N001INF1!L:L,0)),0)</f>
        <v>0</v>
      </c>
      <c r="K597">
        <f>IFERROR(INDEX(IB_2RS232_E1N002INF1!N:N,MATCH('По платам'!$B597,IB_2RS232_E1N002INF1!L:L,0)),0)</f>
        <v>0</v>
      </c>
      <c r="L597">
        <f>IFERROR(INDEX(IB_2CAN_E1N003INF1!N:N,MATCH('По платам'!$B597,IB_2CAN_E1N003INF1!L:L,0)),0)</f>
        <v>0</v>
      </c>
    </row>
    <row r="598" spans="2:12">
      <c r="B598" s="3" t="s">
        <v>2475</v>
      </c>
      <c r="C598">
        <f>IFERROR(INDEX('C2B004CPU2'!N:N,MATCH('По платам'!B598,'C2B004CPU2'!L:L,0)),0)</f>
        <v>1</v>
      </c>
      <c r="D598">
        <f>IFERROR(INDEX(SBC_DIO_E1N004INF1!N:N,MATCH('По платам'!$B598,SBC_DIO_E1N004INF1!L:L,0)),0)</f>
        <v>0</v>
      </c>
      <c r="E598">
        <f>IFERROR(INDEX(SBC_35_2C3_1_E1E001CPU1E!N:N,MATCH('По платам'!$B598,SBC_35_2C3_1_E1E001CPU1E!L:L,0)),0)</f>
        <v>0</v>
      </c>
      <c r="F598">
        <f>IFERROR(INDEX(PCIe104_PSU_E1N001PWR1!N:N,MATCH('По платам'!$B598,PCIe104_PSU_E1N001PWR1!L:L,0)),0)</f>
        <v>0</v>
      </c>
      <c r="G598">
        <f>IFERROR(INDEX(PCIe104_INF2_E1N006INF1!N:N,MATCH('По платам'!$B598,PCIe104_INF2_E1N006INF1!L:L,0)),0)</f>
        <v>0</v>
      </c>
      <c r="H598">
        <f>IFERROR(INDEX(PCIe104_CON_E1N005INF1!N:N,MATCH('По платам'!$B598,PCIe104_CON_E1N005INF1!L:L,0)),0)</f>
        <v>0</v>
      </c>
      <c r="I598">
        <f>IFERROR(INDEX('EM-PCIE104-CPU_E1E001CPU1E'!N:N,MATCH('По платам'!$B598,'EM-PCIE104-CPU_E1E001CPU1E'!L:L,0)),0)</f>
        <v>0</v>
      </c>
      <c r="J598">
        <f>IFERROR(INDEX(PCIe104_INF_E1N001INF1!N:N,MATCH('По платам'!$B598,PCIe104_INF_E1N001INF1!L:L,0)),0)</f>
        <v>0</v>
      </c>
      <c r="K598">
        <f>IFERROR(INDEX(IB_2RS232_E1N002INF1!N:N,MATCH('По платам'!$B598,IB_2RS232_E1N002INF1!L:L,0)),0)</f>
        <v>0</v>
      </c>
      <c r="L598">
        <f>IFERROR(INDEX(IB_2CAN_E1N003INF1!N:N,MATCH('По платам'!$B598,IB_2CAN_E1N003INF1!L:L,0)),0)</f>
        <v>0</v>
      </c>
    </row>
    <row r="599" spans="2:12">
      <c r="B599" s="3" t="s">
        <v>2532</v>
      </c>
      <c r="C599">
        <f>IFERROR(INDEX('C2B004CPU2'!N:N,MATCH('По платам'!B599,'C2B004CPU2'!L:L,0)),0)</f>
        <v>3</v>
      </c>
      <c r="D599">
        <f>IFERROR(INDEX(SBC_DIO_E1N004INF1!N:N,MATCH('По платам'!$B599,SBC_DIO_E1N004INF1!L:L,0)),0)</f>
        <v>0</v>
      </c>
      <c r="E599">
        <f>IFERROR(INDEX(SBC_35_2C3_1_E1E001CPU1E!N:N,MATCH('По платам'!$B599,SBC_35_2C3_1_E1E001CPU1E!L:L,0)),0)</f>
        <v>0</v>
      </c>
      <c r="F599">
        <f>IFERROR(INDEX(PCIe104_PSU_E1N001PWR1!N:N,MATCH('По платам'!$B599,PCIe104_PSU_E1N001PWR1!L:L,0)),0)</f>
        <v>0</v>
      </c>
      <c r="G599">
        <f>IFERROR(INDEX(PCIe104_INF2_E1N006INF1!N:N,MATCH('По платам'!$B599,PCIe104_INF2_E1N006INF1!L:L,0)),0)</f>
        <v>0</v>
      </c>
      <c r="H599">
        <f>IFERROR(INDEX(PCIe104_CON_E1N005INF1!N:N,MATCH('По платам'!$B599,PCIe104_CON_E1N005INF1!L:L,0)),0)</f>
        <v>0</v>
      </c>
      <c r="I599">
        <f>IFERROR(INDEX('EM-PCIE104-CPU_E1E001CPU1E'!N:N,MATCH('По платам'!$B599,'EM-PCIE104-CPU_E1E001CPU1E'!L:L,0)),0)</f>
        <v>0</v>
      </c>
      <c r="J599">
        <f>IFERROR(INDEX(PCIe104_INF_E1N001INF1!N:N,MATCH('По платам'!$B599,PCIe104_INF_E1N001INF1!L:L,0)),0)</f>
        <v>0</v>
      </c>
      <c r="K599">
        <f>IFERROR(INDEX(IB_2RS232_E1N002INF1!N:N,MATCH('По платам'!$B599,IB_2RS232_E1N002INF1!L:L,0)),0)</f>
        <v>0</v>
      </c>
      <c r="L599">
        <f>IFERROR(INDEX(IB_2CAN_E1N003INF1!N:N,MATCH('По платам'!$B599,IB_2CAN_E1N003INF1!L:L,0)),0)</f>
        <v>0</v>
      </c>
    </row>
    <row r="600" spans="2:12">
      <c r="B600" s="3" t="s">
        <v>467</v>
      </c>
      <c r="C600">
        <f>IFERROR(INDEX('C2B004CPU2'!N:N,MATCH('По платам'!B600,'C2B004CPU2'!L:L,0)),0)</f>
        <v>0</v>
      </c>
      <c r="D600">
        <f>IFERROR(INDEX(SBC_DIO_E1N004INF1!N:N,MATCH('По платам'!$B600,SBC_DIO_E1N004INF1!L:L,0)),0)</f>
        <v>0</v>
      </c>
      <c r="E600">
        <f>IFERROR(INDEX(SBC_35_2C3_1_E1E001CPU1E!N:N,MATCH('По платам'!$B600,SBC_35_2C3_1_E1E001CPU1E!L:L,0)),0)</f>
        <v>0</v>
      </c>
      <c r="F600">
        <f>IFERROR(INDEX(PCIe104_PSU_E1N001PWR1!N:N,MATCH('По платам'!$B600,PCIe104_PSU_E1N001PWR1!L:L,0)),0)</f>
        <v>1</v>
      </c>
      <c r="G600">
        <f>IFERROR(INDEX(PCIe104_INF2_E1N006INF1!N:N,MATCH('По платам'!$B600,PCIe104_INF2_E1N006INF1!L:L,0)),0)</f>
        <v>0</v>
      </c>
      <c r="H600">
        <f>IFERROR(INDEX(PCIe104_CON_E1N005INF1!N:N,MATCH('По платам'!$B600,PCIe104_CON_E1N005INF1!L:L,0)),0)</f>
        <v>0</v>
      </c>
      <c r="I600">
        <f>IFERROR(INDEX('EM-PCIE104-CPU_E1E001CPU1E'!N:N,MATCH('По платам'!$B600,'EM-PCIE104-CPU_E1E001CPU1E'!L:L,0)),0)</f>
        <v>0</v>
      </c>
      <c r="J600">
        <f>IFERROR(INDEX(PCIe104_INF_E1N001INF1!N:N,MATCH('По платам'!$B600,PCIe104_INF_E1N001INF1!L:L,0)),0)</f>
        <v>1</v>
      </c>
      <c r="K600">
        <f>IFERROR(INDEX(IB_2RS232_E1N002INF1!N:N,MATCH('По платам'!$B600,IB_2RS232_E1N002INF1!L:L,0)),0)</f>
        <v>0</v>
      </c>
      <c r="L600">
        <f>IFERROR(INDEX(IB_2CAN_E1N003INF1!N:N,MATCH('По платам'!$B600,IB_2CAN_E1N003INF1!L:L,0)),0)</f>
        <v>0</v>
      </c>
    </row>
    <row r="601" spans="2:12">
      <c r="B601" s="3" t="s">
        <v>2571</v>
      </c>
      <c r="C601">
        <f>IFERROR(INDEX('C2B004CPU2'!N:N,MATCH('По платам'!B601,'C2B004CPU2'!L:L,0)),0)</f>
        <v>2</v>
      </c>
      <c r="D601">
        <f>IFERROR(INDEX(SBC_DIO_E1N004INF1!N:N,MATCH('По платам'!$B601,SBC_DIO_E1N004INF1!L:L,0)),0)</f>
        <v>0</v>
      </c>
      <c r="E601">
        <f>IFERROR(INDEX(SBC_35_2C3_1_E1E001CPU1E!N:N,MATCH('По платам'!$B601,SBC_35_2C3_1_E1E001CPU1E!L:L,0)),0)</f>
        <v>0</v>
      </c>
      <c r="F601">
        <f>IFERROR(INDEX(PCIe104_PSU_E1N001PWR1!N:N,MATCH('По платам'!$B601,PCIe104_PSU_E1N001PWR1!L:L,0)),0)</f>
        <v>0</v>
      </c>
      <c r="G601">
        <f>IFERROR(INDEX(PCIe104_INF2_E1N006INF1!N:N,MATCH('По платам'!$B601,PCIe104_INF2_E1N006INF1!L:L,0)),0)</f>
        <v>0</v>
      </c>
      <c r="H601">
        <f>IFERROR(INDEX(PCIe104_CON_E1N005INF1!N:N,MATCH('По платам'!$B601,PCIe104_CON_E1N005INF1!L:L,0)),0)</f>
        <v>0</v>
      </c>
      <c r="I601">
        <f>IFERROR(INDEX('EM-PCIE104-CPU_E1E001CPU1E'!N:N,MATCH('По платам'!$B601,'EM-PCIE104-CPU_E1E001CPU1E'!L:L,0)),0)</f>
        <v>0</v>
      </c>
      <c r="J601">
        <f>IFERROR(INDEX(PCIe104_INF_E1N001INF1!N:N,MATCH('По платам'!$B601,PCIe104_INF_E1N001INF1!L:L,0)),0)</f>
        <v>0</v>
      </c>
      <c r="K601">
        <f>IFERROR(INDEX(IB_2RS232_E1N002INF1!N:N,MATCH('По платам'!$B601,IB_2RS232_E1N002INF1!L:L,0)),0)</f>
        <v>0</v>
      </c>
      <c r="L601">
        <f>IFERROR(INDEX(IB_2CAN_E1N003INF1!N:N,MATCH('По платам'!$B601,IB_2CAN_E1N003INF1!L:L,0)),0)</f>
        <v>0</v>
      </c>
    </row>
    <row r="602" spans="2:12">
      <c r="B602" s="3" t="s">
        <v>197</v>
      </c>
      <c r="C602">
        <f>IFERROR(INDEX('C2B004CPU2'!N:N,MATCH('По платам'!B602,'C2B004CPU2'!L:L,0)),0)</f>
        <v>0</v>
      </c>
      <c r="D602">
        <f>IFERROR(INDEX(SBC_DIO_E1N004INF1!N:N,MATCH('По платам'!$B602,SBC_DIO_E1N004INF1!L:L,0)),0)</f>
        <v>0</v>
      </c>
      <c r="E602">
        <f>IFERROR(INDEX(SBC_35_2C3_1_E1E001CPU1E!N:N,MATCH('По платам'!$B602,SBC_35_2C3_1_E1E001CPU1E!L:L,0)),0)</f>
        <v>0</v>
      </c>
      <c r="F602">
        <f>IFERROR(INDEX(PCIe104_PSU_E1N001PWR1!N:N,MATCH('По платам'!$B602,PCIe104_PSU_E1N001PWR1!L:L,0)),0)</f>
        <v>0</v>
      </c>
      <c r="G602">
        <f>IFERROR(INDEX(PCIe104_INF2_E1N006INF1!N:N,MATCH('По платам'!$B602,PCIe104_INF2_E1N006INF1!L:L,0)),0)</f>
        <v>0</v>
      </c>
      <c r="H602">
        <f>IFERROR(INDEX(PCIe104_CON_E1N005INF1!N:N,MATCH('По платам'!$B602,PCIe104_CON_E1N005INF1!L:L,0)),0)</f>
        <v>0</v>
      </c>
      <c r="I602">
        <f>IFERROR(INDEX('EM-PCIE104-CPU_E1E001CPU1E'!N:N,MATCH('По платам'!$B602,'EM-PCIE104-CPU_E1E001CPU1E'!L:L,0)),0)</f>
        <v>0</v>
      </c>
      <c r="J602">
        <f>IFERROR(INDEX(PCIe104_INF_E1N001INF1!N:N,MATCH('По платам'!$B602,PCIe104_INF_E1N001INF1!L:L,0)),0)</f>
        <v>0</v>
      </c>
      <c r="K602">
        <f>IFERROR(INDEX(IB_2RS232_E1N002INF1!N:N,MATCH('По платам'!$B602,IB_2RS232_E1N002INF1!L:L,0)),0)</f>
        <v>2</v>
      </c>
      <c r="L602">
        <f>IFERROR(INDEX(IB_2CAN_E1N003INF1!N:N,MATCH('По платам'!$B602,IB_2CAN_E1N003INF1!L:L,0)),0)</f>
        <v>0</v>
      </c>
    </row>
    <row r="603" spans="2:12">
      <c r="B603" s="3" t="s">
        <v>2451</v>
      </c>
      <c r="C603">
        <f>IFERROR(INDEX('C2B004CPU2'!N:N,MATCH('По платам'!B603,'C2B004CPU2'!L:L,0)),0)</f>
        <v>3</v>
      </c>
      <c r="D603">
        <f>IFERROR(INDEX(SBC_DIO_E1N004INF1!N:N,MATCH('По платам'!$B603,SBC_DIO_E1N004INF1!L:L,0)),0)</f>
        <v>0</v>
      </c>
      <c r="E603">
        <f>IFERROR(INDEX(SBC_35_2C3_1_E1E001CPU1E!N:N,MATCH('По платам'!$B603,SBC_35_2C3_1_E1E001CPU1E!L:L,0)),0)</f>
        <v>0</v>
      </c>
      <c r="F603">
        <f>IFERROR(INDEX(PCIe104_PSU_E1N001PWR1!N:N,MATCH('По платам'!$B603,PCIe104_PSU_E1N001PWR1!L:L,0)),0)</f>
        <v>0</v>
      </c>
      <c r="G603">
        <f>IFERROR(INDEX(PCIe104_INF2_E1N006INF1!N:N,MATCH('По платам'!$B603,PCIe104_INF2_E1N006INF1!L:L,0)),0)</f>
        <v>0</v>
      </c>
      <c r="H603">
        <f>IFERROR(INDEX(PCIe104_CON_E1N005INF1!N:N,MATCH('По платам'!$B603,PCIe104_CON_E1N005INF1!L:L,0)),0)</f>
        <v>0</v>
      </c>
      <c r="I603">
        <f>IFERROR(INDEX('EM-PCIE104-CPU_E1E001CPU1E'!N:N,MATCH('По платам'!$B603,'EM-PCIE104-CPU_E1E001CPU1E'!L:L,0)),0)</f>
        <v>0</v>
      </c>
      <c r="J603">
        <f>IFERROR(INDEX(PCIe104_INF_E1N001INF1!N:N,MATCH('По платам'!$B603,PCIe104_INF_E1N001INF1!L:L,0)),0)</f>
        <v>0</v>
      </c>
      <c r="K603">
        <f>IFERROR(INDEX(IB_2RS232_E1N002INF1!N:N,MATCH('По платам'!$B603,IB_2RS232_E1N002INF1!L:L,0)),0)</f>
        <v>0</v>
      </c>
      <c r="L603">
        <f>IFERROR(INDEX(IB_2CAN_E1N003INF1!N:N,MATCH('По платам'!$B603,IB_2CAN_E1N003INF1!L:L,0)),0)</f>
        <v>0</v>
      </c>
    </row>
    <row r="604" spans="2:12">
      <c r="B604" s="3" t="s">
        <v>91</v>
      </c>
      <c r="C604">
        <f>IFERROR(INDEX('C2B004CPU2'!N:N,MATCH('По платам'!B604,'C2B004CPU2'!L:L,0)),0)</f>
        <v>0</v>
      </c>
      <c r="D604">
        <f>IFERROR(INDEX(SBC_DIO_E1N004INF1!N:N,MATCH('По платам'!$B604,SBC_DIO_E1N004INF1!L:L,0)),0)</f>
        <v>0</v>
      </c>
      <c r="E604">
        <f>IFERROR(INDEX(SBC_35_2C3_1_E1E001CPU1E!N:N,MATCH('По платам'!$B604,SBC_35_2C3_1_E1E001CPU1E!L:L,0)),0)</f>
        <v>0</v>
      </c>
      <c r="F604">
        <f>IFERROR(INDEX(PCIe104_PSU_E1N001PWR1!N:N,MATCH('По платам'!$B604,PCIe104_PSU_E1N001PWR1!L:L,0)),0)</f>
        <v>3</v>
      </c>
      <c r="G604">
        <f>IFERROR(INDEX(PCIe104_INF2_E1N006INF1!N:N,MATCH('По платам'!$B604,PCIe104_INF2_E1N006INF1!L:L,0)),0)</f>
        <v>0</v>
      </c>
      <c r="H604">
        <f>IFERROR(INDEX(PCIe104_CON_E1N005INF1!N:N,MATCH('По платам'!$B604,PCIe104_CON_E1N005INF1!L:L,0)),0)</f>
        <v>0</v>
      </c>
      <c r="I604">
        <f>IFERROR(INDEX('EM-PCIE104-CPU_E1E001CPU1E'!N:N,MATCH('По платам'!$B604,'EM-PCIE104-CPU_E1E001CPU1E'!L:L,0)),0)</f>
        <v>0</v>
      </c>
      <c r="J604">
        <f>IFERROR(INDEX(PCIe104_INF_E1N001INF1!N:N,MATCH('По платам'!$B604,PCIe104_INF_E1N001INF1!L:L,0)),0)</f>
        <v>0</v>
      </c>
      <c r="K604">
        <f>IFERROR(INDEX(IB_2RS232_E1N002INF1!N:N,MATCH('По платам'!$B604,IB_2RS232_E1N002INF1!L:L,0)),0)</f>
        <v>0</v>
      </c>
      <c r="L604">
        <f>IFERROR(INDEX(IB_2CAN_E1N003INF1!N:N,MATCH('По платам'!$B604,IB_2CAN_E1N003INF1!L:L,0)),0)</f>
        <v>6</v>
      </c>
    </row>
    <row r="605" spans="2:12">
      <c r="B605" s="3" t="s">
        <v>1146</v>
      </c>
      <c r="C605">
        <f>IFERROR(INDEX('C2B004CPU2'!N:N,MATCH('По платам'!B605,'C2B004CPU2'!L:L,0)),0)</f>
        <v>0</v>
      </c>
      <c r="D605">
        <f>IFERROR(INDEX(SBC_DIO_E1N004INF1!N:N,MATCH('По платам'!$B605,SBC_DIO_E1N004INF1!L:L,0)),0)</f>
        <v>8</v>
      </c>
      <c r="E605">
        <f>IFERROR(INDEX(SBC_35_2C3_1_E1E001CPU1E!N:N,MATCH('По платам'!$B605,SBC_35_2C3_1_E1E001CPU1E!L:L,0)),0)</f>
        <v>0</v>
      </c>
      <c r="F605">
        <f>IFERROR(INDEX(PCIe104_PSU_E1N001PWR1!N:N,MATCH('По платам'!$B605,PCIe104_PSU_E1N001PWR1!L:L,0)),0)</f>
        <v>2</v>
      </c>
      <c r="G605">
        <f>IFERROR(INDEX(PCIe104_INF2_E1N006INF1!N:N,MATCH('По платам'!$B605,PCIe104_INF2_E1N006INF1!L:L,0)),0)</f>
        <v>0</v>
      </c>
      <c r="H605">
        <f>IFERROR(INDEX(PCIe104_CON_E1N005INF1!N:N,MATCH('По платам'!$B605,PCIe104_CON_E1N005INF1!L:L,0)),0)</f>
        <v>4</v>
      </c>
      <c r="I605">
        <f>IFERROR(INDEX('EM-PCIE104-CPU_E1E001CPU1E'!N:N,MATCH('По платам'!$B605,'EM-PCIE104-CPU_E1E001CPU1E'!L:L,0)),0)</f>
        <v>0</v>
      </c>
      <c r="J605">
        <f>IFERROR(INDEX(PCIe104_INF_E1N001INF1!N:N,MATCH('По платам'!$B605,PCIe104_INF_E1N001INF1!L:L,0)),0)</f>
        <v>0</v>
      </c>
      <c r="K605">
        <f>IFERROR(INDEX(IB_2RS232_E1N002INF1!N:N,MATCH('По платам'!$B605,IB_2RS232_E1N002INF1!L:L,0)),0)</f>
        <v>0</v>
      </c>
      <c r="L605">
        <f>IFERROR(INDEX(IB_2CAN_E1N003INF1!N:N,MATCH('По платам'!$B605,IB_2CAN_E1N003INF1!L:L,0)),0)</f>
        <v>0</v>
      </c>
    </row>
    <row r="606" spans="2:12">
      <c r="B606" s="3" t="s">
        <v>1375</v>
      </c>
      <c r="C606">
        <f>IFERROR(INDEX('C2B004CPU2'!N:N,MATCH('По платам'!B606,'C2B004CPU2'!L:L,0)),0)</f>
        <v>0</v>
      </c>
      <c r="D606">
        <f>IFERROR(INDEX(SBC_DIO_E1N004INF1!N:N,MATCH('По платам'!$B606,SBC_DIO_E1N004INF1!L:L,0)),0)</f>
        <v>0</v>
      </c>
      <c r="E606">
        <f>IFERROR(INDEX(SBC_35_2C3_1_E1E001CPU1E!N:N,MATCH('По платам'!$B606,SBC_35_2C3_1_E1E001CPU1E!L:L,0)),0)</f>
        <v>0</v>
      </c>
      <c r="F606">
        <f>IFERROR(INDEX(PCIe104_PSU_E1N001PWR1!N:N,MATCH('По платам'!$B606,PCIe104_PSU_E1N001PWR1!L:L,0)),0)</f>
        <v>4</v>
      </c>
      <c r="G606">
        <f>IFERROR(INDEX(PCIe104_INF2_E1N006INF1!N:N,MATCH('По платам'!$B606,PCIe104_INF2_E1N006INF1!L:L,0)),0)</f>
        <v>0</v>
      </c>
      <c r="H606">
        <f>IFERROR(INDEX(PCIe104_CON_E1N005INF1!N:N,MATCH('По платам'!$B606,PCIe104_CON_E1N005INF1!L:L,0)),0)</f>
        <v>0</v>
      </c>
      <c r="I606">
        <f>IFERROR(INDEX('EM-PCIE104-CPU_E1E001CPU1E'!N:N,MATCH('По платам'!$B606,'EM-PCIE104-CPU_E1E001CPU1E'!L:L,0)),0)</f>
        <v>0</v>
      </c>
      <c r="J606">
        <f>IFERROR(INDEX(PCIe104_INF_E1N001INF1!N:N,MATCH('По платам'!$B606,PCIe104_INF_E1N001INF1!L:L,0)),0)</f>
        <v>0</v>
      </c>
      <c r="K606">
        <f>IFERROR(INDEX(IB_2RS232_E1N002INF1!N:N,MATCH('По платам'!$B606,IB_2RS232_E1N002INF1!L:L,0)),0)</f>
        <v>0</v>
      </c>
      <c r="L606">
        <f>IFERROR(INDEX(IB_2CAN_E1N003INF1!N:N,MATCH('По платам'!$B606,IB_2CAN_E1N003INF1!L:L,0)),0)</f>
        <v>0</v>
      </c>
    </row>
    <row r="607" spans="2:12">
      <c r="B607" s="3" t="s">
        <v>920</v>
      </c>
      <c r="C607">
        <f>IFERROR(INDEX('C2B004CPU2'!N:N,MATCH('По платам'!B607,'C2B004CPU2'!L:L,0)),0)</f>
        <v>0</v>
      </c>
      <c r="D607">
        <f>IFERROR(INDEX(SBC_DIO_E1N004INF1!N:N,MATCH('По платам'!$B607,SBC_DIO_E1N004INF1!L:L,0)),0)</f>
        <v>0</v>
      </c>
      <c r="E607">
        <f>IFERROR(INDEX(SBC_35_2C3_1_E1E001CPU1E!N:N,MATCH('По платам'!$B607,SBC_35_2C3_1_E1E001CPU1E!L:L,0)),0)</f>
        <v>0</v>
      </c>
      <c r="F607">
        <f>IFERROR(INDEX(PCIe104_PSU_E1N001PWR1!N:N,MATCH('По платам'!$B607,PCIe104_PSU_E1N001PWR1!L:L,0)),0)</f>
        <v>0</v>
      </c>
      <c r="G607">
        <f>IFERROR(INDEX(PCIe104_INF2_E1N006INF1!N:N,MATCH('По платам'!$B607,PCIe104_INF2_E1N006INF1!L:L,0)),0)</f>
        <v>0</v>
      </c>
      <c r="H607">
        <f>IFERROR(INDEX(PCIe104_CON_E1N005INF1!N:N,MATCH('По платам'!$B607,PCIe104_CON_E1N005INF1!L:L,0)),0)</f>
        <v>0</v>
      </c>
      <c r="I607">
        <f>IFERROR(INDEX('EM-PCIE104-CPU_E1E001CPU1E'!N:N,MATCH('По платам'!$B607,'EM-PCIE104-CPU_E1E001CPU1E'!L:L,0)),0)</f>
        <v>1</v>
      </c>
      <c r="J607">
        <f>IFERROR(INDEX(PCIe104_INF_E1N001INF1!N:N,MATCH('По платам'!$B607,PCIe104_INF_E1N001INF1!L:L,0)),0)</f>
        <v>0</v>
      </c>
      <c r="K607">
        <f>IFERROR(INDEX(IB_2RS232_E1N002INF1!N:N,MATCH('По платам'!$B607,IB_2RS232_E1N002INF1!L:L,0)),0)</f>
        <v>0</v>
      </c>
      <c r="L607">
        <f>IFERROR(INDEX(IB_2CAN_E1N003INF1!N:N,MATCH('По платам'!$B607,IB_2CAN_E1N003INF1!L:L,0)),0)</f>
        <v>0</v>
      </c>
    </row>
    <row r="608" spans="2:12">
      <c r="B608" s="3" t="s">
        <v>2528</v>
      </c>
      <c r="C608">
        <f>IFERROR(INDEX('C2B004CPU2'!N:N,MATCH('По платам'!B608,'C2B004CPU2'!L:L,0)),0)</f>
        <v>5</v>
      </c>
      <c r="D608">
        <f>IFERROR(INDEX(SBC_DIO_E1N004INF1!N:N,MATCH('По платам'!$B608,SBC_DIO_E1N004INF1!L:L,0)),0)</f>
        <v>0</v>
      </c>
      <c r="E608">
        <f>IFERROR(INDEX(SBC_35_2C3_1_E1E001CPU1E!N:N,MATCH('По платам'!$B608,SBC_35_2C3_1_E1E001CPU1E!L:L,0)),0)</f>
        <v>0</v>
      </c>
      <c r="F608">
        <f>IFERROR(INDEX(PCIe104_PSU_E1N001PWR1!N:N,MATCH('По платам'!$B608,PCIe104_PSU_E1N001PWR1!L:L,0)),0)</f>
        <v>0</v>
      </c>
      <c r="G608">
        <f>IFERROR(INDEX(PCIe104_INF2_E1N006INF1!N:N,MATCH('По платам'!$B608,PCIe104_INF2_E1N006INF1!L:L,0)),0)</f>
        <v>0</v>
      </c>
      <c r="H608">
        <f>IFERROR(INDEX(PCIe104_CON_E1N005INF1!N:N,MATCH('По платам'!$B608,PCIe104_CON_E1N005INF1!L:L,0)),0)</f>
        <v>0</v>
      </c>
      <c r="I608">
        <f>IFERROR(INDEX('EM-PCIE104-CPU_E1E001CPU1E'!N:N,MATCH('По платам'!$B608,'EM-PCIE104-CPU_E1E001CPU1E'!L:L,0)),0)</f>
        <v>0</v>
      </c>
      <c r="J608">
        <f>IFERROR(INDEX(PCIe104_INF_E1N001INF1!N:N,MATCH('По платам'!$B608,PCIe104_INF_E1N001INF1!L:L,0)),0)</f>
        <v>0</v>
      </c>
      <c r="K608">
        <f>IFERROR(INDEX(IB_2RS232_E1N002INF1!N:N,MATCH('По платам'!$B608,IB_2RS232_E1N002INF1!L:L,0)),0)</f>
        <v>0</v>
      </c>
      <c r="L608">
        <f>IFERROR(INDEX(IB_2CAN_E1N003INF1!N:N,MATCH('По платам'!$B608,IB_2CAN_E1N003INF1!L:L,0)),0)</f>
        <v>0</v>
      </c>
    </row>
    <row r="609" spans="2:12">
      <c r="B609" s="3" t="s">
        <v>1424</v>
      </c>
      <c r="C609">
        <f>IFERROR(INDEX('C2B004CPU2'!N:N,MATCH('По платам'!B609,'C2B004CPU2'!L:L,0)),0)</f>
        <v>0</v>
      </c>
      <c r="D609">
        <f>IFERROR(INDEX(SBC_DIO_E1N004INF1!N:N,MATCH('По платам'!$B609,SBC_DIO_E1N004INF1!L:L,0)),0)</f>
        <v>0</v>
      </c>
      <c r="E609">
        <f>IFERROR(INDEX(SBC_35_2C3_1_E1E001CPU1E!N:N,MATCH('По платам'!$B609,SBC_35_2C3_1_E1E001CPU1E!L:L,0)),0)</f>
        <v>0</v>
      </c>
      <c r="F609">
        <f>IFERROR(INDEX(PCIe104_PSU_E1N001PWR1!N:N,MATCH('По платам'!$B609,PCIe104_PSU_E1N001PWR1!L:L,0)),0)</f>
        <v>1</v>
      </c>
      <c r="G609">
        <f>IFERROR(INDEX(PCIe104_INF2_E1N006INF1!N:N,MATCH('По платам'!$B609,PCIe104_INF2_E1N006INF1!L:L,0)),0)</f>
        <v>0</v>
      </c>
      <c r="H609">
        <f>IFERROR(INDEX(PCIe104_CON_E1N005INF1!N:N,MATCH('По платам'!$B609,PCIe104_CON_E1N005INF1!L:L,0)),0)</f>
        <v>0</v>
      </c>
      <c r="I609">
        <f>IFERROR(INDEX('EM-PCIE104-CPU_E1E001CPU1E'!N:N,MATCH('По платам'!$B609,'EM-PCIE104-CPU_E1E001CPU1E'!L:L,0)),0)</f>
        <v>0</v>
      </c>
      <c r="J609">
        <f>IFERROR(INDEX(PCIe104_INF_E1N001INF1!N:N,MATCH('По платам'!$B609,PCIe104_INF_E1N001INF1!L:L,0)),0)</f>
        <v>0</v>
      </c>
      <c r="K609">
        <f>IFERROR(INDEX(IB_2RS232_E1N002INF1!N:N,MATCH('По платам'!$B609,IB_2RS232_E1N002INF1!L:L,0)),0)</f>
        <v>0</v>
      </c>
      <c r="L609">
        <f>IFERROR(INDEX(IB_2CAN_E1N003INF1!N:N,MATCH('По платам'!$B609,IB_2CAN_E1N003INF1!L:L,0)),0)</f>
        <v>0</v>
      </c>
    </row>
    <row r="610" spans="2:12">
      <c r="B610" s="3" t="s">
        <v>1811</v>
      </c>
      <c r="C610">
        <f>IFERROR(INDEX('C2B004CPU2'!N:N,MATCH('По платам'!B610,'C2B004CPU2'!L:L,0)),0)</f>
        <v>0</v>
      </c>
      <c r="D610">
        <f>IFERROR(INDEX(SBC_DIO_E1N004INF1!N:N,MATCH('По платам'!$B610,SBC_DIO_E1N004INF1!L:L,0)),0)</f>
        <v>0</v>
      </c>
      <c r="E610">
        <f>IFERROR(INDEX(SBC_35_2C3_1_E1E001CPU1E!N:N,MATCH('По платам'!$B610,SBC_35_2C3_1_E1E001CPU1E!L:L,0)),0)</f>
        <v>1</v>
      </c>
      <c r="F610">
        <f>IFERROR(INDEX(PCIe104_PSU_E1N001PWR1!N:N,MATCH('По платам'!$B610,PCIe104_PSU_E1N001PWR1!L:L,0)),0)</f>
        <v>0</v>
      </c>
      <c r="G610">
        <f>IFERROR(INDEX(PCIe104_INF2_E1N006INF1!N:N,MATCH('По платам'!$B610,PCIe104_INF2_E1N006INF1!L:L,0)),0)</f>
        <v>0</v>
      </c>
      <c r="H610">
        <f>IFERROR(INDEX(PCIe104_CON_E1N005INF1!N:N,MATCH('По платам'!$B610,PCIe104_CON_E1N005INF1!L:L,0)),0)</f>
        <v>0</v>
      </c>
      <c r="I610">
        <f>IFERROR(INDEX('EM-PCIE104-CPU_E1E001CPU1E'!N:N,MATCH('По платам'!$B610,'EM-PCIE104-CPU_E1E001CPU1E'!L:L,0)),0)</f>
        <v>0</v>
      </c>
      <c r="J610">
        <f>IFERROR(INDEX(PCIe104_INF_E1N001INF1!N:N,MATCH('По платам'!$B610,PCIe104_INF_E1N001INF1!L:L,0)),0)</f>
        <v>0</v>
      </c>
      <c r="K610">
        <f>IFERROR(INDEX(IB_2RS232_E1N002INF1!N:N,MATCH('По платам'!$B610,IB_2RS232_E1N002INF1!L:L,0)),0)</f>
        <v>0</v>
      </c>
      <c r="L610">
        <f>IFERROR(INDEX(IB_2CAN_E1N003INF1!N:N,MATCH('По платам'!$B610,IB_2CAN_E1N003INF1!L:L,0)),0)</f>
        <v>0</v>
      </c>
    </row>
    <row r="611" spans="2:12">
      <c r="B611" s="3" t="s">
        <v>101</v>
      </c>
      <c r="C611">
        <f>IFERROR(INDEX('C2B004CPU2'!N:N,MATCH('По платам'!B611,'C2B004CPU2'!L:L,0)),0)</f>
        <v>0</v>
      </c>
      <c r="D611">
        <f>IFERROR(INDEX(SBC_DIO_E1N004INF1!N:N,MATCH('По платам'!$B611,SBC_DIO_E1N004INF1!L:L,0)),0)</f>
        <v>0</v>
      </c>
      <c r="E611">
        <f>IFERROR(INDEX(SBC_35_2C3_1_E1E001CPU1E!N:N,MATCH('По платам'!$B611,SBC_35_2C3_1_E1E001CPU1E!L:L,0)),0)</f>
        <v>0</v>
      </c>
      <c r="F611">
        <f>IFERROR(INDEX(PCIe104_PSU_E1N001PWR1!N:N,MATCH('По платам'!$B611,PCIe104_PSU_E1N001PWR1!L:L,0)),0)</f>
        <v>0</v>
      </c>
      <c r="G611">
        <f>IFERROR(INDEX(PCIe104_INF2_E1N006INF1!N:N,MATCH('По платам'!$B611,PCIe104_INF2_E1N006INF1!L:L,0)),0)</f>
        <v>0</v>
      </c>
      <c r="H611">
        <f>IFERROR(INDEX(PCIe104_CON_E1N005INF1!N:N,MATCH('По платам'!$B611,PCIe104_CON_E1N005INF1!L:L,0)),0)</f>
        <v>0</v>
      </c>
      <c r="I611">
        <f>IFERROR(INDEX('EM-PCIE104-CPU_E1E001CPU1E'!N:N,MATCH('По платам'!$B611,'EM-PCIE104-CPU_E1E001CPU1E'!L:L,0)),0)</f>
        <v>0</v>
      </c>
      <c r="J611">
        <f>IFERROR(INDEX(PCIe104_INF_E1N001INF1!N:N,MATCH('По платам'!$B611,PCIe104_INF_E1N001INF1!L:L,0)),0)</f>
        <v>2</v>
      </c>
      <c r="K611">
        <f>IFERROR(INDEX(IB_2RS232_E1N002INF1!N:N,MATCH('По платам'!$B611,IB_2RS232_E1N002INF1!L:L,0)),0)</f>
        <v>0</v>
      </c>
      <c r="L611">
        <f>IFERROR(INDEX(IB_2CAN_E1N003INF1!N:N,MATCH('По платам'!$B611,IB_2CAN_E1N003INF1!L:L,0)),0)</f>
        <v>4</v>
      </c>
    </row>
    <row r="612" spans="2:12">
      <c r="B612" s="3" t="s">
        <v>2471</v>
      </c>
      <c r="C612">
        <f>IFERROR(INDEX('C2B004CPU2'!N:N,MATCH('По платам'!B612,'C2B004CPU2'!L:L,0)),0)</f>
        <v>1</v>
      </c>
      <c r="D612">
        <f>IFERROR(INDEX(SBC_DIO_E1N004INF1!N:N,MATCH('По платам'!$B612,SBC_DIO_E1N004INF1!L:L,0)),0)</f>
        <v>0</v>
      </c>
      <c r="E612">
        <f>IFERROR(INDEX(SBC_35_2C3_1_E1E001CPU1E!N:N,MATCH('По платам'!$B612,SBC_35_2C3_1_E1E001CPU1E!L:L,0)),0)</f>
        <v>0</v>
      </c>
      <c r="F612">
        <f>IFERROR(INDEX(PCIe104_PSU_E1N001PWR1!N:N,MATCH('По платам'!$B612,PCIe104_PSU_E1N001PWR1!L:L,0)),0)</f>
        <v>0</v>
      </c>
      <c r="G612">
        <f>IFERROR(INDEX(PCIe104_INF2_E1N006INF1!N:N,MATCH('По платам'!$B612,PCIe104_INF2_E1N006INF1!L:L,0)),0)</f>
        <v>0</v>
      </c>
      <c r="H612">
        <f>IFERROR(INDEX(PCIe104_CON_E1N005INF1!N:N,MATCH('По платам'!$B612,PCIe104_CON_E1N005INF1!L:L,0)),0)</f>
        <v>0</v>
      </c>
      <c r="I612">
        <f>IFERROR(INDEX('EM-PCIE104-CPU_E1E001CPU1E'!N:N,MATCH('По платам'!$B612,'EM-PCIE104-CPU_E1E001CPU1E'!L:L,0)),0)</f>
        <v>0</v>
      </c>
      <c r="J612">
        <f>IFERROR(INDEX(PCIe104_INF_E1N001INF1!N:N,MATCH('По платам'!$B612,PCIe104_INF_E1N001INF1!L:L,0)),0)</f>
        <v>0</v>
      </c>
      <c r="K612">
        <f>IFERROR(INDEX(IB_2RS232_E1N002INF1!N:N,MATCH('По платам'!$B612,IB_2RS232_E1N002INF1!L:L,0)),0)</f>
        <v>0</v>
      </c>
      <c r="L612">
        <f>IFERROR(INDEX(IB_2CAN_E1N003INF1!N:N,MATCH('По платам'!$B612,IB_2CAN_E1N003INF1!L:L,0)),0)</f>
        <v>0</v>
      </c>
    </row>
    <row r="613" spans="2:12">
      <c r="B613" s="3" t="s">
        <v>924</v>
      </c>
      <c r="C613">
        <f>IFERROR(INDEX('C2B004CPU2'!N:N,MATCH('По платам'!B613,'C2B004CPU2'!L:L,0)),0)</f>
        <v>0</v>
      </c>
      <c r="D613">
        <f>IFERROR(INDEX(SBC_DIO_E1N004INF1!N:N,MATCH('По платам'!$B613,SBC_DIO_E1N004INF1!L:L,0)),0)</f>
        <v>0</v>
      </c>
      <c r="E613">
        <f>IFERROR(INDEX(SBC_35_2C3_1_E1E001CPU1E!N:N,MATCH('По платам'!$B613,SBC_35_2C3_1_E1E001CPU1E!L:L,0)),0)</f>
        <v>0</v>
      </c>
      <c r="F613">
        <f>IFERROR(INDEX(PCIe104_PSU_E1N001PWR1!N:N,MATCH('По платам'!$B613,PCIe104_PSU_E1N001PWR1!L:L,0)),0)</f>
        <v>0</v>
      </c>
      <c r="G613">
        <f>IFERROR(INDEX(PCIe104_INF2_E1N006INF1!N:N,MATCH('По платам'!$B613,PCIe104_INF2_E1N006INF1!L:L,0)),0)</f>
        <v>0</v>
      </c>
      <c r="H613">
        <f>IFERROR(INDEX(PCIe104_CON_E1N005INF1!N:N,MATCH('По платам'!$B613,PCIe104_CON_E1N005INF1!L:L,0)),0)</f>
        <v>0</v>
      </c>
      <c r="I613">
        <f>IFERROR(INDEX('EM-PCIE104-CPU_E1E001CPU1E'!N:N,MATCH('По платам'!$B613,'EM-PCIE104-CPU_E1E001CPU1E'!L:L,0)),0)</f>
        <v>1</v>
      </c>
      <c r="J613">
        <f>IFERROR(INDEX(PCIe104_INF_E1N001INF1!N:N,MATCH('По платам'!$B613,PCIe104_INF_E1N001INF1!L:L,0)),0)</f>
        <v>0</v>
      </c>
      <c r="K613">
        <f>IFERROR(INDEX(IB_2RS232_E1N002INF1!N:N,MATCH('По платам'!$B613,IB_2RS232_E1N002INF1!L:L,0)),0)</f>
        <v>0</v>
      </c>
      <c r="L613">
        <f>IFERROR(INDEX(IB_2CAN_E1N003INF1!N:N,MATCH('По платам'!$B613,IB_2CAN_E1N003INF1!L:L,0)),0)</f>
        <v>0</v>
      </c>
    </row>
    <row r="614" spans="2:12">
      <c r="B614" s="3" t="s">
        <v>2447</v>
      </c>
      <c r="C614">
        <f>IFERROR(INDEX('C2B004CPU2'!N:N,MATCH('По платам'!B614,'C2B004CPU2'!L:L,0)),0)</f>
        <v>4</v>
      </c>
      <c r="D614">
        <f>IFERROR(INDEX(SBC_DIO_E1N004INF1!N:N,MATCH('По платам'!$B614,SBC_DIO_E1N004INF1!L:L,0)),0)</f>
        <v>0</v>
      </c>
      <c r="E614">
        <f>IFERROR(INDEX(SBC_35_2C3_1_E1E001CPU1E!N:N,MATCH('По платам'!$B614,SBC_35_2C3_1_E1E001CPU1E!L:L,0)),0)</f>
        <v>0</v>
      </c>
      <c r="F614">
        <f>IFERROR(INDEX(PCIe104_PSU_E1N001PWR1!N:N,MATCH('По платам'!$B614,PCIe104_PSU_E1N001PWR1!L:L,0)),0)</f>
        <v>0</v>
      </c>
      <c r="G614">
        <f>IFERROR(INDEX(PCIe104_INF2_E1N006INF1!N:N,MATCH('По платам'!$B614,PCIe104_INF2_E1N006INF1!L:L,0)),0)</f>
        <v>0</v>
      </c>
      <c r="H614">
        <f>IFERROR(INDEX(PCIe104_CON_E1N005INF1!N:N,MATCH('По платам'!$B614,PCIe104_CON_E1N005INF1!L:L,0)),0)</f>
        <v>0</v>
      </c>
      <c r="I614">
        <f>IFERROR(INDEX('EM-PCIE104-CPU_E1E001CPU1E'!N:N,MATCH('По платам'!$B614,'EM-PCIE104-CPU_E1E001CPU1E'!L:L,0)),0)</f>
        <v>0</v>
      </c>
      <c r="J614">
        <f>IFERROR(INDEX(PCIe104_INF_E1N001INF1!N:N,MATCH('По платам'!$B614,PCIe104_INF_E1N001INF1!L:L,0)),0)</f>
        <v>0</v>
      </c>
      <c r="K614">
        <f>IFERROR(INDEX(IB_2RS232_E1N002INF1!N:N,MATCH('По платам'!$B614,IB_2RS232_E1N002INF1!L:L,0)),0)</f>
        <v>0</v>
      </c>
      <c r="L614">
        <f>IFERROR(INDEX(IB_2CAN_E1N003INF1!N:N,MATCH('По платам'!$B614,IB_2CAN_E1N003INF1!L:L,0)),0)</f>
        <v>0</v>
      </c>
    </row>
    <row r="615" spans="2:12">
      <c r="B615" s="3" t="s">
        <v>2467</v>
      </c>
      <c r="C615">
        <f>IFERROR(INDEX('C2B004CPU2'!N:N,MATCH('По платам'!B615,'C2B004CPU2'!L:L,0)),0)</f>
        <v>1</v>
      </c>
      <c r="D615">
        <f>IFERROR(INDEX(SBC_DIO_E1N004INF1!N:N,MATCH('По платам'!$B615,SBC_DIO_E1N004INF1!L:L,0)),0)</f>
        <v>0</v>
      </c>
      <c r="E615">
        <f>IFERROR(INDEX(SBC_35_2C3_1_E1E001CPU1E!N:N,MATCH('По платам'!$B615,SBC_35_2C3_1_E1E001CPU1E!L:L,0)),0)</f>
        <v>0</v>
      </c>
      <c r="F615">
        <f>IFERROR(INDEX(PCIe104_PSU_E1N001PWR1!N:N,MATCH('По платам'!$B615,PCIe104_PSU_E1N001PWR1!L:L,0)),0)</f>
        <v>0</v>
      </c>
      <c r="G615">
        <f>IFERROR(INDEX(PCIe104_INF2_E1N006INF1!N:N,MATCH('По платам'!$B615,PCIe104_INF2_E1N006INF1!L:L,0)),0)</f>
        <v>0</v>
      </c>
      <c r="H615">
        <f>IFERROR(INDEX(PCIe104_CON_E1N005INF1!N:N,MATCH('По платам'!$B615,PCIe104_CON_E1N005INF1!L:L,0)),0)</f>
        <v>0</v>
      </c>
      <c r="I615">
        <f>IFERROR(INDEX('EM-PCIE104-CPU_E1E001CPU1E'!N:N,MATCH('По платам'!$B615,'EM-PCIE104-CPU_E1E001CPU1E'!L:L,0)),0)</f>
        <v>0</v>
      </c>
      <c r="J615">
        <f>IFERROR(INDEX(PCIe104_INF_E1N001INF1!N:N,MATCH('По платам'!$B615,PCIe104_INF_E1N001INF1!L:L,0)),0)</f>
        <v>0</v>
      </c>
      <c r="K615">
        <f>IFERROR(INDEX(IB_2RS232_E1N002INF1!N:N,MATCH('По платам'!$B615,IB_2RS232_E1N002INF1!L:L,0)),0)</f>
        <v>0</v>
      </c>
      <c r="L615">
        <f>IFERROR(INDEX(IB_2CAN_E1N003INF1!N:N,MATCH('По платам'!$B615,IB_2CAN_E1N003INF1!L:L,0)),0)</f>
        <v>0</v>
      </c>
    </row>
    <row r="616" spans="2:12">
      <c r="B616" s="3" t="s">
        <v>2520</v>
      </c>
      <c r="C616">
        <f>IFERROR(INDEX('C2B004CPU2'!N:N,MATCH('По платам'!B616,'C2B004CPU2'!L:L,0)),0)</f>
        <v>1</v>
      </c>
      <c r="D616">
        <f>IFERROR(INDEX(SBC_DIO_E1N004INF1!N:N,MATCH('По платам'!$B616,SBC_DIO_E1N004INF1!L:L,0)),0)</f>
        <v>0</v>
      </c>
      <c r="E616">
        <f>IFERROR(INDEX(SBC_35_2C3_1_E1E001CPU1E!N:N,MATCH('По платам'!$B616,SBC_35_2C3_1_E1E001CPU1E!L:L,0)),0)</f>
        <v>0</v>
      </c>
      <c r="F616">
        <f>IFERROR(INDEX(PCIe104_PSU_E1N001PWR1!N:N,MATCH('По платам'!$B616,PCIe104_PSU_E1N001PWR1!L:L,0)),0)</f>
        <v>0</v>
      </c>
      <c r="G616">
        <f>IFERROR(INDEX(PCIe104_INF2_E1N006INF1!N:N,MATCH('По платам'!$B616,PCIe104_INF2_E1N006INF1!L:L,0)),0)</f>
        <v>0</v>
      </c>
      <c r="H616">
        <f>IFERROR(INDEX(PCIe104_CON_E1N005INF1!N:N,MATCH('По платам'!$B616,PCIe104_CON_E1N005INF1!L:L,0)),0)</f>
        <v>0</v>
      </c>
      <c r="I616">
        <f>IFERROR(INDEX('EM-PCIE104-CPU_E1E001CPU1E'!N:N,MATCH('По платам'!$B616,'EM-PCIE104-CPU_E1E001CPU1E'!L:L,0)),0)</f>
        <v>0</v>
      </c>
      <c r="J616">
        <f>IFERROR(INDEX(PCIe104_INF_E1N001INF1!N:N,MATCH('По платам'!$B616,PCIe104_INF_E1N001INF1!L:L,0)),0)</f>
        <v>0</v>
      </c>
      <c r="K616">
        <f>IFERROR(INDEX(IB_2RS232_E1N002INF1!N:N,MATCH('По платам'!$B616,IB_2RS232_E1N002INF1!L:L,0)),0)</f>
        <v>0</v>
      </c>
      <c r="L616">
        <f>IFERROR(INDEX(IB_2CAN_E1N003INF1!N:N,MATCH('По платам'!$B616,IB_2CAN_E1N003INF1!L:L,0)),0)</f>
        <v>0</v>
      </c>
    </row>
    <row r="617" spans="2:12">
      <c r="B617" s="3" t="s">
        <v>1401</v>
      </c>
      <c r="C617">
        <f>IFERROR(INDEX('C2B004CPU2'!N:N,MATCH('По платам'!B617,'C2B004CPU2'!L:L,0)),0)</f>
        <v>0</v>
      </c>
      <c r="D617">
        <f>IFERROR(INDEX(SBC_DIO_E1N004INF1!N:N,MATCH('По платам'!$B617,SBC_DIO_E1N004INF1!L:L,0)),0)</f>
        <v>0</v>
      </c>
      <c r="E617">
        <f>IFERROR(INDEX(SBC_35_2C3_1_E1E001CPU1E!N:N,MATCH('По платам'!$B617,SBC_35_2C3_1_E1E001CPU1E!L:L,0)),0)</f>
        <v>0</v>
      </c>
      <c r="F617">
        <f>IFERROR(INDEX(PCIe104_PSU_E1N001PWR1!N:N,MATCH('По платам'!$B617,PCIe104_PSU_E1N001PWR1!L:L,0)),0)</f>
        <v>1</v>
      </c>
      <c r="G617">
        <f>IFERROR(INDEX(PCIe104_INF2_E1N006INF1!N:N,MATCH('По платам'!$B617,PCIe104_INF2_E1N006INF1!L:L,0)),0)</f>
        <v>0</v>
      </c>
      <c r="H617">
        <f>IFERROR(INDEX(PCIe104_CON_E1N005INF1!N:N,MATCH('По платам'!$B617,PCIe104_CON_E1N005INF1!L:L,0)),0)</f>
        <v>0</v>
      </c>
      <c r="I617">
        <f>IFERROR(INDEX('EM-PCIE104-CPU_E1E001CPU1E'!N:N,MATCH('По платам'!$B617,'EM-PCIE104-CPU_E1E001CPU1E'!L:L,0)),0)</f>
        <v>0</v>
      </c>
      <c r="J617">
        <f>IFERROR(INDEX(PCIe104_INF_E1N001INF1!N:N,MATCH('По платам'!$B617,PCIe104_INF_E1N001INF1!L:L,0)),0)</f>
        <v>0</v>
      </c>
      <c r="K617">
        <f>IFERROR(INDEX(IB_2RS232_E1N002INF1!N:N,MATCH('По платам'!$B617,IB_2RS232_E1N002INF1!L:L,0)),0)</f>
        <v>0</v>
      </c>
      <c r="L617">
        <f>IFERROR(INDEX(IB_2CAN_E1N003INF1!N:N,MATCH('По платам'!$B617,IB_2CAN_E1N003INF1!L:L,0)),0)</f>
        <v>0</v>
      </c>
    </row>
    <row r="618" spans="2:12">
      <c r="B618" s="3" t="s">
        <v>2379</v>
      </c>
      <c r="C618">
        <f>IFERROR(INDEX('C2B004CPU2'!N:N,MATCH('По платам'!B618,'C2B004CPU2'!L:L,0)),0)</f>
        <v>2</v>
      </c>
      <c r="D618">
        <f>IFERROR(INDEX(SBC_DIO_E1N004INF1!N:N,MATCH('По платам'!$B618,SBC_DIO_E1N004INF1!L:L,0)),0)</f>
        <v>0</v>
      </c>
      <c r="E618">
        <f>IFERROR(INDEX(SBC_35_2C3_1_E1E001CPU1E!N:N,MATCH('По платам'!$B618,SBC_35_2C3_1_E1E001CPU1E!L:L,0)),0)</f>
        <v>0</v>
      </c>
      <c r="F618">
        <f>IFERROR(INDEX(PCIe104_PSU_E1N001PWR1!N:N,MATCH('По платам'!$B618,PCIe104_PSU_E1N001PWR1!L:L,0)),0)</f>
        <v>0</v>
      </c>
      <c r="G618">
        <f>IFERROR(INDEX(PCIe104_INF2_E1N006INF1!N:N,MATCH('По платам'!$B618,PCIe104_INF2_E1N006INF1!L:L,0)),0)</f>
        <v>0</v>
      </c>
      <c r="H618">
        <f>IFERROR(INDEX(PCIe104_CON_E1N005INF1!N:N,MATCH('По платам'!$B618,PCIe104_CON_E1N005INF1!L:L,0)),0)</f>
        <v>0</v>
      </c>
      <c r="I618">
        <f>IFERROR(INDEX('EM-PCIE104-CPU_E1E001CPU1E'!N:N,MATCH('По платам'!$B618,'EM-PCIE104-CPU_E1E001CPU1E'!L:L,0)),0)</f>
        <v>0</v>
      </c>
      <c r="J618">
        <f>IFERROR(INDEX(PCIe104_INF_E1N001INF1!N:N,MATCH('По платам'!$B618,PCIe104_INF_E1N001INF1!L:L,0)),0)</f>
        <v>0</v>
      </c>
      <c r="K618">
        <f>IFERROR(INDEX(IB_2RS232_E1N002INF1!N:N,MATCH('По платам'!$B618,IB_2RS232_E1N002INF1!L:L,0)),0)</f>
        <v>0</v>
      </c>
      <c r="L618">
        <f>IFERROR(INDEX(IB_2CAN_E1N003INF1!N:N,MATCH('По платам'!$B618,IB_2CAN_E1N003INF1!L:L,0)),0)</f>
        <v>0</v>
      </c>
    </row>
    <row r="619" spans="2:12">
      <c r="B619" s="3" t="s">
        <v>2437</v>
      </c>
      <c r="C619">
        <f>IFERROR(INDEX('C2B004CPU2'!N:N,MATCH('По платам'!B619,'C2B004CPU2'!L:L,0)),0)</f>
        <v>5</v>
      </c>
      <c r="D619">
        <f>IFERROR(INDEX(SBC_DIO_E1N004INF1!N:N,MATCH('По платам'!$B619,SBC_DIO_E1N004INF1!L:L,0)),0)</f>
        <v>0</v>
      </c>
      <c r="E619">
        <f>IFERROR(INDEX(SBC_35_2C3_1_E1E001CPU1E!N:N,MATCH('По платам'!$B619,SBC_35_2C3_1_E1E001CPU1E!L:L,0)),0)</f>
        <v>0</v>
      </c>
      <c r="F619">
        <f>IFERROR(INDEX(PCIe104_PSU_E1N001PWR1!N:N,MATCH('По платам'!$B619,PCIe104_PSU_E1N001PWR1!L:L,0)),0)</f>
        <v>0</v>
      </c>
      <c r="G619">
        <f>IFERROR(INDEX(PCIe104_INF2_E1N006INF1!N:N,MATCH('По платам'!$B619,PCIe104_INF2_E1N006INF1!L:L,0)),0)</f>
        <v>0</v>
      </c>
      <c r="H619">
        <f>IFERROR(INDEX(PCIe104_CON_E1N005INF1!N:N,MATCH('По платам'!$B619,PCIe104_CON_E1N005INF1!L:L,0)),0)</f>
        <v>0</v>
      </c>
      <c r="I619">
        <f>IFERROR(INDEX('EM-PCIE104-CPU_E1E001CPU1E'!N:N,MATCH('По платам'!$B619,'EM-PCIE104-CPU_E1E001CPU1E'!L:L,0)),0)</f>
        <v>0</v>
      </c>
      <c r="J619">
        <f>IFERROR(INDEX(PCIe104_INF_E1N001INF1!N:N,MATCH('По платам'!$B619,PCIe104_INF_E1N001INF1!L:L,0)),0)</f>
        <v>0</v>
      </c>
      <c r="K619">
        <f>IFERROR(INDEX(IB_2RS232_E1N002INF1!N:N,MATCH('По платам'!$B619,IB_2RS232_E1N002INF1!L:L,0)),0)</f>
        <v>0</v>
      </c>
      <c r="L619">
        <f>IFERROR(INDEX(IB_2CAN_E1N003INF1!N:N,MATCH('По платам'!$B619,IB_2CAN_E1N003INF1!L:L,0)),0)</f>
        <v>0</v>
      </c>
    </row>
    <row r="620" spans="2:12">
      <c r="B620" s="3" t="s">
        <v>213</v>
      </c>
      <c r="C620">
        <f>IFERROR(INDEX('C2B004CPU2'!N:N,MATCH('По платам'!B620,'C2B004CPU2'!L:L,0)),0)</f>
        <v>62</v>
      </c>
      <c r="D620">
        <f>IFERROR(INDEX(SBC_DIO_E1N004INF1!N:N,MATCH('По платам'!$B620,SBC_DIO_E1N004INF1!L:L,0)),0)</f>
        <v>0</v>
      </c>
      <c r="E620">
        <f>IFERROR(INDEX(SBC_35_2C3_1_E1E001CPU1E!N:N,MATCH('По платам'!$B620,SBC_35_2C3_1_E1E001CPU1E!L:L,0)),0)</f>
        <v>0</v>
      </c>
      <c r="F620">
        <f>IFERROR(INDEX(PCIe104_PSU_E1N001PWR1!N:N,MATCH('По платам'!$B620,PCIe104_PSU_E1N001PWR1!L:L,0)),0)</f>
        <v>9</v>
      </c>
      <c r="G620">
        <f>IFERROR(INDEX(PCIe104_INF2_E1N006INF1!N:N,MATCH('По платам'!$B620,PCIe104_INF2_E1N006INF1!L:L,0)),0)</f>
        <v>2</v>
      </c>
      <c r="H620">
        <f>IFERROR(INDEX(PCIe104_CON_E1N005INF1!N:N,MATCH('По платам'!$B620,PCIe104_CON_E1N005INF1!L:L,0)),0)</f>
        <v>4</v>
      </c>
      <c r="I620">
        <f>IFERROR(INDEX('EM-PCIE104-CPU_E1E001CPU1E'!N:N,MATCH('По платам'!$B620,'EM-PCIE104-CPU_E1E001CPU1E'!L:L,0)),0)</f>
        <v>0</v>
      </c>
      <c r="J620">
        <f>IFERROR(INDEX(PCIe104_INF_E1N001INF1!N:N,MATCH('По платам'!$B620,PCIe104_INF_E1N001INF1!L:L,0)),0)</f>
        <v>5</v>
      </c>
      <c r="K620">
        <f>IFERROR(INDEX(IB_2RS232_E1N002INF1!N:N,MATCH('По платам'!$B620,IB_2RS232_E1N002INF1!L:L,0)),0)</f>
        <v>4</v>
      </c>
      <c r="L620">
        <f>IFERROR(INDEX(IB_2CAN_E1N003INF1!N:N,MATCH('По платам'!$B620,IB_2CAN_E1N003INF1!L:L,0)),0)</f>
        <v>0</v>
      </c>
    </row>
    <row r="621" spans="2:12">
      <c r="B621" s="3" t="s">
        <v>98</v>
      </c>
      <c r="C621">
        <f>IFERROR(INDEX('C2B004CPU2'!N:N,MATCH('По платам'!B621,'C2B004CPU2'!L:L,0)),0)</f>
        <v>0</v>
      </c>
      <c r="D621">
        <f>IFERROR(INDEX(SBC_DIO_E1N004INF1!N:N,MATCH('По платам'!$B621,SBC_DIO_E1N004INF1!L:L,0)),0)</f>
        <v>0</v>
      </c>
      <c r="E621">
        <f>IFERROR(INDEX(SBC_35_2C3_1_E1E001CPU1E!N:N,MATCH('По платам'!$B621,SBC_35_2C3_1_E1E001CPU1E!L:L,0)),0)</f>
        <v>0</v>
      </c>
      <c r="F621">
        <f>IFERROR(INDEX(PCIe104_PSU_E1N001PWR1!N:N,MATCH('По платам'!$B621,PCIe104_PSU_E1N001PWR1!L:L,0)),0)</f>
        <v>0</v>
      </c>
      <c r="G621">
        <f>IFERROR(INDEX(PCIe104_INF2_E1N006INF1!N:N,MATCH('По платам'!$B621,PCIe104_INF2_E1N006INF1!L:L,0)),0)</f>
        <v>0</v>
      </c>
      <c r="H621">
        <f>IFERROR(INDEX(PCIe104_CON_E1N005INF1!N:N,MATCH('По платам'!$B621,PCIe104_CON_E1N005INF1!L:L,0)),0)</f>
        <v>0</v>
      </c>
      <c r="I621">
        <f>IFERROR(INDEX('EM-PCIE104-CPU_E1E001CPU1E'!N:N,MATCH('По платам'!$B621,'EM-PCIE104-CPU_E1E001CPU1E'!L:L,0)),0)</f>
        <v>0</v>
      </c>
      <c r="J621">
        <f>IFERROR(INDEX(PCIe104_INF_E1N001INF1!N:N,MATCH('По платам'!$B621,PCIe104_INF_E1N001INF1!L:L,0)),0)</f>
        <v>0</v>
      </c>
      <c r="K621">
        <f>IFERROR(INDEX(IB_2RS232_E1N002INF1!N:N,MATCH('По платам'!$B621,IB_2RS232_E1N002INF1!L:L,0)),0)</f>
        <v>0</v>
      </c>
      <c r="L621">
        <f>IFERROR(INDEX(IB_2CAN_E1N003INF1!N:N,MATCH('По платам'!$B621,IB_2CAN_E1N003INF1!L:L,0)),0)</f>
        <v>4</v>
      </c>
    </row>
    <row r="622" spans="2:12">
      <c r="B622" s="3" t="s">
        <v>2413</v>
      </c>
      <c r="C622">
        <f>IFERROR(INDEX('C2B004CPU2'!N:N,MATCH('По платам'!B622,'C2B004CPU2'!L:L,0)),0)</f>
        <v>7</v>
      </c>
      <c r="D622">
        <f>IFERROR(INDEX(SBC_DIO_E1N004INF1!N:N,MATCH('По платам'!$B622,SBC_DIO_E1N004INF1!L:L,0)),0)</f>
        <v>0</v>
      </c>
      <c r="E622">
        <f>IFERROR(INDEX(SBC_35_2C3_1_E1E001CPU1E!N:N,MATCH('По платам'!$B622,SBC_35_2C3_1_E1E001CPU1E!L:L,0)),0)</f>
        <v>0</v>
      </c>
      <c r="F622">
        <f>IFERROR(INDEX(PCIe104_PSU_E1N001PWR1!N:N,MATCH('По платам'!$B622,PCIe104_PSU_E1N001PWR1!L:L,0)),0)</f>
        <v>0</v>
      </c>
      <c r="G622">
        <f>IFERROR(INDEX(PCIe104_INF2_E1N006INF1!N:N,MATCH('По платам'!$B622,PCIe104_INF2_E1N006INF1!L:L,0)),0)</f>
        <v>0</v>
      </c>
      <c r="H622">
        <f>IFERROR(INDEX(PCIe104_CON_E1N005INF1!N:N,MATCH('По платам'!$B622,PCIe104_CON_E1N005INF1!L:L,0)),0)</f>
        <v>0</v>
      </c>
      <c r="I622">
        <f>IFERROR(INDEX('EM-PCIE104-CPU_E1E001CPU1E'!N:N,MATCH('По платам'!$B622,'EM-PCIE104-CPU_E1E001CPU1E'!L:L,0)),0)</f>
        <v>0</v>
      </c>
      <c r="J622">
        <f>IFERROR(INDEX(PCIe104_INF_E1N001INF1!N:N,MATCH('По платам'!$B622,PCIe104_INF_E1N001INF1!L:L,0)),0)</f>
        <v>0</v>
      </c>
      <c r="K622">
        <f>IFERROR(INDEX(IB_2RS232_E1N002INF1!N:N,MATCH('По платам'!$B622,IB_2RS232_E1N002INF1!L:L,0)),0)</f>
        <v>0</v>
      </c>
      <c r="L622">
        <f>IFERROR(INDEX(IB_2CAN_E1N003INF1!N:N,MATCH('По платам'!$B622,IB_2CAN_E1N003INF1!L:L,0)),0)</f>
        <v>0</v>
      </c>
    </row>
    <row r="623" spans="2:12">
      <c r="B623" s="3" t="s">
        <v>951</v>
      </c>
      <c r="C623">
        <f>IFERROR(INDEX('C2B004CPU2'!N:N,MATCH('По платам'!B623,'C2B004CPU2'!L:L,0)),0)</f>
        <v>0</v>
      </c>
      <c r="D623">
        <f>IFERROR(INDEX(SBC_DIO_E1N004INF1!N:N,MATCH('По платам'!$B623,SBC_DIO_E1N004INF1!L:L,0)),0)</f>
        <v>0</v>
      </c>
      <c r="E623">
        <f>IFERROR(INDEX(SBC_35_2C3_1_E1E001CPU1E!N:N,MATCH('По платам'!$B623,SBC_35_2C3_1_E1E001CPU1E!L:L,0)),0)</f>
        <v>0</v>
      </c>
      <c r="F623">
        <f>IFERROR(INDEX(PCIe104_PSU_E1N001PWR1!N:N,MATCH('По платам'!$B623,PCIe104_PSU_E1N001PWR1!L:L,0)),0)</f>
        <v>0</v>
      </c>
      <c r="G623">
        <f>IFERROR(INDEX(PCIe104_INF2_E1N006INF1!N:N,MATCH('По платам'!$B623,PCIe104_INF2_E1N006INF1!L:L,0)),0)</f>
        <v>0</v>
      </c>
      <c r="H623">
        <f>IFERROR(INDEX(PCIe104_CON_E1N005INF1!N:N,MATCH('По платам'!$B623,PCIe104_CON_E1N005INF1!L:L,0)),0)</f>
        <v>0</v>
      </c>
      <c r="I623">
        <f>IFERROR(INDEX('EM-PCIE104-CPU_E1E001CPU1E'!N:N,MATCH('По платам'!$B623,'EM-PCIE104-CPU_E1E001CPU1E'!L:L,0)),0)</f>
        <v>1</v>
      </c>
      <c r="J623">
        <f>IFERROR(INDEX(PCIe104_INF_E1N001INF1!N:N,MATCH('По платам'!$B623,PCIe104_INF_E1N001INF1!L:L,0)),0)</f>
        <v>0</v>
      </c>
      <c r="K623">
        <f>IFERROR(INDEX(IB_2RS232_E1N002INF1!N:N,MATCH('По платам'!$B623,IB_2RS232_E1N002INF1!L:L,0)),0)</f>
        <v>0</v>
      </c>
      <c r="L623">
        <f>IFERROR(INDEX(IB_2CAN_E1N003INF1!N:N,MATCH('По платам'!$B623,IB_2CAN_E1N003INF1!L:L,0)),0)</f>
        <v>0</v>
      </c>
    </row>
    <row r="624" spans="2:12">
      <c r="B624" s="3" t="s">
        <v>2489</v>
      </c>
      <c r="C624">
        <f>IFERROR(INDEX('C2B004CPU2'!N:N,MATCH('По платам'!B624,'C2B004CPU2'!L:L,0)),0)</f>
        <v>5</v>
      </c>
      <c r="D624">
        <f>IFERROR(INDEX(SBC_DIO_E1N004INF1!N:N,MATCH('По платам'!$B624,SBC_DIO_E1N004INF1!L:L,0)),0)</f>
        <v>0</v>
      </c>
      <c r="E624">
        <f>IFERROR(INDEX(SBC_35_2C3_1_E1E001CPU1E!N:N,MATCH('По платам'!$B624,SBC_35_2C3_1_E1E001CPU1E!L:L,0)),0)</f>
        <v>0</v>
      </c>
      <c r="F624">
        <f>IFERROR(INDEX(PCIe104_PSU_E1N001PWR1!N:N,MATCH('По платам'!$B624,PCIe104_PSU_E1N001PWR1!L:L,0)),0)</f>
        <v>0</v>
      </c>
      <c r="G624">
        <f>IFERROR(INDEX(PCIe104_INF2_E1N006INF1!N:N,MATCH('По платам'!$B624,PCIe104_INF2_E1N006INF1!L:L,0)),0)</f>
        <v>0</v>
      </c>
      <c r="H624">
        <f>IFERROR(INDEX(PCIe104_CON_E1N005INF1!N:N,MATCH('По платам'!$B624,PCIe104_CON_E1N005INF1!L:L,0)),0)</f>
        <v>0</v>
      </c>
      <c r="I624">
        <f>IFERROR(INDEX('EM-PCIE104-CPU_E1E001CPU1E'!N:N,MATCH('По платам'!$B624,'EM-PCIE104-CPU_E1E001CPU1E'!L:L,0)),0)</f>
        <v>0</v>
      </c>
      <c r="J624">
        <f>IFERROR(INDEX(PCIe104_INF_E1N001INF1!N:N,MATCH('По платам'!$B624,PCIe104_INF_E1N001INF1!L:L,0)),0)</f>
        <v>0</v>
      </c>
      <c r="K624">
        <f>IFERROR(INDEX(IB_2RS232_E1N002INF1!N:N,MATCH('По платам'!$B624,IB_2RS232_E1N002INF1!L:L,0)),0)</f>
        <v>0</v>
      </c>
      <c r="L624">
        <f>IFERROR(INDEX(IB_2CAN_E1N003INF1!N:N,MATCH('По платам'!$B624,IB_2CAN_E1N003INF1!L:L,0)),0)</f>
        <v>0</v>
      </c>
    </row>
    <row r="625" spans="2:12">
      <c r="B625" s="3" t="s">
        <v>936</v>
      </c>
      <c r="C625">
        <f>IFERROR(INDEX('C2B004CPU2'!N:N,MATCH('По платам'!B625,'C2B004CPU2'!L:L,0)),0)</f>
        <v>0</v>
      </c>
      <c r="D625">
        <f>IFERROR(INDEX(SBC_DIO_E1N004INF1!N:N,MATCH('По платам'!$B625,SBC_DIO_E1N004INF1!L:L,0)),0)</f>
        <v>0</v>
      </c>
      <c r="E625">
        <f>IFERROR(INDEX(SBC_35_2C3_1_E1E001CPU1E!N:N,MATCH('По платам'!$B625,SBC_35_2C3_1_E1E001CPU1E!L:L,0)),0)</f>
        <v>0</v>
      </c>
      <c r="F625">
        <f>IFERROR(INDEX(PCIe104_PSU_E1N001PWR1!N:N,MATCH('По платам'!$B625,PCIe104_PSU_E1N001PWR1!L:L,0)),0)</f>
        <v>0</v>
      </c>
      <c r="G625">
        <f>IFERROR(INDEX(PCIe104_INF2_E1N006INF1!N:N,MATCH('По платам'!$B625,PCIe104_INF2_E1N006INF1!L:L,0)),0)</f>
        <v>0</v>
      </c>
      <c r="H625">
        <f>IFERROR(INDEX(PCIe104_CON_E1N005INF1!N:N,MATCH('По платам'!$B625,PCIe104_CON_E1N005INF1!L:L,0)),0)</f>
        <v>0</v>
      </c>
      <c r="I625">
        <f>IFERROR(INDEX('EM-PCIE104-CPU_E1E001CPU1E'!N:N,MATCH('По платам'!$B625,'EM-PCIE104-CPU_E1E001CPU1E'!L:L,0)),0)</f>
        <v>1</v>
      </c>
      <c r="J625">
        <f>IFERROR(INDEX(PCIe104_INF_E1N001INF1!N:N,MATCH('По платам'!$B625,PCIe104_INF_E1N001INF1!L:L,0)),0)</f>
        <v>0</v>
      </c>
      <c r="K625">
        <f>IFERROR(INDEX(IB_2RS232_E1N002INF1!N:N,MATCH('По платам'!$B625,IB_2RS232_E1N002INF1!L:L,0)),0)</f>
        <v>0</v>
      </c>
      <c r="L625">
        <f>IFERROR(INDEX(IB_2CAN_E1N003INF1!N:N,MATCH('По платам'!$B625,IB_2CAN_E1N003INF1!L:L,0)),0)</f>
        <v>0</v>
      </c>
    </row>
    <row r="626" spans="2:12">
      <c r="B626" s="3" t="s">
        <v>2524</v>
      </c>
      <c r="C626">
        <f>IFERROR(INDEX('C2B004CPU2'!N:N,MATCH('По платам'!B626,'C2B004CPU2'!L:L,0)),0)</f>
        <v>2</v>
      </c>
      <c r="D626">
        <f>IFERROR(INDEX(SBC_DIO_E1N004INF1!N:N,MATCH('По платам'!$B626,SBC_DIO_E1N004INF1!L:L,0)),0)</f>
        <v>0</v>
      </c>
      <c r="E626">
        <f>IFERROR(INDEX(SBC_35_2C3_1_E1E001CPU1E!N:N,MATCH('По платам'!$B626,SBC_35_2C3_1_E1E001CPU1E!L:L,0)),0)</f>
        <v>0</v>
      </c>
      <c r="F626">
        <f>IFERROR(INDEX(PCIe104_PSU_E1N001PWR1!N:N,MATCH('По платам'!$B626,PCIe104_PSU_E1N001PWR1!L:L,0)),0)</f>
        <v>0</v>
      </c>
      <c r="G626">
        <f>IFERROR(INDEX(PCIe104_INF2_E1N006INF1!N:N,MATCH('По платам'!$B626,PCIe104_INF2_E1N006INF1!L:L,0)),0)</f>
        <v>0</v>
      </c>
      <c r="H626">
        <f>IFERROR(INDEX(PCIe104_CON_E1N005INF1!N:N,MATCH('По платам'!$B626,PCIe104_CON_E1N005INF1!L:L,0)),0)</f>
        <v>0</v>
      </c>
      <c r="I626">
        <f>IFERROR(INDEX('EM-PCIE104-CPU_E1E001CPU1E'!N:N,MATCH('По платам'!$B626,'EM-PCIE104-CPU_E1E001CPU1E'!L:L,0)),0)</f>
        <v>0</v>
      </c>
      <c r="J626">
        <f>IFERROR(INDEX(PCIe104_INF_E1N001INF1!N:N,MATCH('По платам'!$B626,PCIe104_INF_E1N001INF1!L:L,0)),0)</f>
        <v>0</v>
      </c>
      <c r="K626">
        <f>IFERROR(INDEX(IB_2RS232_E1N002INF1!N:N,MATCH('По платам'!$B626,IB_2RS232_E1N002INF1!L:L,0)),0)</f>
        <v>0</v>
      </c>
      <c r="L626">
        <f>IFERROR(INDEX(IB_2CAN_E1N003INF1!N:N,MATCH('По платам'!$B626,IB_2CAN_E1N003INF1!L:L,0)),0)</f>
        <v>0</v>
      </c>
    </row>
    <row r="627" spans="2:12">
      <c r="B627" s="3" t="s">
        <v>1410</v>
      </c>
      <c r="C627">
        <f>IFERROR(INDEX('C2B004CPU2'!N:N,MATCH('По платам'!B627,'C2B004CPU2'!L:L,0)),0)</f>
        <v>0</v>
      </c>
      <c r="D627">
        <f>IFERROR(INDEX(SBC_DIO_E1N004INF1!N:N,MATCH('По платам'!$B627,SBC_DIO_E1N004INF1!L:L,0)),0)</f>
        <v>0</v>
      </c>
      <c r="E627">
        <f>IFERROR(INDEX(SBC_35_2C3_1_E1E001CPU1E!N:N,MATCH('По платам'!$B627,SBC_35_2C3_1_E1E001CPU1E!L:L,0)),0)</f>
        <v>0</v>
      </c>
      <c r="F627">
        <f>IFERROR(INDEX(PCIe104_PSU_E1N001PWR1!N:N,MATCH('По платам'!$B627,PCIe104_PSU_E1N001PWR1!L:L,0)),0)</f>
        <v>2</v>
      </c>
      <c r="G627">
        <f>IFERROR(INDEX(PCIe104_INF2_E1N006INF1!N:N,MATCH('По платам'!$B627,PCIe104_INF2_E1N006INF1!L:L,0)),0)</f>
        <v>0</v>
      </c>
      <c r="H627">
        <f>IFERROR(INDEX(PCIe104_CON_E1N005INF1!N:N,MATCH('По платам'!$B627,PCIe104_CON_E1N005INF1!L:L,0)),0)</f>
        <v>0</v>
      </c>
      <c r="I627">
        <f>IFERROR(INDEX('EM-PCIE104-CPU_E1E001CPU1E'!N:N,MATCH('По платам'!$B627,'EM-PCIE104-CPU_E1E001CPU1E'!L:L,0)),0)</f>
        <v>0</v>
      </c>
      <c r="J627">
        <f>IFERROR(INDEX(PCIe104_INF_E1N001INF1!N:N,MATCH('По платам'!$B627,PCIe104_INF_E1N001INF1!L:L,0)),0)</f>
        <v>0</v>
      </c>
      <c r="K627">
        <f>IFERROR(INDEX(IB_2RS232_E1N002INF1!N:N,MATCH('По платам'!$B627,IB_2RS232_E1N002INF1!L:L,0)),0)</f>
        <v>0</v>
      </c>
      <c r="L627">
        <f>IFERROR(INDEX(IB_2CAN_E1N003INF1!N:N,MATCH('По платам'!$B627,IB_2CAN_E1N003INF1!L:L,0)),0)</f>
        <v>0</v>
      </c>
    </row>
    <row r="628" spans="2:12">
      <c r="B628" s="3" t="s">
        <v>439</v>
      </c>
      <c r="C628">
        <f>IFERROR(INDEX('C2B004CPU2'!N:N,MATCH('По платам'!B628,'C2B004CPU2'!L:L,0)),0)</f>
        <v>0</v>
      </c>
      <c r="D628">
        <f>IFERROR(INDEX(SBC_DIO_E1N004INF1!N:N,MATCH('По платам'!$B628,SBC_DIO_E1N004INF1!L:L,0)),0)</f>
        <v>0</v>
      </c>
      <c r="E628">
        <f>IFERROR(INDEX(SBC_35_2C3_1_E1E001CPU1E!N:N,MATCH('По платам'!$B628,SBC_35_2C3_1_E1E001CPU1E!L:L,0)),0)</f>
        <v>0</v>
      </c>
      <c r="F628">
        <f>IFERROR(INDEX(PCIe104_PSU_E1N001PWR1!N:N,MATCH('По платам'!$B628,PCIe104_PSU_E1N001PWR1!L:L,0)),0)</f>
        <v>0</v>
      </c>
      <c r="G628">
        <f>IFERROR(INDEX(PCIe104_INF2_E1N006INF1!N:N,MATCH('По платам'!$B628,PCIe104_INF2_E1N006INF1!L:L,0)),0)</f>
        <v>0</v>
      </c>
      <c r="H628">
        <f>IFERROR(INDEX(PCIe104_CON_E1N005INF1!N:N,MATCH('По платам'!$B628,PCIe104_CON_E1N005INF1!L:L,0)),0)</f>
        <v>0</v>
      </c>
      <c r="I628">
        <f>IFERROR(INDEX('EM-PCIE104-CPU_E1E001CPU1E'!N:N,MATCH('По платам'!$B628,'EM-PCIE104-CPU_E1E001CPU1E'!L:L,0)),0)</f>
        <v>0</v>
      </c>
      <c r="J628">
        <f>IFERROR(INDEX(PCIe104_INF_E1N001INF1!N:N,MATCH('По платам'!$B628,PCIe104_INF_E1N001INF1!L:L,0)),0)</f>
        <v>16</v>
      </c>
      <c r="K628">
        <f>IFERROR(INDEX(IB_2RS232_E1N002INF1!N:N,MATCH('По платам'!$B628,IB_2RS232_E1N002INF1!L:L,0)),0)</f>
        <v>0</v>
      </c>
      <c r="L628">
        <f>IFERROR(INDEX(IB_2CAN_E1N003INF1!N:N,MATCH('По платам'!$B628,IB_2CAN_E1N003INF1!L:L,0)),0)</f>
        <v>0</v>
      </c>
    </row>
    <row r="629" spans="2:12">
      <c r="B629" s="3" t="s">
        <v>955</v>
      </c>
      <c r="C629">
        <f>IFERROR(INDEX('C2B004CPU2'!N:N,MATCH('По платам'!B629,'C2B004CPU2'!L:L,0)),0)</f>
        <v>0</v>
      </c>
      <c r="D629">
        <f>IFERROR(INDEX(SBC_DIO_E1N004INF1!N:N,MATCH('По платам'!$B629,SBC_DIO_E1N004INF1!L:L,0)),0)</f>
        <v>0</v>
      </c>
      <c r="E629">
        <f>IFERROR(INDEX(SBC_35_2C3_1_E1E001CPU1E!N:N,MATCH('По платам'!$B629,SBC_35_2C3_1_E1E001CPU1E!L:L,0)),0)</f>
        <v>0</v>
      </c>
      <c r="F629">
        <f>IFERROR(INDEX(PCIe104_PSU_E1N001PWR1!N:N,MATCH('По платам'!$B629,PCIe104_PSU_E1N001PWR1!L:L,0)),0)</f>
        <v>0</v>
      </c>
      <c r="G629">
        <f>IFERROR(INDEX(PCIe104_INF2_E1N006INF1!N:N,MATCH('По платам'!$B629,PCIe104_INF2_E1N006INF1!L:L,0)),0)</f>
        <v>0</v>
      </c>
      <c r="H629">
        <f>IFERROR(INDEX(PCIe104_CON_E1N005INF1!N:N,MATCH('По платам'!$B629,PCIe104_CON_E1N005INF1!L:L,0)),0)</f>
        <v>0</v>
      </c>
      <c r="I629">
        <f>IFERROR(INDEX('EM-PCIE104-CPU_E1E001CPU1E'!N:N,MATCH('По платам'!$B629,'EM-PCIE104-CPU_E1E001CPU1E'!L:L,0)),0)</f>
        <v>2</v>
      </c>
      <c r="J629">
        <f>IFERROR(INDEX(PCIe104_INF_E1N001INF1!N:N,MATCH('По платам'!$B629,PCIe104_INF_E1N001INF1!L:L,0)),0)</f>
        <v>0</v>
      </c>
      <c r="K629">
        <f>IFERROR(INDEX(IB_2RS232_E1N002INF1!N:N,MATCH('По платам'!$B629,IB_2RS232_E1N002INF1!L:L,0)),0)</f>
        <v>0</v>
      </c>
      <c r="L629">
        <f>IFERROR(INDEX(IB_2CAN_E1N003INF1!N:N,MATCH('По платам'!$B629,IB_2CAN_E1N003INF1!L:L,0)),0)</f>
        <v>0</v>
      </c>
    </row>
    <row r="630" spans="2:12">
      <c r="B630" s="3" t="s">
        <v>1141</v>
      </c>
      <c r="C630">
        <f>IFERROR(INDEX('C2B004CPU2'!N:N,MATCH('По платам'!B630,'C2B004CPU2'!L:L,0)),0)</f>
        <v>0</v>
      </c>
      <c r="D630">
        <f>IFERROR(INDEX(SBC_DIO_E1N004INF1!N:N,MATCH('По платам'!$B630,SBC_DIO_E1N004INF1!L:L,0)),0)</f>
        <v>8</v>
      </c>
      <c r="E630">
        <f>IFERROR(INDEX(SBC_35_2C3_1_E1E001CPU1E!N:N,MATCH('По платам'!$B630,SBC_35_2C3_1_E1E001CPU1E!L:L,0)),0)</f>
        <v>0</v>
      </c>
      <c r="F630">
        <f>IFERROR(INDEX(PCIe104_PSU_E1N001PWR1!N:N,MATCH('По платам'!$B630,PCIe104_PSU_E1N001PWR1!L:L,0)),0)</f>
        <v>0</v>
      </c>
      <c r="G630">
        <f>IFERROR(INDEX(PCIe104_INF2_E1N006INF1!N:N,MATCH('По платам'!$B630,PCIe104_INF2_E1N006INF1!L:L,0)),0)</f>
        <v>0</v>
      </c>
      <c r="H630">
        <f>IFERROR(INDEX(PCIe104_CON_E1N005INF1!N:N,MATCH('По платам'!$B630,PCIe104_CON_E1N005INF1!L:L,0)),0)</f>
        <v>4</v>
      </c>
      <c r="I630">
        <f>IFERROR(INDEX('EM-PCIE104-CPU_E1E001CPU1E'!N:N,MATCH('По платам'!$B630,'EM-PCIE104-CPU_E1E001CPU1E'!L:L,0)),0)</f>
        <v>0</v>
      </c>
      <c r="J630">
        <f>IFERROR(INDEX(PCIe104_INF_E1N001INF1!N:N,MATCH('По платам'!$B630,PCIe104_INF_E1N001INF1!L:L,0)),0)</f>
        <v>0</v>
      </c>
      <c r="K630">
        <f>IFERROR(INDEX(IB_2RS232_E1N002INF1!N:N,MATCH('По платам'!$B630,IB_2RS232_E1N002INF1!L:L,0)),0)</f>
        <v>0</v>
      </c>
      <c r="L630">
        <f>IFERROR(INDEX(IB_2CAN_E1N003INF1!N:N,MATCH('По платам'!$B630,IB_2CAN_E1N003INF1!L:L,0)),0)</f>
        <v>0</v>
      </c>
    </row>
    <row r="631" spans="2:12">
      <c r="B631" s="3" t="s">
        <v>1154</v>
      </c>
      <c r="C631">
        <f>IFERROR(INDEX('C2B004CPU2'!N:N,MATCH('По платам'!B631,'C2B004CPU2'!L:L,0)),0)</f>
        <v>0</v>
      </c>
      <c r="D631">
        <f>IFERROR(INDEX(SBC_DIO_E1N004INF1!N:N,MATCH('По платам'!$B631,SBC_DIO_E1N004INF1!L:L,0)),0)</f>
        <v>0</v>
      </c>
      <c r="E631">
        <f>IFERROR(INDEX(SBC_35_2C3_1_E1E001CPU1E!N:N,MATCH('По платам'!$B631,SBC_35_2C3_1_E1E001CPU1E!L:L,0)),0)</f>
        <v>0</v>
      </c>
      <c r="F631">
        <f>IFERROR(INDEX(PCIe104_PSU_E1N001PWR1!N:N,MATCH('По платам'!$B631,PCIe104_PSU_E1N001PWR1!L:L,0)),0)</f>
        <v>1</v>
      </c>
      <c r="G631">
        <f>IFERROR(INDEX(PCIe104_INF2_E1N006INF1!N:N,MATCH('По платам'!$B631,PCIe104_INF2_E1N006INF1!L:L,0)),0)</f>
        <v>0</v>
      </c>
      <c r="H631">
        <f>IFERROR(INDEX(PCIe104_CON_E1N005INF1!N:N,MATCH('По платам'!$B631,PCIe104_CON_E1N005INF1!L:L,0)),0)</f>
        <v>1</v>
      </c>
      <c r="I631">
        <f>IFERROR(INDEX('EM-PCIE104-CPU_E1E001CPU1E'!N:N,MATCH('По платам'!$B631,'EM-PCIE104-CPU_E1E001CPU1E'!L:L,0)),0)</f>
        <v>0</v>
      </c>
      <c r="J631">
        <f>IFERROR(INDEX(PCIe104_INF_E1N001INF1!N:N,MATCH('По платам'!$B631,PCIe104_INF_E1N001INF1!L:L,0)),0)</f>
        <v>0</v>
      </c>
      <c r="K631">
        <f>IFERROR(INDEX(IB_2RS232_E1N002INF1!N:N,MATCH('По платам'!$B631,IB_2RS232_E1N002INF1!L:L,0)),0)</f>
        <v>0</v>
      </c>
      <c r="L631">
        <f>IFERROR(INDEX(IB_2CAN_E1N003INF1!N:N,MATCH('По платам'!$B631,IB_2CAN_E1N003INF1!L:L,0)),0)</f>
        <v>0</v>
      </c>
    </row>
    <row r="632" spans="2:12">
      <c r="B632" s="3" t="s">
        <v>417</v>
      </c>
      <c r="C632">
        <f>IFERROR(INDEX('C2B004CPU2'!N:N,MATCH('По платам'!B632,'C2B004CPU2'!L:L,0)),0)</f>
        <v>0</v>
      </c>
      <c r="D632">
        <f>IFERROR(INDEX(SBC_DIO_E1N004INF1!N:N,MATCH('По платам'!$B632,SBC_DIO_E1N004INF1!L:L,0)),0)</f>
        <v>0</v>
      </c>
      <c r="E632">
        <f>IFERROR(INDEX(SBC_35_2C3_1_E1E001CPU1E!N:N,MATCH('По платам'!$B632,SBC_35_2C3_1_E1E001CPU1E!L:L,0)),0)</f>
        <v>0</v>
      </c>
      <c r="F632">
        <f>IFERROR(INDEX(PCIe104_PSU_E1N001PWR1!N:N,MATCH('По платам'!$B632,PCIe104_PSU_E1N001PWR1!L:L,0)),0)</f>
        <v>0</v>
      </c>
      <c r="G632">
        <f>IFERROR(INDEX(PCIe104_INF2_E1N006INF1!N:N,MATCH('По платам'!$B632,PCIe104_INF2_E1N006INF1!L:L,0)),0)</f>
        <v>4</v>
      </c>
      <c r="H632">
        <f>IFERROR(INDEX(PCIe104_CON_E1N005INF1!N:N,MATCH('По платам'!$B632,PCIe104_CON_E1N005INF1!L:L,0)),0)</f>
        <v>0</v>
      </c>
      <c r="I632">
        <f>IFERROR(INDEX('EM-PCIE104-CPU_E1E001CPU1E'!N:N,MATCH('По платам'!$B632,'EM-PCIE104-CPU_E1E001CPU1E'!L:L,0)),0)</f>
        <v>0</v>
      </c>
      <c r="J632">
        <f>IFERROR(INDEX(PCIe104_INF_E1N001INF1!N:N,MATCH('По платам'!$B632,PCIe104_INF_E1N001INF1!L:L,0)),0)</f>
        <v>1</v>
      </c>
      <c r="K632">
        <f>IFERROR(INDEX(IB_2RS232_E1N002INF1!N:N,MATCH('По платам'!$B632,IB_2RS232_E1N002INF1!L:L,0)),0)</f>
        <v>0</v>
      </c>
      <c r="L632">
        <f>IFERROR(INDEX(IB_2CAN_E1N003INF1!N:N,MATCH('По платам'!$B632,IB_2CAN_E1N003INF1!L:L,0)),0)</f>
        <v>0</v>
      </c>
    </row>
    <row r="633" spans="2:12">
      <c r="B633" s="3" t="s">
        <v>1420</v>
      </c>
      <c r="C633">
        <f>IFERROR(INDEX('C2B004CPU2'!N:N,MATCH('По платам'!B633,'C2B004CPU2'!L:L,0)),0)</f>
        <v>0</v>
      </c>
      <c r="D633">
        <f>IFERROR(INDEX(SBC_DIO_E1N004INF1!N:N,MATCH('По платам'!$B633,SBC_DIO_E1N004INF1!L:L,0)),0)</f>
        <v>0</v>
      </c>
      <c r="E633">
        <f>IFERROR(INDEX(SBC_35_2C3_1_E1E001CPU1E!N:N,MATCH('По платам'!$B633,SBC_35_2C3_1_E1E001CPU1E!L:L,0)),0)</f>
        <v>0</v>
      </c>
      <c r="F633">
        <f>IFERROR(INDEX(PCIe104_PSU_E1N001PWR1!N:N,MATCH('По платам'!$B633,PCIe104_PSU_E1N001PWR1!L:L,0)),0)</f>
        <v>1</v>
      </c>
      <c r="G633">
        <f>IFERROR(INDEX(PCIe104_INF2_E1N006INF1!N:N,MATCH('По платам'!$B633,PCIe104_INF2_E1N006INF1!L:L,0)),0)</f>
        <v>0</v>
      </c>
      <c r="H633">
        <f>IFERROR(INDEX(PCIe104_CON_E1N005INF1!N:N,MATCH('По платам'!$B633,PCIe104_CON_E1N005INF1!L:L,0)),0)</f>
        <v>0</v>
      </c>
      <c r="I633">
        <f>IFERROR(INDEX('EM-PCIE104-CPU_E1E001CPU1E'!N:N,MATCH('По платам'!$B633,'EM-PCIE104-CPU_E1E001CPU1E'!L:L,0)),0)</f>
        <v>0</v>
      </c>
      <c r="J633">
        <f>IFERROR(INDEX(PCIe104_INF_E1N001INF1!N:N,MATCH('По платам'!$B633,PCIe104_INF_E1N001INF1!L:L,0)),0)</f>
        <v>0</v>
      </c>
      <c r="K633">
        <f>IFERROR(INDEX(IB_2RS232_E1N002INF1!N:N,MATCH('По платам'!$B633,IB_2RS232_E1N002INF1!L:L,0)),0)</f>
        <v>0</v>
      </c>
      <c r="L633">
        <f>IFERROR(INDEX(IB_2CAN_E1N003INF1!N:N,MATCH('По платам'!$B633,IB_2CAN_E1N003INF1!L:L,0)),0)</f>
        <v>0</v>
      </c>
    </row>
    <row r="634" spans="2:12">
      <c r="B634" s="3" t="s">
        <v>493</v>
      </c>
      <c r="C634">
        <f>IFERROR(INDEX('C2B004CPU2'!N:N,MATCH('По платам'!B634,'C2B004CPU2'!L:L,0)),0)</f>
        <v>0</v>
      </c>
      <c r="D634">
        <f>IFERROR(INDEX(SBC_DIO_E1N004INF1!N:N,MATCH('По платам'!$B634,SBC_DIO_E1N004INF1!L:L,0)),0)</f>
        <v>0</v>
      </c>
      <c r="E634">
        <f>IFERROR(INDEX(SBC_35_2C3_1_E1E001CPU1E!N:N,MATCH('По платам'!$B634,SBC_35_2C3_1_E1E001CPU1E!L:L,0)),0)</f>
        <v>0</v>
      </c>
      <c r="F634">
        <f>IFERROR(INDEX(PCIe104_PSU_E1N001PWR1!N:N,MATCH('По платам'!$B634,PCIe104_PSU_E1N001PWR1!L:L,0)),0)</f>
        <v>0</v>
      </c>
      <c r="G634">
        <f>IFERROR(INDEX(PCIe104_INF2_E1N006INF1!N:N,MATCH('По платам'!$B634,PCIe104_INF2_E1N006INF1!L:L,0)),0)</f>
        <v>0</v>
      </c>
      <c r="H634">
        <f>IFERROR(INDEX(PCIe104_CON_E1N005INF1!N:N,MATCH('По платам'!$B634,PCIe104_CON_E1N005INF1!L:L,0)),0)</f>
        <v>0</v>
      </c>
      <c r="I634">
        <f>IFERROR(INDEX('EM-PCIE104-CPU_E1E001CPU1E'!N:N,MATCH('По платам'!$B634,'EM-PCIE104-CPU_E1E001CPU1E'!L:L,0)),0)</f>
        <v>1</v>
      </c>
      <c r="J634">
        <f>IFERROR(INDEX(PCIe104_INF_E1N001INF1!N:N,MATCH('По платам'!$B634,PCIe104_INF_E1N001INF1!L:L,0)),0)</f>
        <v>1</v>
      </c>
      <c r="K634">
        <f>IFERROR(INDEX(IB_2RS232_E1N002INF1!N:N,MATCH('По платам'!$B634,IB_2RS232_E1N002INF1!L:L,0)),0)</f>
        <v>0</v>
      </c>
      <c r="L634">
        <f>IFERROR(INDEX(IB_2CAN_E1N003INF1!N:N,MATCH('По платам'!$B634,IB_2CAN_E1N003INF1!L:L,0)),0)</f>
        <v>0</v>
      </c>
    </row>
    <row r="635" spans="2:12">
      <c r="B635" s="3" t="s">
        <v>490</v>
      </c>
      <c r="C635">
        <f>IFERROR(INDEX('C2B004CPU2'!N:N,MATCH('По платам'!B635,'C2B004CPU2'!L:L,0)),0)</f>
        <v>0</v>
      </c>
      <c r="D635">
        <f>IFERROR(INDEX(SBC_DIO_E1N004INF1!N:N,MATCH('По платам'!$B635,SBC_DIO_E1N004INF1!L:L,0)),0)</f>
        <v>0</v>
      </c>
      <c r="E635">
        <f>IFERROR(INDEX(SBC_35_2C3_1_E1E001CPU1E!N:N,MATCH('По платам'!$B635,SBC_35_2C3_1_E1E001CPU1E!L:L,0)),0)</f>
        <v>0</v>
      </c>
      <c r="F635">
        <f>IFERROR(INDEX(PCIe104_PSU_E1N001PWR1!N:N,MATCH('По платам'!$B635,PCIe104_PSU_E1N001PWR1!L:L,0)),0)</f>
        <v>0</v>
      </c>
      <c r="G635">
        <f>IFERROR(INDEX(PCIe104_INF2_E1N006INF1!N:N,MATCH('По платам'!$B635,PCIe104_INF2_E1N006INF1!L:L,0)),0)</f>
        <v>0</v>
      </c>
      <c r="H635">
        <f>IFERROR(INDEX(PCIe104_CON_E1N005INF1!N:N,MATCH('По платам'!$B635,PCIe104_CON_E1N005INF1!L:L,0)),0)</f>
        <v>0</v>
      </c>
      <c r="I635">
        <f>IFERROR(INDEX('EM-PCIE104-CPU_E1E001CPU1E'!N:N,MATCH('По платам'!$B635,'EM-PCIE104-CPU_E1E001CPU1E'!L:L,0)),0)</f>
        <v>0</v>
      </c>
      <c r="J635">
        <f>IFERROR(INDEX(PCIe104_INF_E1N001INF1!N:N,MATCH('По платам'!$B635,PCIe104_INF_E1N001INF1!L:L,0)),0)</f>
        <v>2</v>
      </c>
      <c r="K635">
        <f>IFERROR(INDEX(IB_2RS232_E1N002INF1!N:N,MATCH('По платам'!$B635,IB_2RS232_E1N002INF1!L:L,0)),0)</f>
        <v>0</v>
      </c>
      <c r="L635">
        <f>IFERROR(INDEX(IB_2CAN_E1N003INF1!N:N,MATCH('По платам'!$B635,IB_2CAN_E1N003INF1!L:L,0)),0)</f>
        <v>0</v>
      </c>
    </row>
    <row r="636" spans="2:12">
      <c r="B636" s="3" t="s">
        <v>2367</v>
      </c>
      <c r="C636">
        <f>IFERROR(INDEX('C2B004CPU2'!N:N,MATCH('По платам'!B636,'C2B004CPU2'!L:L,0)),0)</f>
        <v>2</v>
      </c>
      <c r="D636">
        <f>IFERROR(INDEX(SBC_DIO_E1N004INF1!N:N,MATCH('По платам'!$B636,SBC_DIO_E1N004INF1!L:L,0)),0)</f>
        <v>0</v>
      </c>
      <c r="E636">
        <f>IFERROR(INDEX(SBC_35_2C3_1_E1E001CPU1E!N:N,MATCH('По платам'!$B636,SBC_35_2C3_1_E1E001CPU1E!L:L,0)),0)</f>
        <v>0</v>
      </c>
      <c r="F636">
        <f>IFERROR(INDEX(PCIe104_PSU_E1N001PWR1!N:N,MATCH('По платам'!$B636,PCIe104_PSU_E1N001PWR1!L:L,0)),0)</f>
        <v>0</v>
      </c>
      <c r="G636">
        <f>IFERROR(INDEX(PCIe104_INF2_E1N006INF1!N:N,MATCH('По платам'!$B636,PCIe104_INF2_E1N006INF1!L:L,0)),0)</f>
        <v>0</v>
      </c>
      <c r="H636">
        <f>IFERROR(INDEX(PCIe104_CON_E1N005INF1!N:N,MATCH('По платам'!$B636,PCIe104_CON_E1N005INF1!L:L,0)),0)</f>
        <v>0</v>
      </c>
      <c r="I636">
        <f>IFERROR(INDEX('EM-PCIE104-CPU_E1E001CPU1E'!N:N,MATCH('По платам'!$B636,'EM-PCIE104-CPU_E1E001CPU1E'!L:L,0)),0)</f>
        <v>0</v>
      </c>
      <c r="J636">
        <f>IFERROR(INDEX(PCIe104_INF_E1N001INF1!N:N,MATCH('По платам'!$B636,PCIe104_INF_E1N001INF1!L:L,0)),0)</f>
        <v>0</v>
      </c>
      <c r="K636">
        <f>IFERROR(INDEX(IB_2RS232_E1N002INF1!N:N,MATCH('По платам'!$B636,IB_2RS232_E1N002INF1!L:L,0)),0)</f>
        <v>0</v>
      </c>
      <c r="L636">
        <f>IFERROR(INDEX(IB_2CAN_E1N003INF1!N:N,MATCH('По платам'!$B636,IB_2CAN_E1N003INF1!L:L,0)),0)</f>
        <v>0</v>
      </c>
    </row>
    <row r="637" spans="2:12">
      <c r="B637" s="3" t="s">
        <v>2797</v>
      </c>
      <c r="C637">
        <f>IFERROR(INDEX('C2B004CPU2'!N:N,MATCH('По платам'!B637,'C2B004CPU2'!L:L,0)),0)</f>
        <v>0</v>
      </c>
      <c r="D637">
        <f>IFERROR(INDEX(SBC_DIO_E1N004INF1!N:N,MATCH('По платам'!$B637,SBC_DIO_E1N004INF1!L:L,0)),0)</f>
        <v>0</v>
      </c>
      <c r="E637">
        <f>IFERROR(INDEX(SBC_35_2C3_1_E1E001CPU1E!N:N,MATCH('По платам'!$B637,SBC_35_2C3_1_E1E001CPU1E!L:L,0)),0)</f>
        <v>0</v>
      </c>
      <c r="F637">
        <f>IFERROR(INDEX(PCIe104_PSU_E1N001PWR1!N:N,MATCH('По платам'!$B637,PCIe104_PSU_E1N001PWR1!L:L,0)),0)</f>
        <v>0</v>
      </c>
      <c r="G637">
        <f>IFERROR(INDEX(PCIe104_INF2_E1N006INF1!N:N,MATCH('По платам'!$B637,PCIe104_INF2_E1N006INF1!L:L,0)),0)</f>
        <v>0</v>
      </c>
      <c r="H637">
        <f>IFERROR(INDEX(PCIe104_CON_E1N005INF1!N:N,MATCH('По платам'!$B637,PCIe104_CON_E1N005INF1!L:L,0)),0)</f>
        <v>0</v>
      </c>
      <c r="I637">
        <f>IFERROR(INDEX('EM-PCIE104-CPU_E1E001CPU1E'!N:N,MATCH('По платам'!$B637,'EM-PCIE104-CPU_E1E001CPU1E'!L:L,0)),0)</f>
        <v>0</v>
      </c>
      <c r="J637">
        <f>IFERROR(INDEX(PCIe104_INF_E1N001INF1!N:N,MATCH('По платам'!$B637,PCIe104_INF_E1N001INF1!L:L,0)),0)</f>
        <v>0</v>
      </c>
      <c r="K637">
        <f>IFERROR(INDEX(IB_2RS232_E1N002INF1!N:N,MATCH('По платам'!$B637,IB_2RS232_E1N002INF1!L:L,0)),0)</f>
        <v>0</v>
      </c>
      <c r="L637">
        <f>IFERROR(INDEX(IB_2CAN_E1N003INF1!N:N,MATCH('По платам'!$B637,IB_2CAN_E1N003INF1!L:L,0)),0)</f>
        <v>0</v>
      </c>
    </row>
  </sheetData>
  <dataConsolidate topLabels="1">
    <dataRefs count="2">
      <dataRef ref="L2:L367" sheet="C2B004CPU2"/>
      <dataRef ref="L2:L57" sheet="SBC_DIO_E1N004INF1"/>
    </dataRefs>
  </dataConsolidate>
  <conditionalFormatting sqref="C2:C1048576 L1">
    <cfRule type="cellIs" dxfId="3" priority="6" operator="greaterThan">
      <formula>0</formula>
    </cfRule>
  </conditionalFormatting>
  <conditionalFormatting sqref="E3:E637">
    <cfRule type="cellIs" dxfId="2" priority="3" operator="greaterThan">
      <formula>0</formula>
    </cfRule>
  </conditionalFormatting>
  <conditionalFormatting sqref="D3:D637">
    <cfRule type="cellIs" dxfId="1" priority="2" operator="greaterThan">
      <formula>0</formula>
    </cfRule>
  </conditionalFormatting>
  <conditionalFormatting sqref="C3:L637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P46"/>
  <sheetViews>
    <sheetView zoomScale="85" zoomScaleNormal="85" workbookViewId="0">
      <selection activeCell="P46" sqref="P46"/>
    </sheetView>
  </sheetViews>
  <sheetFormatPr defaultRowHeight="15"/>
  <cols>
    <col min="2" max="2" width="30.140625" customWidth="1"/>
    <col min="3" max="3" width="28.7109375" customWidth="1"/>
    <col min="4" max="4" width="35.7109375" customWidth="1"/>
    <col min="5" max="5" width="44.85546875" customWidth="1"/>
    <col min="6" max="6" width="40.7109375" customWidth="1"/>
    <col min="7" max="7" width="21.140625" customWidth="1"/>
    <col min="8" max="8" width="17.28515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>
      <c r="A2" t="s">
        <v>14</v>
      </c>
      <c r="B2" t="s">
        <v>2856</v>
      </c>
      <c r="C2">
        <v>3</v>
      </c>
      <c r="D2" t="s">
        <v>15</v>
      </c>
      <c r="E2" t="s">
        <v>2806</v>
      </c>
      <c r="F2">
        <v>1</v>
      </c>
      <c r="G2">
        <v>1</v>
      </c>
      <c r="I2" t="s">
        <v>16</v>
      </c>
      <c r="J2" t="s">
        <v>17</v>
      </c>
      <c r="K2" t="s">
        <v>18</v>
      </c>
      <c r="L2" t="s">
        <v>19</v>
      </c>
      <c r="M2">
        <v>10191</v>
      </c>
      <c r="N2">
        <v>1</v>
      </c>
      <c r="O2" t="s">
        <v>143</v>
      </c>
      <c r="P2">
        <v>1</v>
      </c>
    </row>
    <row r="3" spans="1:16">
      <c r="A3" t="s">
        <v>14</v>
      </c>
      <c r="B3" t="s">
        <v>2856</v>
      </c>
      <c r="C3">
        <v>3</v>
      </c>
      <c r="D3" t="s">
        <v>15</v>
      </c>
      <c r="E3" t="s">
        <v>2806</v>
      </c>
      <c r="F3">
        <v>1</v>
      </c>
      <c r="G3">
        <v>2</v>
      </c>
      <c r="I3" t="s">
        <v>20</v>
      </c>
      <c r="J3" t="s">
        <v>21</v>
      </c>
      <c r="K3" t="s">
        <v>22</v>
      </c>
      <c r="L3" t="s">
        <v>23</v>
      </c>
      <c r="M3">
        <v>42431</v>
      </c>
      <c r="N3">
        <v>14</v>
      </c>
      <c r="O3" t="s">
        <v>2807</v>
      </c>
      <c r="P3">
        <v>14</v>
      </c>
    </row>
    <row r="4" spans="1:16">
      <c r="A4" t="s">
        <v>14</v>
      </c>
      <c r="B4" t="s">
        <v>2856</v>
      </c>
      <c r="C4">
        <v>3</v>
      </c>
      <c r="D4" t="s">
        <v>15</v>
      </c>
      <c r="E4" t="s">
        <v>2806</v>
      </c>
      <c r="F4">
        <v>1</v>
      </c>
      <c r="G4">
        <v>3</v>
      </c>
      <c r="I4" t="s">
        <v>24</v>
      </c>
      <c r="J4" t="s">
        <v>25</v>
      </c>
      <c r="K4" t="s">
        <v>22</v>
      </c>
      <c r="L4" t="s">
        <v>26</v>
      </c>
      <c r="M4">
        <v>2054</v>
      </c>
      <c r="N4">
        <v>20</v>
      </c>
      <c r="O4" t="s">
        <v>2808</v>
      </c>
      <c r="P4">
        <v>20</v>
      </c>
    </row>
    <row r="5" spans="1:16">
      <c r="A5" t="s">
        <v>14</v>
      </c>
      <c r="B5" t="s">
        <v>2856</v>
      </c>
      <c r="C5">
        <v>3</v>
      </c>
      <c r="D5" t="s">
        <v>15</v>
      </c>
      <c r="E5" t="s">
        <v>2806</v>
      </c>
      <c r="F5">
        <v>1</v>
      </c>
      <c r="G5">
        <v>4</v>
      </c>
      <c r="I5" t="s">
        <v>27</v>
      </c>
      <c r="J5" t="s">
        <v>28</v>
      </c>
      <c r="K5" t="s">
        <v>22</v>
      </c>
      <c r="L5" t="s">
        <v>29</v>
      </c>
      <c r="M5">
        <v>42374</v>
      </c>
      <c r="N5">
        <v>1</v>
      </c>
      <c r="O5" t="s">
        <v>1096</v>
      </c>
      <c r="P5">
        <v>1</v>
      </c>
    </row>
    <row r="6" spans="1:16">
      <c r="A6" t="s">
        <v>14</v>
      </c>
      <c r="B6" t="s">
        <v>2856</v>
      </c>
      <c r="C6">
        <v>3</v>
      </c>
      <c r="D6" t="s">
        <v>15</v>
      </c>
      <c r="E6" t="s">
        <v>2806</v>
      </c>
      <c r="F6">
        <v>1</v>
      </c>
      <c r="G6">
        <v>5</v>
      </c>
      <c r="I6" t="s">
        <v>30</v>
      </c>
      <c r="J6" t="s">
        <v>31</v>
      </c>
      <c r="K6" t="s">
        <v>32</v>
      </c>
      <c r="L6" t="s">
        <v>33</v>
      </c>
      <c r="M6">
        <v>42476</v>
      </c>
      <c r="N6">
        <v>3</v>
      </c>
      <c r="O6" t="s">
        <v>2809</v>
      </c>
      <c r="P6">
        <v>3</v>
      </c>
    </row>
    <row r="7" spans="1:16">
      <c r="A7" t="s">
        <v>14</v>
      </c>
      <c r="B7" t="s">
        <v>2856</v>
      </c>
      <c r="C7">
        <v>3</v>
      </c>
      <c r="D7" t="s">
        <v>15</v>
      </c>
      <c r="E7" t="s">
        <v>2806</v>
      </c>
      <c r="F7">
        <v>1</v>
      </c>
      <c r="G7">
        <v>6</v>
      </c>
      <c r="I7" t="s">
        <v>34</v>
      </c>
      <c r="J7" t="s">
        <v>35</v>
      </c>
      <c r="K7" t="s">
        <v>22</v>
      </c>
      <c r="L7" t="s">
        <v>36</v>
      </c>
      <c r="M7">
        <v>4320</v>
      </c>
      <c r="N7">
        <v>1</v>
      </c>
      <c r="O7" t="s">
        <v>2799</v>
      </c>
      <c r="P7">
        <v>1</v>
      </c>
    </row>
    <row r="8" spans="1:16">
      <c r="A8" t="s">
        <v>14</v>
      </c>
      <c r="B8" t="s">
        <v>2856</v>
      </c>
      <c r="C8">
        <v>3</v>
      </c>
      <c r="D8" t="s">
        <v>15</v>
      </c>
      <c r="E8" t="s">
        <v>2806</v>
      </c>
      <c r="F8">
        <v>1</v>
      </c>
      <c r="G8">
        <v>7</v>
      </c>
      <c r="I8" t="s">
        <v>37</v>
      </c>
      <c r="J8" t="s">
        <v>38</v>
      </c>
      <c r="K8" t="s">
        <v>22</v>
      </c>
      <c r="L8" t="s">
        <v>39</v>
      </c>
      <c r="M8">
        <v>33765</v>
      </c>
      <c r="N8">
        <v>2</v>
      </c>
      <c r="O8" t="s">
        <v>2810</v>
      </c>
      <c r="P8">
        <v>2</v>
      </c>
    </row>
    <row r="9" spans="1:16">
      <c r="A9" t="s">
        <v>14</v>
      </c>
      <c r="B9" t="s">
        <v>2856</v>
      </c>
      <c r="C9">
        <v>3</v>
      </c>
      <c r="D9" t="s">
        <v>15</v>
      </c>
      <c r="E9" t="s">
        <v>2806</v>
      </c>
      <c r="F9">
        <v>1</v>
      </c>
      <c r="G9">
        <v>8</v>
      </c>
      <c r="I9" t="s">
        <v>40</v>
      </c>
      <c r="J9" t="s">
        <v>41</v>
      </c>
      <c r="K9" t="s">
        <v>22</v>
      </c>
      <c r="L9" t="s">
        <v>42</v>
      </c>
      <c r="M9">
        <v>42379</v>
      </c>
      <c r="N9">
        <v>1</v>
      </c>
      <c r="O9" t="s">
        <v>2800</v>
      </c>
      <c r="P9">
        <v>1</v>
      </c>
    </row>
    <row r="10" spans="1:16">
      <c r="A10" t="s">
        <v>14</v>
      </c>
      <c r="B10" t="s">
        <v>2856</v>
      </c>
      <c r="C10">
        <v>3</v>
      </c>
      <c r="D10" t="s">
        <v>15</v>
      </c>
      <c r="E10" t="s">
        <v>2806</v>
      </c>
      <c r="F10">
        <v>1</v>
      </c>
      <c r="G10">
        <v>9</v>
      </c>
      <c r="I10" t="s">
        <v>43</v>
      </c>
      <c r="J10" t="s">
        <v>44</v>
      </c>
      <c r="K10" t="s">
        <v>22</v>
      </c>
      <c r="L10" t="s">
        <v>45</v>
      </c>
      <c r="M10">
        <v>33769</v>
      </c>
      <c r="N10">
        <v>2</v>
      </c>
      <c r="O10" t="s">
        <v>2811</v>
      </c>
      <c r="P10">
        <v>2</v>
      </c>
    </row>
    <row r="11" spans="1:16">
      <c r="A11" t="s">
        <v>14</v>
      </c>
      <c r="B11" t="s">
        <v>2856</v>
      </c>
      <c r="C11">
        <v>3</v>
      </c>
      <c r="D11" t="s">
        <v>15</v>
      </c>
      <c r="E11" t="s">
        <v>2806</v>
      </c>
      <c r="F11">
        <v>1</v>
      </c>
      <c r="G11">
        <v>10</v>
      </c>
      <c r="I11" t="s">
        <v>46</v>
      </c>
      <c r="J11" t="s">
        <v>47</v>
      </c>
      <c r="K11" t="s">
        <v>48</v>
      </c>
      <c r="L11" t="s">
        <v>49</v>
      </c>
      <c r="M11">
        <v>10481</v>
      </c>
      <c r="N11">
        <v>2</v>
      </c>
      <c r="O11" t="s">
        <v>2812</v>
      </c>
      <c r="P11">
        <v>2</v>
      </c>
    </row>
    <row r="12" spans="1:16">
      <c r="A12" t="s">
        <v>14</v>
      </c>
      <c r="B12" t="s">
        <v>2856</v>
      </c>
      <c r="C12">
        <v>3</v>
      </c>
      <c r="D12" t="s">
        <v>15</v>
      </c>
      <c r="E12" t="s">
        <v>2806</v>
      </c>
      <c r="F12">
        <v>1</v>
      </c>
      <c r="G12">
        <v>11</v>
      </c>
      <c r="I12" t="s">
        <v>50</v>
      </c>
      <c r="J12" t="s">
        <v>51</v>
      </c>
      <c r="K12" t="s">
        <v>22</v>
      </c>
      <c r="L12" t="s">
        <v>52</v>
      </c>
      <c r="M12">
        <v>42335</v>
      </c>
      <c r="N12">
        <v>4</v>
      </c>
      <c r="O12" t="s">
        <v>2813</v>
      </c>
      <c r="P12">
        <v>4</v>
      </c>
    </row>
    <row r="13" spans="1:16">
      <c r="A13" t="s">
        <v>14</v>
      </c>
      <c r="B13" t="s">
        <v>2856</v>
      </c>
      <c r="C13">
        <v>3</v>
      </c>
      <c r="D13" t="s">
        <v>15</v>
      </c>
      <c r="E13" t="s">
        <v>2806</v>
      </c>
      <c r="F13">
        <v>1</v>
      </c>
      <c r="G13">
        <v>12</v>
      </c>
      <c r="I13" t="s">
        <v>53</v>
      </c>
      <c r="J13" t="s">
        <v>54</v>
      </c>
      <c r="K13" t="s">
        <v>22</v>
      </c>
      <c r="L13" t="s">
        <v>55</v>
      </c>
      <c r="M13">
        <v>1168</v>
      </c>
      <c r="N13">
        <v>1</v>
      </c>
      <c r="O13" t="s">
        <v>2801</v>
      </c>
      <c r="P13">
        <v>1</v>
      </c>
    </row>
    <row r="14" spans="1:16">
      <c r="A14" t="s">
        <v>14</v>
      </c>
      <c r="B14" t="s">
        <v>2856</v>
      </c>
      <c r="C14">
        <v>3</v>
      </c>
      <c r="D14" t="s">
        <v>15</v>
      </c>
      <c r="E14" t="s">
        <v>2806</v>
      </c>
      <c r="F14">
        <v>1</v>
      </c>
      <c r="G14">
        <v>13</v>
      </c>
      <c r="I14" t="s">
        <v>56</v>
      </c>
      <c r="J14" t="s">
        <v>2814</v>
      </c>
      <c r="K14" t="s">
        <v>57</v>
      </c>
      <c r="L14" t="s">
        <v>58</v>
      </c>
      <c r="M14">
        <v>10424</v>
      </c>
      <c r="N14">
        <v>1</v>
      </c>
      <c r="O14" t="s">
        <v>164</v>
      </c>
      <c r="P14">
        <v>1</v>
      </c>
    </row>
    <row r="15" spans="1:16">
      <c r="A15" t="s">
        <v>14</v>
      </c>
      <c r="B15" t="s">
        <v>2856</v>
      </c>
      <c r="C15">
        <v>3</v>
      </c>
      <c r="D15" t="s">
        <v>15</v>
      </c>
      <c r="E15" t="s">
        <v>2806</v>
      </c>
      <c r="F15">
        <v>1</v>
      </c>
      <c r="G15">
        <v>14</v>
      </c>
      <c r="I15" t="s">
        <v>59</v>
      </c>
      <c r="J15" t="s">
        <v>2815</v>
      </c>
      <c r="K15" t="s">
        <v>2816</v>
      </c>
      <c r="L15" t="s">
        <v>60</v>
      </c>
      <c r="M15">
        <v>10173</v>
      </c>
      <c r="N15">
        <v>1</v>
      </c>
      <c r="O15" t="s">
        <v>322</v>
      </c>
      <c r="P15">
        <v>1</v>
      </c>
    </row>
    <row r="16" spans="1:16">
      <c r="A16" t="s">
        <v>14</v>
      </c>
      <c r="B16" t="s">
        <v>2856</v>
      </c>
      <c r="C16">
        <v>3</v>
      </c>
      <c r="D16" t="s">
        <v>15</v>
      </c>
      <c r="E16" t="s">
        <v>2806</v>
      </c>
      <c r="F16">
        <v>1</v>
      </c>
      <c r="G16">
        <v>15</v>
      </c>
      <c r="I16" t="s">
        <v>61</v>
      </c>
      <c r="J16" t="s">
        <v>62</v>
      </c>
      <c r="K16" t="s">
        <v>63</v>
      </c>
      <c r="L16" t="s">
        <v>64</v>
      </c>
      <c r="M16">
        <v>10425</v>
      </c>
      <c r="N16">
        <v>1</v>
      </c>
      <c r="O16" t="s">
        <v>2802</v>
      </c>
      <c r="P16">
        <v>1</v>
      </c>
    </row>
    <row r="17" spans="1:16">
      <c r="A17" t="s">
        <v>14</v>
      </c>
      <c r="B17" t="s">
        <v>2856</v>
      </c>
      <c r="C17">
        <v>3</v>
      </c>
      <c r="D17" t="s">
        <v>15</v>
      </c>
      <c r="E17" t="s">
        <v>2806</v>
      </c>
      <c r="F17">
        <v>1</v>
      </c>
      <c r="G17">
        <v>16</v>
      </c>
      <c r="I17" t="s">
        <v>65</v>
      </c>
      <c r="J17" t="s">
        <v>2817</v>
      </c>
      <c r="K17" t="s">
        <v>2818</v>
      </c>
      <c r="L17" t="s">
        <v>66</v>
      </c>
      <c r="M17">
        <v>42391</v>
      </c>
      <c r="N17">
        <v>1</v>
      </c>
      <c r="O17" t="s">
        <v>173</v>
      </c>
      <c r="P17">
        <v>1</v>
      </c>
    </row>
    <row r="18" spans="1:16">
      <c r="A18" t="s">
        <v>14</v>
      </c>
      <c r="B18" t="s">
        <v>2856</v>
      </c>
      <c r="C18">
        <v>3</v>
      </c>
      <c r="D18" t="s">
        <v>15</v>
      </c>
      <c r="E18" t="s">
        <v>2806</v>
      </c>
      <c r="F18">
        <v>1</v>
      </c>
      <c r="G18">
        <v>17</v>
      </c>
      <c r="I18" t="s">
        <v>67</v>
      </c>
      <c r="J18" t="s">
        <v>2819</v>
      </c>
      <c r="K18" t="s">
        <v>63</v>
      </c>
      <c r="L18" t="s">
        <v>68</v>
      </c>
      <c r="M18">
        <v>10428</v>
      </c>
      <c r="N18">
        <v>2</v>
      </c>
      <c r="O18" t="s">
        <v>2820</v>
      </c>
      <c r="P18">
        <v>2</v>
      </c>
    </row>
    <row r="19" spans="1:16">
      <c r="A19" t="s">
        <v>14</v>
      </c>
      <c r="B19" t="s">
        <v>2856</v>
      </c>
      <c r="C19">
        <v>3</v>
      </c>
      <c r="D19" t="s">
        <v>15</v>
      </c>
      <c r="E19" t="s">
        <v>2806</v>
      </c>
      <c r="F19">
        <v>1</v>
      </c>
      <c r="G19">
        <v>18</v>
      </c>
      <c r="I19" t="s">
        <v>69</v>
      </c>
      <c r="J19" t="s">
        <v>2821</v>
      </c>
      <c r="K19" t="s">
        <v>70</v>
      </c>
      <c r="L19" t="s">
        <v>71</v>
      </c>
      <c r="M19">
        <v>10432</v>
      </c>
      <c r="N19">
        <v>2</v>
      </c>
      <c r="O19" t="s">
        <v>2822</v>
      </c>
      <c r="P19">
        <v>2</v>
      </c>
    </row>
    <row r="20" spans="1:16">
      <c r="A20" t="s">
        <v>14</v>
      </c>
      <c r="B20" t="s">
        <v>2856</v>
      </c>
      <c r="C20">
        <v>3</v>
      </c>
      <c r="D20" t="s">
        <v>15</v>
      </c>
      <c r="E20" t="s">
        <v>2806</v>
      </c>
      <c r="F20">
        <v>1</v>
      </c>
      <c r="G20">
        <v>19</v>
      </c>
      <c r="I20" t="s">
        <v>72</v>
      </c>
      <c r="J20" t="s">
        <v>2823</v>
      </c>
      <c r="K20" t="s">
        <v>73</v>
      </c>
      <c r="L20" t="s">
        <v>74</v>
      </c>
      <c r="M20">
        <v>10163</v>
      </c>
      <c r="N20">
        <v>2</v>
      </c>
      <c r="O20" t="s">
        <v>2824</v>
      </c>
      <c r="P20">
        <v>2</v>
      </c>
    </row>
    <row r="21" spans="1:16">
      <c r="A21" t="s">
        <v>14</v>
      </c>
      <c r="B21" t="s">
        <v>2856</v>
      </c>
      <c r="C21">
        <v>3</v>
      </c>
      <c r="D21" t="s">
        <v>15</v>
      </c>
      <c r="E21" t="s">
        <v>2806</v>
      </c>
      <c r="F21">
        <v>1</v>
      </c>
      <c r="G21">
        <v>20</v>
      </c>
      <c r="I21" t="s">
        <v>75</v>
      </c>
      <c r="J21" t="s">
        <v>76</v>
      </c>
      <c r="M21">
        <v>10522</v>
      </c>
      <c r="N21">
        <v>4</v>
      </c>
      <c r="O21" t="s">
        <v>2825</v>
      </c>
      <c r="P21">
        <v>4</v>
      </c>
    </row>
    <row r="22" spans="1:16">
      <c r="A22" t="s">
        <v>14</v>
      </c>
      <c r="B22" t="s">
        <v>2856</v>
      </c>
      <c r="C22">
        <v>3</v>
      </c>
      <c r="D22" t="s">
        <v>15</v>
      </c>
      <c r="E22" t="s">
        <v>2806</v>
      </c>
      <c r="F22">
        <v>1</v>
      </c>
      <c r="G22">
        <v>21</v>
      </c>
      <c r="I22" t="s">
        <v>2826</v>
      </c>
      <c r="J22" t="s">
        <v>2827</v>
      </c>
      <c r="K22" t="s">
        <v>77</v>
      </c>
      <c r="L22" t="s">
        <v>78</v>
      </c>
      <c r="M22">
        <v>10355</v>
      </c>
      <c r="N22">
        <v>1</v>
      </c>
      <c r="O22" t="s">
        <v>2803</v>
      </c>
      <c r="P22">
        <v>1</v>
      </c>
    </row>
    <row r="23" spans="1:16">
      <c r="A23" t="s">
        <v>14</v>
      </c>
      <c r="B23" t="s">
        <v>2856</v>
      </c>
      <c r="C23">
        <v>3</v>
      </c>
      <c r="D23" t="s">
        <v>15</v>
      </c>
      <c r="E23" t="s">
        <v>2806</v>
      </c>
      <c r="F23">
        <v>1</v>
      </c>
      <c r="G23">
        <v>22</v>
      </c>
      <c r="I23" t="s">
        <v>79</v>
      </c>
      <c r="J23" t="s">
        <v>2828</v>
      </c>
      <c r="K23" t="s">
        <v>77</v>
      </c>
      <c r="L23" t="s">
        <v>80</v>
      </c>
      <c r="M23">
        <v>10354</v>
      </c>
      <c r="N23">
        <v>2</v>
      </c>
      <c r="O23" t="s">
        <v>2829</v>
      </c>
      <c r="P23">
        <v>2</v>
      </c>
    </row>
    <row r="24" spans="1:16">
      <c r="A24" t="s">
        <v>14</v>
      </c>
      <c r="B24" t="s">
        <v>2856</v>
      </c>
      <c r="C24">
        <v>3</v>
      </c>
      <c r="D24" t="s">
        <v>15</v>
      </c>
      <c r="E24" t="s">
        <v>2806</v>
      </c>
      <c r="F24">
        <v>1</v>
      </c>
      <c r="G24">
        <v>23</v>
      </c>
      <c r="I24" t="s">
        <v>81</v>
      </c>
      <c r="J24" t="s">
        <v>82</v>
      </c>
      <c r="K24" t="s">
        <v>77</v>
      </c>
      <c r="L24" t="s">
        <v>83</v>
      </c>
      <c r="M24">
        <v>10416</v>
      </c>
      <c r="N24">
        <v>2</v>
      </c>
      <c r="O24" t="s">
        <v>2830</v>
      </c>
      <c r="P24">
        <v>2</v>
      </c>
    </row>
    <row r="25" spans="1:16">
      <c r="A25" t="s">
        <v>14</v>
      </c>
      <c r="B25" t="s">
        <v>2856</v>
      </c>
      <c r="C25">
        <v>3</v>
      </c>
      <c r="D25" t="s">
        <v>15</v>
      </c>
      <c r="E25" t="s">
        <v>2806</v>
      </c>
      <c r="F25">
        <v>1</v>
      </c>
      <c r="G25">
        <v>24</v>
      </c>
      <c r="I25" t="s">
        <v>84</v>
      </c>
      <c r="M25">
        <v>10295</v>
      </c>
      <c r="N25">
        <v>8</v>
      </c>
      <c r="O25" t="s">
        <v>2831</v>
      </c>
      <c r="P25">
        <v>8</v>
      </c>
    </row>
    <row r="26" spans="1:16">
      <c r="A26" t="s">
        <v>14</v>
      </c>
      <c r="B26" t="s">
        <v>2856</v>
      </c>
      <c r="C26">
        <v>3</v>
      </c>
      <c r="D26" t="s">
        <v>15</v>
      </c>
      <c r="E26" t="s">
        <v>2806</v>
      </c>
      <c r="F26">
        <v>1</v>
      </c>
      <c r="G26">
        <v>25</v>
      </c>
      <c r="I26" t="s">
        <v>85</v>
      </c>
      <c r="M26">
        <v>310</v>
      </c>
      <c r="N26">
        <v>7</v>
      </c>
      <c r="O26" t="s">
        <v>2832</v>
      </c>
      <c r="P26">
        <v>7</v>
      </c>
    </row>
    <row r="27" spans="1:16">
      <c r="A27" t="s">
        <v>14</v>
      </c>
      <c r="B27" t="s">
        <v>2856</v>
      </c>
      <c r="C27">
        <v>3</v>
      </c>
      <c r="D27" t="s">
        <v>15</v>
      </c>
      <c r="E27" t="s">
        <v>2806</v>
      </c>
      <c r="F27">
        <v>1</v>
      </c>
      <c r="G27">
        <v>26</v>
      </c>
      <c r="I27" t="s">
        <v>86</v>
      </c>
      <c r="J27" t="s">
        <v>87</v>
      </c>
      <c r="K27" t="s">
        <v>48</v>
      </c>
      <c r="L27" t="s">
        <v>88</v>
      </c>
      <c r="M27">
        <v>39677</v>
      </c>
      <c r="N27">
        <v>4</v>
      </c>
      <c r="O27" t="s">
        <v>1142</v>
      </c>
      <c r="P27">
        <v>4</v>
      </c>
    </row>
    <row r="28" spans="1:16">
      <c r="A28" t="s">
        <v>14</v>
      </c>
      <c r="B28" t="s">
        <v>2856</v>
      </c>
      <c r="C28">
        <v>3</v>
      </c>
      <c r="D28" t="s">
        <v>15</v>
      </c>
      <c r="E28" t="s">
        <v>2806</v>
      </c>
      <c r="F28">
        <v>1</v>
      </c>
      <c r="G28">
        <v>27</v>
      </c>
      <c r="I28" t="s">
        <v>89</v>
      </c>
      <c r="J28" t="s">
        <v>90</v>
      </c>
      <c r="K28" t="s">
        <v>48</v>
      </c>
      <c r="L28" t="s">
        <v>91</v>
      </c>
      <c r="M28">
        <v>40058</v>
      </c>
      <c r="N28">
        <v>6</v>
      </c>
      <c r="O28" t="s">
        <v>2833</v>
      </c>
      <c r="P28">
        <v>6</v>
      </c>
    </row>
    <row r="29" spans="1:16">
      <c r="A29" t="s">
        <v>14</v>
      </c>
      <c r="B29" t="s">
        <v>2856</v>
      </c>
      <c r="C29">
        <v>3</v>
      </c>
      <c r="D29" t="s">
        <v>15</v>
      </c>
      <c r="E29" t="s">
        <v>2806</v>
      </c>
      <c r="F29">
        <v>1</v>
      </c>
      <c r="G29">
        <v>28</v>
      </c>
      <c r="I29" t="s">
        <v>92</v>
      </c>
      <c r="J29" t="s">
        <v>2834</v>
      </c>
      <c r="K29" t="s">
        <v>48</v>
      </c>
      <c r="L29" t="s">
        <v>93</v>
      </c>
      <c r="M29">
        <v>39659</v>
      </c>
      <c r="N29">
        <v>1</v>
      </c>
      <c r="O29" t="s">
        <v>828</v>
      </c>
      <c r="P29">
        <v>1</v>
      </c>
    </row>
    <row r="30" spans="1:16">
      <c r="A30" t="s">
        <v>14</v>
      </c>
      <c r="B30" t="s">
        <v>2856</v>
      </c>
      <c r="C30">
        <v>3</v>
      </c>
      <c r="D30" t="s">
        <v>15</v>
      </c>
      <c r="E30" t="s">
        <v>2806</v>
      </c>
      <c r="F30">
        <v>1</v>
      </c>
      <c r="G30">
        <v>29</v>
      </c>
      <c r="I30" t="s">
        <v>94</v>
      </c>
      <c r="J30" t="s">
        <v>95</v>
      </c>
      <c r="K30" t="s">
        <v>48</v>
      </c>
      <c r="L30" t="s">
        <v>96</v>
      </c>
      <c r="M30">
        <v>16369</v>
      </c>
      <c r="N30">
        <v>2</v>
      </c>
      <c r="O30" t="s">
        <v>2835</v>
      </c>
      <c r="P30">
        <v>2</v>
      </c>
    </row>
    <row r="31" spans="1:16">
      <c r="A31" t="s">
        <v>14</v>
      </c>
      <c r="B31" t="s">
        <v>2856</v>
      </c>
      <c r="C31">
        <v>3</v>
      </c>
      <c r="D31" t="s">
        <v>15</v>
      </c>
      <c r="E31" t="s">
        <v>2806</v>
      </c>
      <c r="F31">
        <v>1</v>
      </c>
      <c r="G31">
        <v>30</v>
      </c>
      <c r="I31" t="s">
        <v>94</v>
      </c>
      <c r="J31" t="s">
        <v>95</v>
      </c>
      <c r="K31" t="s">
        <v>48</v>
      </c>
      <c r="L31" t="s">
        <v>96</v>
      </c>
      <c r="M31">
        <v>16369</v>
      </c>
      <c r="N31">
        <v>1</v>
      </c>
      <c r="O31" t="s">
        <v>2804</v>
      </c>
      <c r="P31">
        <v>1</v>
      </c>
    </row>
    <row r="32" spans="1:16">
      <c r="A32" t="s">
        <v>14</v>
      </c>
      <c r="B32" t="s">
        <v>2856</v>
      </c>
      <c r="C32">
        <v>3</v>
      </c>
      <c r="D32" t="s">
        <v>15</v>
      </c>
      <c r="E32" t="s">
        <v>2806</v>
      </c>
      <c r="F32">
        <v>1</v>
      </c>
      <c r="G32">
        <v>31</v>
      </c>
      <c r="I32" t="s">
        <v>97</v>
      </c>
      <c r="J32" t="s">
        <v>2836</v>
      </c>
      <c r="K32" t="s">
        <v>48</v>
      </c>
      <c r="L32" t="s">
        <v>98</v>
      </c>
      <c r="M32">
        <v>40583</v>
      </c>
      <c r="N32">
        <v>4</v>
      </c>
      <c r="O32" t="s">
        <v>2837</v>
      </c>
      <c r="P32">
        <v>4</v>
      </c>
    </row>
    <row r="33" spans="1:16">
      <c r="A33" t="s">
        <v>14</v>
      </c>
      <c r="B33" t="s">
        <v>2856</v>
      </c>
      <c r="C33">
        <v>3</v>
      </c>
      <c r="D33" t="s">
        <v>15</v>
      </c>
      <c r="E33" t="s">
        <v>2806</v>
      </c>
      <c r="F33">
        <v>1</v>
      </c>
      <c r="G33">
        <v>32</v>
      </c>
      <c r="I33" t="s">
        <v>2838</v>
      </c>
      <c r="J33" t="s">
        <v>2839</v>
      </c>
      <c r="K33" t="s">
        <v>48</v>
      </c>
      <c r="L33" t="s">
        <v>99</v>
      </c>
      <c r="M33">
        <v>26159</v>
      </c>
      <c r="N33">
        <v>2</v>
      </c>
      <c r="O33" t="s">
        <v>2840</v>
      </c>
      <c r="P33">
        <v>2</v>
      </c>
    </row>
    <row r="34" spans="1:16">
      <c r="A34" t="s">
        <v>14</v>
      </c>
      <c r="B34" t="s">
        <v>2856</v>
      </c>
      <c r="C34">
        <v>3</v>
      </c>
      <c r="D34" t="s">
        <v>15</v>
      </c>
      <c r="E34" t="s">
        <v>2806</v>
      </c>
      <c r="F34">
        <v>1</v>
      </c>
      <c r="G34">
        <v>33</v>
      </c>
      <c r="I34" t="s">
        <v>100</v>
      </c>
      <c r="J34" t="s">
        <v>2841</v>
      </c>
      <c r="K34" t="s">
        <v>48</v>
      </c>
      <c r="L34" t="s">
        <v>101</v>
      </c>
      <c r="M34">
        <v>40160</v>
      </c>
      <c r="N34">
        <v>4</v>
      </c>
      <c r="O34" t="s">
        <v>2842</v>
      </c>
      <c r="P34">
        <v>4</v>
      </c>
    </row>
    <row r="35" spans="1:16">
      <c r="A35" t="s">
        <v>14</v>
      </c>
      <c r="B35" t="s">
        <v>2856</v>
      </c>
      <c r="C35">
        <v>3</v>
      </c>
      <c r="D35" t="s">
        <v>15</v>
      </c>
      <c r="E35" t="s">
        <v>2806</v>
      </c>
      <c r="F35">
        <v>1</v>
      </c>
      <c r="G35">
        <v>34</v>
      </c>
      <c r="I35" t="s">
        <v>102</v>
      </c>
      <c r="J35" t="s">
        <v>2843</v>
      </c>
      <c r="K35" t="s">
        <v>103</v>
      </c>
      <c r="L35" t="s">
        <v>104</v>
      </c>
      <c r="M35">
        <v>2554</v>
      </c>
      <c r="N35">
        <v>3</v>
      </c>
      <c r="O35" t="s">
        <v>2844</v>
      </c>
      <c r="P35">
        <v>3</v>
      </c>
    </row>
    <row r="36" spans="1:16">
      <c r="A36" t="s">
        <v>14</v>
      </c>
      <c r="B36" t="s">
        <v>2856</v>
      </c>
      <c r="C36">
        <v>3</v>
      </c>
      <c r="D36" t="s">
        <v>15</v>
      </c>
      <c r="E36" t="s">
        <v>2806</v>
      </c>
      <c r="F36">
        <v>1</v>
      </c>
      <c r="G36">
        <v>35</v>
      </c>
      <c r="I36" t="s">
        <v>105</v>
      </c>
      <c r="J36" t="s">
        <v>2845</v>
      </c>
      <c r="K36" t="s">
        <v>48</v>
      </c>
      <c r="L36" t="s">
        <v>106</v>
      </c>
      <c r="M36">
        <v>27546</v>
      </c>
      <c r="N36">
        <v>2</v>
      </c>
      <c r="O36" t="s">
        <v>2846</v>
      </c>
      <c r="P36">
        <v>2</v>
      </c>
    </row>
    <row r="37" spans="1:16">
      <c r="A37" t="s">
        <v>14</v>
      </c>
      <c r="B37" t="s">
        <v>2856</v>
      </c>
      <c r="C37">
        <v>3</v>
      </c>
      <c r="D37" t="s">
        <v>15</v>
      </c>
      <c r="E37" t="s">
        <v>2806</v>
      </c>
      <c r="F37">
        <v>1</v>
      </c>
      <c r="G37">
        <v>36</v>
      </c>
      <c r="I37" t="s">
        <v>2847</v>
      </c>
      <c r="J37" t="s">
        <v>107</v>
      </c>
      <c r="K37" t="s">
        <v>108</v>
      </c>
      <c r="L37" t="s">
        <v>109</v>
      </c>
      <c r="M37">
        <v>1266</v>
      </c>
      <c r="N37">
        <v>2</v>
      </c>
      <c r="O37" t="s">
        <v>2848</v>
      </c>
      <c r="P37">
        <v>2</v>
      </c>
    </row>
    <row r="38" spans="1:16">
      <c r="A38" t="s">
        <v>14</v>
      </c>
      <c r="B38" t="s">
        <v>2856</v>
      </c>
      <c r="C38">
        <v>3</v>
      </c>
      <c r="D38" t="s">
        <v>15</v>
      </c>
      <c r="E38" t="s">
        <v>2806</v>
      </c>
      <c r="F38">
        <v>1</v>
      </c>
      <c r="G38">
        <v>37</v>
      </c>
      <c r="I38" t="s">
        <v>110</v>
      </c>
      <c r="J38" t="s">
        <v>111</v>
      </c>
      <c r="K38" t="s">
        <v>108</v>
      </c>
      <c r="L38" t="s">
        <v>112</v>
      </c>
      <c r="M38">
        <v>5636</v>
      </c>
      <c r="N38">
        <v>2</v>
      </c>
      <c r="O38" t="s">
        <v>2849</v>
      </c>
      <c r="P38">
        <v>2</v>
      </c>
    </row>
    <row r="39" spans="1:16">
      <c r="A39" t="s">
        <v>14</v>
      </c>
      <c r="B39" t="s">
        <v>2856</v>
      </c>
      <c r="C39">
        <v>3</v>
      </c>
      <c r="D39" t="s">
        <v>15</v>
      </c>
      <c r="E39" t="s">
        <v>2806</v>
      </c>
      <c r="F39">
        <v>1</v>
      </c>
      <c r="G39">
        <v>38</v>
      </c>
      <c r="I39" t="s">
        <v>113</v>
      </c>
      <c r="J39" t="s">
        <v>2850</v>
      </c>
      <c r="K39" t="s">
        <v>114</v>
      </c>
      <c r="L39" t="s">
        <v>115</v>
      </c>
      <c r="M39">
        <v>10418</v>
      </c>
      <c r="N39">
        <v>2</v>
      </c>
      <c r="O39" t="s">
        <v>2851</v>
      </c>
      <c r="P39">
        <v>2</v>
      </c>
    </row>
    <row r="40" spans="1:16">
      <c r="A40" t="s">
        <v>14</v>
      </c>
      <c r="B40" t="s">
        <v>2856</v>
      </c>
      <c r="C40">
        <v>3</v>
      </c>
      <c r="D40" t="s">
        <v>15</v>
      </c>
      <c r="E40" t="s">
        <v>2806</v>
      </c>
      <c r="F40">
        <v>1</v>
      </c>
      <c r="G40">
        <v>39</v>
      </c>
      <c r="I40" t="s">
        <v>116</v>
      </c>
      <c r="J40" t="s">
        <v>117</v>
      </c>
      <c r="K40" t="s">
        <v>118</v>
      </c>
      <c r="L40" t="s">
        <v>119</v>
      </c>
      <c r="M40">
        <v>33782</v>
      </c>
      <c r="N40">
        <v>2</v>
      </c>
      <c r="O40" t="s">
        <v>1437</v>
      </c>
      <c r="P40">
        <v>2</v>
      </c>
    </row>
    <row r="41" spans="1:16">
      <c r="A41" t="s">
        <v>14</v>
      </c>
      <c r="B41" t="s">
        <v>2856</v>
      </c>
      <c r="C41">
        <v>3</v>
      </c>
      <c r="D41" t="s">
        <v>15</v>
      </c>
      <c r="E41" t="s">
        <v>2806</v>
      </c>
      <c r="F41">
        <v>1</v>
      </c>
      <c r="G41">
        <v>40</v>
      </c>
      <c r="I41" t="s">
        <v>120</v>
      </c>
      <c r="J41" t="s">
        <v>121</v>
      </c>
      <c r="K41" t="s">
        <v>122</v>
      </c>
      <c r="L41" t="s">
        <v>123</v>
      </c>
      <c r="M41">
        <v>10350</v>
      </c>
      <c r="N41">
        <v>2</v>
      </c>
      <c r="O41" t="s">
        <v>2852</v>
      </c>
      <c r="P41">
        <v>2</v>
      </c>
    </row>
    <row r="42" spans="1:16">
      <c r="A42" t="s">
        <v>14</v>
      </c>
      <c r="B42" t="s">
        <v>2856</v>
      </c>
      <c r="C42">
        <v>3</v>
      </c>
      <c r="D42" t="s">
        <v>15</v>
      </c>
      <c r="E42" t="s">
        <v>2806</v>
      </c>
      <c r="F42">
        <v>1</v>
      </c>
      <c r="G42">
        <v>41</v>
      </c>
      <c r="I42" t="s">
        <v>124</v>
      </c>
      <c r="J42" t="s">
        <v>125</v>
      </c>
      <c r="K42" t="s">
        <v>126</v>
      </c>
      <c r="L42" t="s">
        <v>127</v>
      </c>
      <c r="M42">
        <v>33785</v>
      </c>
      <c r="N42">
        <v>1</v>
      </c>
      <c r="O42" t="s">
        <v>2805</v>
      </c>
      <c r="P42">
        <v>1</v>
      </c>
    </row>
    <row r="43" spans="1:16">
      <c r="A43" t="s">
        <v>14</v>
      </c>
      <c r="B43" t="s">
        <v>2856</v>
      </c>
      <c r="C43">
        <v>3</v>
      </c>
      <c r="D43" t="s">
        <v>15</v>
      </c>
      <c r="E43" t="s">
        <v>2806</v>
      </c>
      <c r="F43">
        <v>1</v>
      </c>
      <c r="G43">
        <v>42</v>
      </c>
      <c r="I43" t="s">
        <v>128</v>
      </c>
      <c r="J43" t="s">
        <v>129</v>
      </c>
      <c r="K43" t="s">
        <v>2853</v>
      </c>
      <c r="L43" t="s">
        <v>130</v>
      </c>
      <c r="M43">
        <v>42433</v>
      </c>
      <c r="N43">
        <v>2</v>
      </c>
      <c r="O43" t="s">
        <v>2854</v>
      </c>
      <c r="P43">
        <v>2</v>
      </c>
    </row>
    <row r="44" spans="1:16">
      <c r="A44" t="s">
        <v>14</v>
      </c>
      <c r="B44" t="s">
        <v>2856</v>
      </c>
      <c r="C44">
        <v>3</v>
      </c>
      <c r="D44" t="s">
        <v>15</v>
      </c>
      <c r="E44" t="s">
        <v>2806</v>
      </c>
      <c r="F44">
        <v>1</v>
      </c>
      <c r="G44">
        <v>43</v>
      </c>
      <c r="I44" t="s">
        <v>131</v>
      </c>
      <c r="J44" t="s">
        <v>132</v>
      </c>
      <c r="K44" t="s">
        <v>133</v>
      </c>
      <c r="L44" t="s">
        <v>134</v>
      </c>
      <c r="M44">
        <v>10415</v>
      </c>
      <c r="N44">
        <v>3</v>
      </c>
      <c r="O44" t="s">
        <v>2855</v>
      </c>
      <c r="P44">
        <v>3</v>
      </c>
    </row>
    <row r="45" spans="1:16">
      <c r="A45" t="s">
        <v>14</v>
      </c>
      <c r="B45" t="s">
        <v>2856</v>
      </c>
      <c r="C45">
        <v>3</v>
      </c>
      <c r="D45" t="s">
        <v>15</v>
      </c>
      <c r="E45" t="s">
        <v>2806</v>
      </c>
      <c r="F45">
        <v>1</v>
      </c>
      <c r="G45">
        <v>44</v>
      </c>
      <c r="I45" t="s">
        <v>135</v>
      </c>
      <c r="J45" t="s">
        <v>136</v>
      </c>
      <c r="K45" t="s">
        <v>137</v>
      </c>
      <c r="L45" t="s">
        <v>138</v>
      </c>
      <c r="M45">
        <v>10437</v>
      </c>
      <c r="N45">
        <v>1</v>
      </c>
      <c r="O45" t="s">
        <v>524</v>
      </c>
      <c r="P45">
        <v>1</v>
      </c>
    </row>
    <row r="46" spans="1:16">
      <c r="N46" s="32">
        <f>SUM(N2:N45)</f>
        <v>132</v>
      </c>
      <c r="P46" s="32">
        <f>SUM(P2:P45)</f>
        <v>132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O85"/>
  <sheetViews>
    <sheetView topLeftCell="D1" zoomScaleNormal="100" workbookViewId="0">
      <selection activeCell="N38" sqref="N38"/>
    </sheetView>
  </sheetViews>
  <sheetFormatPr defaultColWidth="8.85546875" defaultRowHeight="15"/>
  <cols>
    <col min="1" max="1" width="42.85546875" style="10" customWidth="1"/>
    <col min="2" max="2" width="27" style="10" customWidth="1"/>
    <col min="3" max="3" width="30.28515625" style="10" customWidth="1"/>
    <col min="4" max="4" width="35.5703125" style="10" customWidth="1"/>
    <col min="5" max="5" width="29.7109375" style="10" customWidth="1"/>
    <col min="6" max="6" width="22.42578125" style="10" customWidth="1"/>
    <col min="7" max="8" width="8.85546875" style="10"/>
    <col min="9" max="9" width="48.7109375" style="10" customWidth="1"/>
    <col min="10" max="10" width="39.42578125" style="10" customWidth="1"/>
    <col min="11" max="16384" width="8.85546875" style="10"/>
  </cols>
  <sheetData>
    <row r="1" spans="1:1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</row>
    <row r="2" spans="1:15" s="8" customFormat="1">
      <c r="A2" s="2" t="s">
        <v>141</v>
      </c>
      <c r="B2" s="2" t="s">
        <v>2856</v>
      </c>
      <c r="C2" s="2">
        <v>1</v>
      </c>
      <c r="D2" s="2" t="s">
        <v>142</v>
      </c>
      <c r="E2" s="2" t="s">
        <v>2857</v>
      </c>
      <c r="F2" s="2">
        <v>2</v>
      </c>
      <c r="G2" s="2">
        <v>1</v>
      </c>
      <c r="H2" s="2"/>
      <c r="I2" s="2" t="s">
        <v>16</v>
      </c>
      <c r="J2" s="2" t="s">
        <v>17</v>
      </c>
      <c r="K2" s="2" t="s">
        <v>18</v>
      </c>
      <c r="L2" s="2" t="s">
        <v>19</v>
      </c>
      <c r="M2" s="2">
        <v>10191</v>
      </c>
      <c r="N2" s="2">
        <v>1</v>
      </c>
      <c r="O2" s="2" t="s">
        <v>143</v>
      </c>
    </row>
    <row r="3" spans="1:15">
      <c r="A3" t="s">
        <v>141</v>
      </c>
      <c r="B3" t="s">
        <v>2856</v>
      </c>
      <c r="C3">
        <v>1</v>
      </c>
      <c r="D3" t="s">
        <v>142</v>
      </c>
      <c r="E3" t="s">
        <v>2857</v>
      </c>
      <c r="F3">
        <v>2</v>
      </c>
      <c r="G3">
        <v>2</v>
      </c>
      <c r="H3"/>
      <c r="I3" t="s">
        <v>30</v>
      </c>
      <c r="J3" t="s">
        <v>31</v>
      </c>
      <c r="K3" t="s">
        <v>32</v>
      </c>
      <c r="L3" t="s">
        <v>33</v>
      </c>
      <c r="M3">
        <v>42476</v>
      </c>
      <c r="N3">
        <v>11</v>
      </c>
      <c r="O3" t="s">
        <v>144</v>
      </c>
    </row>
    <row r="4" spans="1:15">
      <c r="A4" t="s">
        <v>141</v>
      </c>
      <c r="B4" t="s">
        <v>2856</v>
      </c>
      <c r="C4">
        <v>1</v>
      </c>
      <c r="D4" t="s">
        <v>142</v>
      </c>
      <c r="E4" t="s">
        <v>2857</v>
      </c>
      <c r="F4">
        <v>2</v>
      </c>
      <c r="G4">
        <v>3</v>
      </c>
      <c r="H4"/>
      <c r="I4" t="s">
        <v>145</v>
      </c>
      <c r="J4" t="s">
        <v>146</v>
      </c>
      <c r="K4" t="s">
        <v>22</v>
      </c>
      <c r="L4" t="s">
        <v>147</v>
      </c>
      <c r="M4">
        <v>33885</v>
      </c>
      <c r="N4">
        <v>22</v>
      </c>
      <c r="O4" t="s">
        <v>148</v>
      </c>
    </row>
    <row r="5" spans="1:15">
      <c r="A5" t="s">
        <v>141</v>
      </c>
      <c r="B5" t="s">
        <v>2856</v>
      </c>
      <c r="C5">
        <v>1</v>
      </c>
      <c r="D5" t="s">
        <v>142</v>
      </c>
      <c r="E5" t="s">
        <v>2857</v>
      </c>
      <c r="F5">
        <v>2</v>
      </c>
      <c r="G5">
        <v>4</v>
      </c>
      <c r="H5"/>
      <c r="I5" t="s">
        <v>24</v>
      </c>
      <c r="J5" t="s">
        <v>25</v>
      </c>
      <c r="K5" t="s">
        <v>22</v>
      </c>
      <c r="L5" t="s">
        <v>26</v>
      </c>
      <c r="M5">
        <v>2054</v>
      </c>
      <c r="N5">
        <v>27</v>
      </c>
      <c r="O5" t="s">
        <v>149</v>
      </c>
    </row>
    <row r="6" spans="1:15">
      <c r="A6" t="s">
        <v>141</v>
      </c>
      <c r="B6" t="s">
        <v>2856</v>
      </c>
      <c r="C6">
        <v>1</v>
      </c>
      <c r="D6" t="s">
        <v>142</v>
      </c>
      <c r="E6" t="s">
        <v>2857</v>
      </c>
      <c r="F6">
        <v>2</v>
      </c>
      <c r="G6">
        <v>5</v>
      </c>
      <c r="H6"/>
      <c r="I6" t="s">
        <v>150</v>
      </c>
      <c r="J6" t="s">
        <v>2858</v>
      </c>
      <c r="K6" t="s">
        <v>151</v>
      </c>
      <c r="L6" t="s">
        <v>152</v>
      </c>
      <c r="M6">
        <v>1256</v>
      </c>
      <c r="N6">
        <v>15</v>
      </c>
      <c r="O6" t="s">
        <v>153</v>
      </c>
    </row>
    <row r="7" spans="1:15">
      <c r="A7" t="s">
        <v>141</v>
      </c>
      <c r="B7" t="s">
        <v>2856</v>
      </c>
      <c r="C7">
        <v>1</v>
      </c>
      <c r="D7" t="s">
        <v>142</v>
      </c>
      <c r="E7" t="s">
        <v>2857</v>
      </c>
      <c r="F7">
        <v>2</v>
      </c>
      <c r="G7">
        <v>6</v>
      </c>
      <c r="H7"/>
      <c r="I7" t="s">
        <v>37</v>
      </c>
      <c r="J7" t="s">
        <v>38</v>
      </c>
      <c r="K7" t="s">
        <v>22</v>
      </c>
      <c r="L7" t="s">
        <v>39</v>
      </c>
      <c r="M7">
        <v>33765</v>
      </c>
      <c r="N7">
        <v>2</v>
      </c>
      <c r="O7" t="s">
        <v>154</v>
      </c>
    </row>
    <row r="8" spans="1:15">
      <c r="A8" t="s">
        <v>141</v>
      </c>
      <c r="B8" t="s">
        <v>2856</v>
      </c>
      <c r="C8">
        <v>1</v>
      </c>
      <c r="D8" t="s">
        <v>142</v>
      </c>
      <c r="E8" t="s">
        <v>2857</v>
      </c>
      <c r="F8">
        <v>2</v>
      </c>
      <c r="G8">
        <v>7</v>
      </c>
      <c r="H8"/>
      <c r="I8" t="s">
        <v>155</v>
      </c>
      <c r="J8" t="s">
        <v>156</v>
      </c>
      <c r="K8" t="s">
        <v>22</v>
      </c>
      <c r="L8" t="s">
        <v>157</v>
      </c>
      <c r="M8">
        <v>3995</v>
      </c>
      <c r="N8">
        <v>1</v>
      </c>
      <c r="O8" t="s">
        <v>158</v>
      </c>
    </row>
    <row r="9" spans="1:15">
      <c r="A9" t="s">
        <v>141</v>
      </c>
      <c r="B9" t="s">
        <v>2856</v>
      </c>
      <c r="C9">
        <v>1</v>
      </c>
      <c r="D9" t="s">
        <v>142</v>
      </c>
      <c r="E9" t="s">
        <v>2857</v>
      </c>
      <c r="F9">
        <v>2</v>
      </c>
      <c r="G9">
        <v>8</v>
      </c>
      <c r="H9"/>
      <c r="I9" t="s">
        <v>50</v>
      </c>
      <c r="J9" t="s">
        <v>51</v>
      </c>
      <c r="K9" t="s">
        <v>22</v>
      </c>
      <c r="L9" t="s">
        <v>52</v>
      </c>
      <c r="M9">
        <v>42335</v>
      </c>
      <c r="N9">
        <v>8</v>
      </c>
      <c r="O9" t="s">
        <v>159</v>
      </c>
    </row>
    <row r="10" spans="1:15">
      <c r="A10" t="s">
        <v>141</v>
      </c>
      <c r="B10" t="s">
        <v>2856</v>
      </c>
      <c r="C10">
        <v>1</v>
      </c>
      <c r="D10" t="s">
        <v>142</v>
      </c>
      <c r="E10" t="s">
        <v>2857</v>
      </c>
      <c r="F10">
        <v>2</v>
      </c>
      <c r="G10">
        <v>9</v>
      </c>
      <c r="H10"/>
      <c r="I10" t="s">
        <v>2859</v>
      </c>
      <c r="J10" t="s">
        <v>47</v>
      </c>
      <c r="K10" t="s">
        <v>48</v>
      </c>
      <c r="L10" t="s">
        <v>49</v>
      </c>
      <c r="M10">
        <v>10481</v>
      </c>
      <c r="N10">
        <v>3</v>
      </c>
      <c r="O10" t="s">
        <v>160</v>
      </c>
    </row>
    <row r="11" spans="1:15">
      <c r="A11" t="s">
        <v>141</v>
      </c>
      <c r="B11" t="s">
        <v>2856</v>
      </c>
      <c r="C11">
        <v>1</v>
      </c>
      <c r="D11" t="s">
        <v>142</v>
      </c>
      <c r="E11" t="s">
        <v>2857</v>
      </c>
      <c r="F11">
        <v>2</v>
      </c>
      <c r="G11">
        <v>10</v>
      </c>
      <c r="H11"/>
      <c r="I11" t="s">
        <v>161</v>
      </c>
      <c r="J11" t="s">
        <v>162</v>
      </c>
      <c r="K11" t="s">
        <v>2860</v>
      </c>
      <c r="L11" t="s">
        <v>163</v>
      </c>
      <c r="M11">
        <v>1482</v>
      </c>
      <c r="N11">
        <v>1</v>
      </c>
      <c r="O11" t="s">
        <v>164</v>
      </c>
    </row>
    <row r="12" spans="1:15">
      <c r="A12" t="s">
        <v>141</v>
      </c>
      <c r="B12" t="s">
        <v>2856</v>
      </c>
      <c r="C12">
        <v>1</v>
      </c>
      <c r="D12" t="s">
        <v>142</v>
      </c>
      <c r="E12" t="s">
        <v>2857</v>
      </c>
      <c r="F12">
        <v>2</v>
      </c>
      <c r="G12">
        <v>11</v>
      </c>
      <c r="H12"/>
      <c r="I12" t="s">
        <v>165</v>
      </c>
      <c r="J12" t="s">
        <v>166</v>
      </c>
      <c r="K12" t="s">
        <v>2860</v>
      </c>
      <c r="L12" t="s">
        <v>167</v>
      </c>
      <c r="M12">
        <v>1505</v>
      </c>
      <c r="N12">
        <v>2</v>
      </c>
      <c r="O12" t="s">
        <v>168</v>
      </c>
    </row>
    <row r="13" spans="1:15">
      <c r="A13" t="s">
        <v>141</v>
      </c>
      <c r="B13" t="s">
        <v>2856</v>
      </c>
      <c r="C13">
        <v>1</v>
      </c>
      <c r="D13" t="s">
        <v>142</v>
      </c>
      <c r="E13" t="s">
        <v>2857</v>
      </c>
      <c r="F13">
        <v>2</v>
      </c>
      <c r="G13">
        <v>12</v>
      </c>
      <c r="H13"/>
      <c r="I13" t="s">
        <v>169</v>
      </c>
      <c r="J13" t="s">
        <v>170</v>
      </c>
      <c r="K13" t="s">
        <v>171</v>
      </c>
      <c r="L13" t="s">
        <v>172</v>
      </c>
      <c r="M13">
        <v>10433</v>
      </c>
      <c r="N13">
        <v>1</v>
      </c>
      <c r="O13" t="s">
        <v>173</v>
      </c>
    </row>
    <row r="14" spans="1:15">
      <c r="A14" t="s">
        <v>141</v>
      </c>
      <c r="B14" t="s">
        <v>2856</v>
      </c>
      <c r="C14">
        <v>1</v>
      </c>
      <c r="D14" t="s">
        <v>142</v>
      </c>
      <c r="E14" t="s">
        <v>2857</v>
      </c>
      <c r="F14">
        <v>2</v>
      </c>
      <c r="G14">
        <v>13</v>
      </c>
      <c r="H14"/>
      <c r="I14" t="s">
        <v>174</v>
      </c>
      <c r="J14" t="s">
        <v>175</v>
      </c>
      <c r="K14" t="s">
        <v>63</v>
      </c>
      <c r="L14" t="s">
        <v>176</v>
      </c>
      <c r="M14">
        <v>10430</v>
      </c>
      <c r="N14">
        <v>5</v>
      </c>
      <c r="O14" t="s">
        <v>177</v>
      </c>
    </row>
    <row r="15" spans="1:15">
      <c r="A15" t="s">
        <v>141</v>
      </c>
      <c r="B15" t="s">
        <v>2856</v>
      </c>
      <c r="C15">
        <v>1</v>
      </c>
      <c r="D15" t="s">
        <v>142</v>
      </c>
      <c r="E15" t="s">
        <v>2857</v>
      </c>
      <c r="F15">
        <v>2</v>
      </c>
      <c r="G15">
        <v>14</v>
      </c>
      <c r="H15"/>
      <c r="I15" t="s">
        <v>69</v>
      </c>
      <c r="J15" t="s">
        <v>2821</v>
      </c>
      <c r="K15" t="s">
        <v>70</v>
      </c>
      <c r="L15" t="s">
        <v>71</v>
      </c>
      <c r="M15">
        <v>10432</v>
      </c>
      <c r="N15">
        <v>2</v>
      </c>
      <c r="O15" t="s">
        <v>178</v>
      </c>
    </row>
    <row r="16" spans="1:15">
      <c r="A16" t="s">
        <v>141</v>
      </c>
      <c r="B16" t="s">
        <v>2856</v>
      </c>
      <c r="C16">
        <v>1</v>
      </c>
      <c r="D16" t="s">
        <v>142</v>
      </c>
      <c r="E16" t="s">
        <v>2857</v>
      </c>
      <c r="F16">
        <v>2</v>
      </c>
      <c r="G16">
        <v>15</v>
      </c>
      <c r="H16"/>
      <c r="I16" t="s">
        <v>72</v>
      </c>
      <c r="J16" t="s">
        <v>2823</v>
      </c>
      <c r="K16" t="s">
        <v>73</v>
      </c>
      <c r="L16" t="s">
        <v>74</v>
      </c>
      <c r="M16">
        <v>10163</v>
      </c>
      <c r="N16">
        <v>3</v>
      </c>
      <c r="O16" t="s">
        <v>179</v>
      </c>
    </row>
    <row r="17" spans="1:15">
      <c r="A17" t="s">
        <v>141</v>
      </c>
      <c r="B17" t="s">
        <v>2856</v>
      </c>
      <c r="C17">
        <v>1</v>
      </c>
      <c r="D17" t="s">
        <v>142</v>
      </c>
      <c r="E17" t="s">
        <v>2857</v>
      </c>
      <c r="F17">
        <v>2</v>
      </c>
      <c r="G17">
        <v>16</v>
      </c>
      <c r="H17"/>
      <c r="I17" t="s">
        <v>180</v>
      </c>
      <c r="J17" t="s">
        <v>181</v>
      </c>
      <c r="K17" t="s">
        <v>182</v>
      </c>
      <c r="L17" t="s">
        <v>183</v>
      </c>
      <c r="M17">
        <v>10359</v>
      </c>
      <c r="N17">
        <v>2</v>
      </c>
      <c r="O17" t="s">
        <v>184</v>
      </c>
    </row>
    <row r="18" spans="1:15">
      <c r="A18" t="s">
        <v>141</v>
      </c>
      <c r="B18" t="s">
        <v>2856</v>
      </c>
      <c r="C18">
        <v>1</v>
      </c>
      <c r="D18" t="s">
        <v>142</v>
      </c>
      <c r="E18" t="s">
        <v>2857</v>
      </c>
      <c r="F18">
        <v>2</v>
      </c>
      <c r="G18">
        <v>17</v>
      </c>
      <c r="H18"/>
      <c r="I18" t="s">
        <v>185</v>
      </c>
      <c r="J18" t="s">
        <v>2861</v>
      </c>
      <c r="K18" t="s">
        <v>63</v>
      </c>
      <c r="L18" t="s">
        <v>186</v>
      </c>
      <c r="M18">
        <v>10358</v>
      </c>
      <c r="N18">
        <v>1</v>
      </c>
      <c r="O18" t="s">
        <v>187</v>
      </c>
    </row>
    <row r="19" spans="1:15">
      <c r="A19" t="s">
        <v>141</v>
      </c>
      <c r="B19" t="s">
        <v>2856</v>
      </c>
      <c r="C19">
        <v>1</v>
      </c>
      <c r="D19" t="s">
        <v>142</v>
      </c>
      <c r="E19" t="s">
        <v>2857</v>
      </c>
      <c r="F19">
        <v>2</v>
      </c>
      <c r="G19">
        <v>18</v>
      </c>
      <c r="H19"/>
      <c r="I19" t="s">
        <v>188</v>
      </c>
      <c r="J19" t="s">
        <v>76</v>
      </c>
      <c r="K19" t="s">
        <v>32</v>
      </c>
      <c r="L19" t="s">
        <v>189</v>
      </c>
      <c r="M19">
        <v>10522</v>
      </c>
      <c r="N19">
        <v>16</v>
      </c>
      <c r="O19" t="s">
        <v>2862</v>
      </c>
    </row>
    <row r="20" spans="1:15">
      <c r="A20" t="s">
        <v>141</v>
      </c>
      <c r="B20" t="s">
        <v>2856</v>
      </c>
      <c r="C20">
        <v>1</v>
      </c>
      <c r="D20" t="s">
        <v>142</v>
      </c>
      <c r="E20" t="s">
        <v>2857</v>
      </c>
      <c r="F20">
        <v>2</v>
      </c>
      <c r="G20">
        <v>19</v>
      </c>
      <c r="H20"/>
      <c r="I20" t="s">
        <v>190</v>
      </c>
      <c r="J20" t="s">
        <v>2827</v>
      </c>
      <c r="K20" t="s">
        <v>77</v>
      </c>
      <c r="L20" t="s">
        <v>78</v>
      </c>
      <c r="M20">
        <v>10355</v>
      </c>
      <c r="N20">
        <v>5</v>
      </c>
      <c r="O20" t="s">
        <v>191</v>
      </c>
    </row>
    <row r="21" spans="1:15">
      <c r="A21" t="s">
        <v>141</v>
      </c>
      <c r="B21" t="s">
        <v>2856</v>
      </c>
      <c r="C21">
        <v>1</v>
      </c>
      <c r="D21" t="s">
        <v>142</v>
      </c>
      <c r="E21" t="s">
        <v>2857</v>
      </c>
      <c r="F21">
        <v>2</v>
      </c>
      <c r="G21">
        <v>20</v>
      </c>
      <c r="H21"/>
      <c r="I21" t="s">
        <v>188</v>
      </c>
      <c r="J21" t="s">
        <v>76</v>
      </c>
      <c r="K21" t="s">
        <v>32</v>
      </c>
      <c r="L21" t="s">
        <v>76</v>
      </c>
      <c r="M21">
        <v>10522</v>
      </c>
      <c r="N21">
        <v>16</v>
      </c>
      <c r="O21" t="s">
        <v>2863</v>
      </c>
    </row>
    <row r="22" spans="1:15">
      <c r="A22" t="s">
        <v>141</v>
      </c>
      <c r="B22" t="s">
        <v>2856</v>
      </c>
      <c r="C22">
        <v>1</v>
      </c>
      <c r="D22" t="s">
        <v>142</v>
      </c>
      <c r="E22" t="s">
        <v>2857</v>
      </c>
      <c r="F22">
        <v>2</v>
      </c>
      <c r="G22">
        <v>21</v>
      </c>
      <c r="H22"/>
      <c r="I22" t="s">
        <v>81</v>
      </c>
      <c r="J22" t="s">
        <v>82</v>
      </c>
      <c r="K22" t="s">
        <v>77</v>
      </c>
      <c r="L22" t="s">
        <v>83</v>
      </c>
      <c r="M22">
        <v>10416</v>
      </c>
      <c r="N22">
        <v>3</v>
      </c>
      <c r="O22" t="s">
        <v>192</v>
      </c>
    </row>
    <row r="23" spans="1:15">
      <c r="A23" t="s">
        <v>141</v>
      </c>
      <c r="B23" t="s">
        <v>2856</v>
      </c>
      <c r="C23">
        <v>1</v>
      </c>
      <c r="D23" t="s">
        <v>142</v>
      </c>
      <c r="E23" t="s">
        <v>2857</v>
      </c>
      <c r="F23">
        <v>2</v>
      </c>
      <c r="G23">
        <v>22</v>
      </c>
      <c r="H23"/>
      <c r="I23" t="s">
        <v>193</v>
      </c>
      <c r="J23"/>
      <c r="K23"/>
      <c r="L23"/>
      <c r="M23">
        <v>1135</v>
      </c>
      <c r="N23">
        <v>1</v>
      </c>
      <c r="O23" t="s">
        <v>194</v>
      </c>
    </row>
    <row r="24" spans="1:15">
      <c r="A24" t="s">
        <v>141</v>
      </c>
      <c r="B24" t="s">
        <v>2856</v>
      </c>
      <c r="C24">
        <v>1</v>
      </c>
      <c r="D24" t="s">
        <v>142</v>
      </c>
      <c r="E24" t="s">
        <v>2857</v>
      </c>
      <c r="F24">
        <v>2</v>
      </c>
      <c r="G24">
        <v>23</v>
      </c>
      <c r="H24"/>
      <c r="I24" t="s">
        <v>94</v>
      </c>
      <c r="J24" t="s">
        <v>95</v>
      </c>
      <c r="K24" t="s">
        <v>48</v>
      </c>
      <c r="L24" t="s">
        <v>96</v>
      </c>
      <c r="M24">
        <v>16369</v>
      </c>
      <c r="N24">
        <v>1</v>
      </c>
      <c r="O24" t="s">
        <v>195</v>
      </c>
    </row>
    <row r="25" spans="1:15">
      <c r="A25" t="s">
        <v>141</v>
      </c>
      <c r="B25" t="s">
        <v>2856</v>
      </c>
      <c r="C25">
        <v>1</v>
      </c>
      <c r="D25" t="s">
        <v>142</v>
      </c>
      <c r="E25" t="s">
        <v>2857</v>
      </c>
      <c r="F25">
        <v>2</v>
      </c>
      <c r="G25">
        <v>24</v>
      </c>
      <c r="H25"/>
      <c r="I25" t="s">
        <v>196</v>
      </c>
      <c r="J25" t="s">
        <v>2864</v>
      </c>
      <c r="K25" t="s">
        <v>48</v>
      </c>
      <c r="L25" t="s">
        <v>197</v>
      </c>
      <c r="M25">
        <v>40031</v>
      </c>
      <c r="N25">
        <v>2</v>
      </c>
      <c r="O25" t="s">
        <v>198</v>
      </c>
    </row>
    <row r="26" spans="1:15">
      <c r="A26" t="s">
        <v>141</v>
      </c>
      <c r="B26" t="s">
        <v>2856</v>
      </c>
      <c r="C26">
        <v>1</v>
      </c>
      <c r="D26" t="s">
        <v>142</v>
      </c>
      <c r="E26" t="s">
        <v>2857</v>
      </c>
      <c r="F26">
        <v>2</v>
      </c>
      <c r="G26">
        <v>25</v>
      </c>
      <c r="H26"/>
      <c r="I26" t="s">
        <v>199</v>
      </c>
      <c r="J26" t="s">
        <v>2865</v>
      </c>
      <c r="K26" t="s">
        <v>48</v>
      </c>
      <c r="L26" t="s">
        <v>200</v>
      </c>
      <c r="M26">
        <v>15165</v>
      </c>
      <c r="N26">
        <v>2</v>
      </c>
      <c r="O26" t="s">
        <v>201</v>
      </c>
    </row>
    <row r="27" spans="1:15">
      <c r="A27" t="s">
        <v>141</v>
      </c>
      <c r="B27" t="s">
        <v>2856</v>
      </c>
      <c r="C27">
        <v>1</v>
      </c>
      <c r="D27" t="s">
        <v>142</v>
      </c>
      <c r="E27" t="s">
        <v>2857</v>
      </c>
      <c r="F27">
        <v>2</v>
      </c>
      <c r="G27">
        <v>26</v>
      </c>
      <c r="H27"/>
      <c r="I27" t="s">
        <v>86</v>
      </c>
      <c r="J27" t="s">
        <v>2866</v>
      </c>
      <c r="K27" t="s">
        <v>48</v>
      </c>
      <c r="L27" t="s">
        <v>202</v>
      </c>
      <c r="M27">
        <v>14934</v>
      </c>
      <c r="N27">
        <v>2</v>
      </c>
      <c r="O27" t="s">
        <v>203</v>
      </c>
    </row>
    <row r="28" spans="1:15">
      <c r="A28" t="s">
        <v>141</v>
      </c>
      <c r="B28" t="s">
        <v>2856</v>
      </c>
      <c r="C28">
        <v>1</v>
      </c>
      <c r="D28" t="s">
        <v>142</v>
      </c>
      <c r="E28" t="s">
        <v>2857</v>
      </c>
      <c r="F28">
        <v>2</v>
      </c>
      <c r="G28">
        <v>27</v>
      </c>
      <c r="H28"/>
      <c r="I28" t="s">
        <v>204</v>
      </c>
      <c r="J28" t="s">
        <v>2867</v>
      </c>
      <c r="K28" t="s">
        <v>48</v>
      </c>
      <c r="L28" t="s">
        <v>205</v>
      </c>
      <c r="M28">
        <v>39560</v>
      </c>
      <c r="N28">
        <v>10</v>
      </c>
      <c r="O28" t="s">
        <v>2868</v>
      </c>
    </row>
    <row r="29" spans="1:15">
      <c r="A29" t="s">
        <v>141</v>
      </c>
      <c r="B29" t="s">
        <v>2856</v>
      </c>
      <c r="C29">
        <v>1</v>
      </c>
      <c r="D29" t="s">
        <v>142</v>
      </c>
      <c r="E29" t="s">
        <v>2857</v>
      </c>
      <c r="F29">
        <v>2</v>
      </c>
      <c r="G29">
        <v>28</v>
      </c>
      <c r="H29"/>
      <c r="I29" t="s">
        <v>206</v>
      </c>
      <c r="J29" t="s">
        <v>207</v>
      </c>
      <c r="K29" t="s">
        <v>48</v>
      </c>
      <c r="L29" t="s">
        <v>208</v>
      </c>
      <c r="M29">
        <v>39516</v>
      </c>
      <c r="N29">
        <v>9</v>
      </c>
      <c r="O29" t="s">
        <v>209</v>
      </c>
    </row>
    <row r="30" spans="1:15">
      <c r="A30" t="s">
        <v>141</v>
      </c>
      <c r="B30" t="s">
        <v>2856</v>
      </c>
      <c r="C30">
        <v>1</v>
      </c>
      <c r="D30" t="s">
        <v>142</v>
      </c>
      <c r="E30" t="s">
        <v>2857</v>
      </c>
      <c r="F30">
        <v>2</v>
      </c>
      <c r="G30">
        <v>29</v>
      </c>
      <c r="H30"/>
      <c r="I30" t="s">
        <v>105</v>
      </c>
      <c r="J30" t="s">
        <v>2845</v>
      </c>
      <c r="K30" t="s">
        <v>48</v>
      </c>
      <c r="L30" t="s">
        <v>106</v>
      </c>
      <c r="M30">
        <v>27546</v>
      </c>
      <c r="N30">
        <v>3</v>
      </c>
      <c r="O30" t="s">
        <v>210</v>
      </c>
    </row>
    <row r="31" spans="1:15">
      <c r="A31" t="s">
        <v>141</v>
      </c>
      <c r="B31" t="s">
        <v>2856</v>
      </c>
      <c r="C31">
        <v>1</v>
      </c>
      <c r="D31" t="s">
        <v>142</v>
      </c>
      <c r="E31" t="s">
        <v>2857</v>
      </c>
      <c r="F31">
        <v>2</v>
      </c>
      <c r="G31">
        <v>30</v>
      </c>
      <c r="H31"/>
      <c r="I31" t="s">
        <v>211</v>
      </c>
      <c r="J31" t="s">
        <v>212</v>
      </c>
      <c r="K31" t="s">
        <v>48</v>
      </c>
      <c r="L31" t="s">
        <v>213</v>
      </c>
      <c r="M31">
        <v>8610</v>
      </c>
      <c r="N31">
        <v>4</v>
      </c>
      <c r="O31" t="s">
        <v>2869</v>
      </c>
    </row>
    <row r="32" spans="1:15">
      <c r="A32" t="s">
        <v>141</v>
      </c>
      <c r="B32" t="s">
        <v>2856</v>
      </c>
      <c r="C32">
        <v>1</v>
      </c>
      <c r="D32" t="s">
        <v>142</v>
      </c>
      <c r="E32" t="s">
        <v>2857</v>
      </c>
      <c r="F32">
        <v>2</v>
      </c>
      <c r="G32">
        <v>31</v>
      </c>
      <c r="H32"/>
      <c r="I32" t="s">
        <v>214</v>
      </c>
      <c r="J32" t="s">
        <v>215</v>
      </c>
      <c r="K32" t="s">
        <v>216</v>
      </c>
      <c r="L32" t="s">
        <v>217</v>
      </c>
      <c r="M32">
        <v>8576</v>
      </c>
      <c r="N32">
        <v>2</v>
      </c>
      <c r="O32" t="s">
        <v>218</v>
      </c>
    </row>
    <row r="33" spans="1:15">
      <c r="A33" t="s">
        <v>141</v>
      </c>
      <c r="B33" t="s">
        <v>2856</v>
      </c>
      <c r="C33">
        <v>1</v>
      </c>
      <c r="D33" t="s">
        <v>142</v>
      </c>
      <c r="E33" t="s">
        <v>2857</v>
      </c>
      <c r="F33">
        <v>2</v>
      </c>
      <c r="G33">
        <v>32</v>
      </c>
      <c r="H33"/>
      <c r="I33" t="s">
        <v>120</v>
      </c>
      <c r="J33" t="s">
        <v>121</v>
      </c>
      <c r="K33" t="s">
        <v>122</v>
      </c>
      <c r="L33" t="s">
        <v>123</v>
      </c>
      <c r="M33">
        <v>10350</v>
      </c>
      <c r="N33">
        <v>3</v>
      </c>
      <c r="O33" t="s">
        <v>219</v>
      </c>
    </row>
    <row r="34" spans="1:15">
      <c r="A34" t="s">
        <v>141</v>
      </c>
      <c r="B34" t="s">
        <v>2856</v>
      </c>
      <c r="C34">
        <v>1</v>
      </c>
      <c r="D34" t="s">
        <v>142</v>
      </c>
      <c r="E34" t="s">
        <v>2857</v>
      </c>
      <c r="F34">
        <v>2</v>
      </c>
      <c r="G34">
        <v>33</v>
      </c>
      <c r="H34"/>
      <c r="I34" t="s">
        <v>2870</v>
      </c>
      <c r="J34" t="s">
        <v>2871</v>
      </c>
      <c r="K34" t="s">
        <v>118</v>
      </c>
      <c r="L34" t="s">
        <v>220</v>
      </c>
      <c r="M34">
        <v>10364</v>
      </c>
      <c r="N34">
        <v>10</v>
      </c>
      <c r="O34" t="s">
        <v>221</v>
      </c>
    </row>
    <row r="35" spans="1:15">
      <c r="A35" t="s">
        <v>141</v>
      </c>
      <c r="B35" t="s">
        <v>2856</v>
      </c>
      <c r="C35">
        <v>1</v>
      </c>
      <c r="D35" t="s">
        <v>142</v>
      </c>
      <c r="E35" t="s">
        <v>2857</v>
      </c>
      <c r="F35">
        <v>2</v>
      </c>
      <c r="G35">
        <v>34</v>
      </c>
      <c r="H35"/>
      <c r="I35" t="s">
        <v>128</v>
      </c>
      <c r="J35" t="s">
        <v>129</v>
      </c>
      <c r="K35" t="s">
        <v>2853</v>
      </c>
      <c r="L35" t="s">
        <v>130</v>
      </c>
      <c r="M35">
        <v>42433</v>
      </c>
      <c r="N35">
        <v>1</v>
      </c>
      <c r="O35" t="s">
        <v>222</v>
      </c>
    </row>
    <row r="36" spans="1:15">
      <c r="A36" t="s">
        <v>141</v>
      </c>
      <c r="B36" t="s">
        <v>2856</v>
      </c>
      <c r="C36">
        <v>1</v>
      </c>
      <c r="D36" t="s">
        <v>142</v>
      </c>
      <c r="E36" t="s">
        <v>2857</v>
      </c>
      <c r="F36">
        <v>2</v>
      </c>
      <c r="G36">
        <v>35</v>
      </c>
      <c r="H36"/>
      <c r="I36" t="s">
        <v>223</v>
      </c>
      <c r="J36" t="s">
        <v>117</v>
      </c>
      <c r="K36" t="s">
        <v>118</v>
      </c>
      <c r="L36" t="s">
        <v>119</v>
      </c>
      <c r="M36">
        <v>33782</v>
      </c>
      <c r="N36">
        <v>1</v>
      </c>
      <c r="O36" t="s">
        <v>224</v>
      </c>
    </row>
    <row r="37" spans="1:15">
      <c r="A37" t="s">
        <v>141</v>
      </c>
      <c r="B37" t="s">
        <v>2856</v>
      </c>
      <c r="C37">
        <v>1</v>
      </c>
      <c r="D37" t="s">
        <v>142</v>
      </c>
      <c r="E37" t="s">
        <v>2857</v>
      </c>
      <c r="F37">
        <v>2</v>
      </c>
      <c r="G37">
        <v>36</v>
      </c>
      <c r="H37"/>
      <c r="I37" t="s">
        <v>131</v>
      </c>
      <c r="J37" t="s">
        <v>132</v>
      </c>
      <c r="K37" t="s">
        <v>133</v>
      </c>
      <c r="L37" t="s">
        <v>134</v>
      </c>
      <c r="M37">
        <v>10415</v>
      </c>
      <c r="N37">
        <v>4</v>
      </c>
      <c r="O37" t="s">
        <v>225</v>
      </c>
    </row>
    <row r="38" spans="1:15" ht="15.75">
      <c r="A38" s="14"/>
      <c r="B38" s="14"/>
      <c r="C38" s="14"/>
      <c r="D38" s="14"/>
      <c r="E38" s="14"/>
      <c r="F38" s="14"/>
      <c r="G38" s="14"/>
      <c r="H38" s="14"/>
      <c r="I38" s="14"/>
      <c r="N38" s="31">
        <f>SUM(N2:N37)</f>
        <v>202</v>
      </c>
    </row>
    <row r="45" spans="1:15" ht="30">
      <c r="A45" s="12"/>
    </row>
    <row r="46" spans="1:15" ht="30">
      <c r="A46" s="12"/>
    </row>
    <row r="47" spans="1:15" ht="30">
      <c r="A47" s="13"/>
    </row>
    <row r="48" spans="1:15" ht="30">
      <c r="A48" s="12"/>
    </row>
    <row r="49" spans="1:2" ht="30">
      <c r="A49" s="12"/>
    </row>
    <row r="50" spans="1:2" ht="30">
      <c r="A50" s="13"/>
    </row>
    <row r="51" spans="1:2">
      <c r="A51" s="9"/>
      <c r="B51" s="9"/>
    </row>
    <row r="52" spans="1:2">
      <c r="A52" s="11"/>
      <c r="B52" s="11"/>
    </row>
    <row r="53" spans="1:2">
      <c r="A53" s="11"/>
      <c r="B53" s="11"/>
    </row>
    <row r="54" spans="1:2">
      <c r="A54" s="11"/>
      <c r="B54" s="11"/>
    </row>
    <row r="55" spans="1:2">
      <c r="A55" s="11"/>
      <c r="B55" s="11"/>
    </row>
    <row r="56" spans="1:2">
      <c r="A56" s="11"/>
      <c r="B56" s="11"/>
    </row>
    <row r="57" spans="1:2">
      <c r="A57" s="11"/>
      <c r="B57" s="11"/>
    </row>
    <row r="58" spans="1:2">
      <c r="A58" s="11"/>
      <c r="B58" s="11"/>
    </row>
    <row r="59" spans="1:2">
      <c r="A59" s="11"/>
      <c r="B59" s="11"/>
    </row>
    <row r="60" spans="1:2">
      <c r="A60" s="11"/>
      <c r="B60" s="11"/>
    </row>
    <row r="61" spans="1:2">
      <c r="A61" s="11"/>
      <c r="B61" s="11"/>
    </row>
    <row r="62" spans="1:2">
      <c r="A62" s="11"/>
      <c r="B62" s="11"/>
    </row>
    <row r="63" spans="1:2">
      <c r="A63" s="11"/>
      <c r="B63" s="11"/>
    </row>
    <row r="64" spans="1:2">
      <c r="A64" s="11"/>
      <c r="B64" s="11"/>
    </row>
    <row r="65" spans="1:2">
      <c r="A65" s="11"/>
      <c r="B65" s="11"/>
    </row>
    <row r="66" spans="1:2">
      <c r="A66" s="11"/>
      <c r="B66" s="11"/>
    </row>
    <row r="67" spans="1:2">
      <c r="A67" s="11"/>
      <c r="B67" s="11"/>
    </row>
    <row r="68" spans="1:2">
      <c r="A68" s="11"/>
      <c r="B68" s="11"/>
    </row>
    <row r="69" spans="1:2">
      <c r="A69" s="11"/>
      <c r="B69" s="11"/>
    </row>
    <row r="70" spans="1:2">
      <c r="A70" s="11"/>
      <c r="B70" s="11"/>
    </row>
    <row r="71" spans="1:2">
      <c r="A71" s="11"/>
      <c r="B71" s="11"/>
    </row>
    <row r="72" spans="1:2">
      <c r="A72" s="11"/>
      <c r="B72" s="11"/>
    </row>
    <row r="73" spans="1:2">
      <c r="A73" s="11"/>
      <c r="B73" s="11"/>
    </row>
    <row r="74" spans="1:2">
      <c r="A74" s="11"/>
      <c r="B74" s="11"/>
    </row>
    <row r="75" spans="1:2">
      <c r="A75" s="11"/>
      <c r="B75" s="11"/>
    </row>
    <row r="76" spans="1:2">
      <c r="A76" s="11"/>
      <c r="B76" s="11"/>
    </row>
    <row r="77" spans="1:2">
      <c r="A77" s="11"/>
      <c r="B77" s="11"/>
    </row>
    <row r="78" spans="1:2">
      <c r="A78" s="11"/>
      <c r="B78" s="11"/>
    </row>
    <row r="79" spans="1:2">
      <c r="A79" s="11"/>
      <c r="B79" s="11"/>
    </row>
    <row r="80" spans="1:2">
      <c r="A80" s="11"/>
      <c r="B80" s="11"/>
    </row>
    <row r="81" spans="1:2">
      <c r="A81" s="11"/>
      <c r="B81" s="11"/>
    </row>
    <row r="82" spans="1:2">
      <c r="A82" s="11"/>
      <c r="B82" s="11"/>
    </row>
    <row r="83" spans="1:2">
      <c r="A83" s="11"/>
      <c r="B83" s="11"/>
    </row>
    <row r="84" spans="1:2">
      <c r="A84" s="11"/>
      <c r="B84" s="11"/>
    </row>
    <row r="85" spans="1:2">
      <c r="A85" s="11"/>
      <c r="B8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P136"/>
  <sheetViews>
    <sheetView topLeftCell="D97" zoomScaleNormal="100" workbookViewId="0">
      <selection activeCell="P136" sqref="P136"/>
    </sheetView>
  </sheetViews>
  <sheetFormatPr defaultRowHeight="15"/>
  <cols>
    <col min="1" max="1" width="31.5703125" customWidth="1"/>
    <col min="2" max="2" width="23.85546875" customWidth="1"/>
    <col min="3" max="3" width="26.7109375" customWidth="1"/>
    <col min="4" max="4" width="37.28515625" customWidth="1"/>
    <col min="5" max="5" width="36.140625" customWidth="1"/>
    <col min="6" max="6" width="48.42578125" customWidth="1"/>
    <col min="7" max="7" width="26.28515625" customWidth="1"/>
    <col min="8" max="8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 s="2" customFormat="1" ht="30" customHeight="1">
      <c r="A2" s="2" t="s">
        <v>226</v>
      </c>
      <c r="B2" s="2" t="s">
        <v>2872</v>
      </c>
      <c r="C2" s="2">
        <v>2</v>
      </c>
      <c r="D2" s="2" t="s">
        <v>227</v>
      </c>
      <c r="E2" s="2" t="s">
        <v>2873</v>
      </c>
      <c r="F2" s="2">
        <v>1</v>
      </c>
      <c r="G2" s="2">
        <v>1</v>
      </c>
      <c r="I2" s="2" t="s">
        <v>228</v>
      </c>
      <c r="J2" s="2" t="s">
        <v>229</v>
      </c>
      <c r="K2" s="2" t="s">
        <v>18</v>
      </c>
      <c r="L2" s="2" t="s">
        <v>230</v>
      </c>
      <c r="M2" s="2">
        <v>10385</v>
      </c>
      <c r="N2" s="2">
        <v>5</v>
      </c>
      <c r="O2" s="2" t="s">
        <v>2874</v>
      </c>
      <c r="P2" s="2">
        <v>5</v>
      </c>
    </row>
    <row r="3" spans="1:16">
      <c r="A3" t="s">
        <v>226</v>
      </c>
      <c r="B3" t="s">
        <v>2872</v>
      </c>
      <c r="C3">
        <v>2</v>
      </c>
      <c r="D3" t="s">
        <v>227</v>
      </c>
      <c r="E3" t="s">
        <v>2873</v>
      </c>
      <c r="F3">
        <v>1</v>
      </c>
      <c r="G3">
        <v>2</v>
      </c>
      <c r="I3" t="s">
        <v>16</v>
      </c>
      <c r="J3" t="s">
        <v>17</v>
      </c>
      <c r="K3" t="s">
        <v>18</v>
      </c>
      <c r="L3" t="s">
        <v>19</v>
      </c>
      <c r="M3">
        <v>10191</v>
      </c>
      <c r="N3">
        <v>2</v>
      </c>
      <c r="O3" t="s">
        <v>2875</v>
      </c>
      <c r="P3">
        <v>2</v>
      </c>
    </row>
    <row r="4" spans="1:16">
      <c r="A4" t="s">
        <v>226</v>
      </c>
      <c r="B4" t="s">
        <v>2872</v>
      </c>
      <c r="C4">
        <v>2</v>
      </c>
      <c r="D4" t="s">
        <v>227</v>
      </c>
      <c r="E4" t="s">
        <v>2873</v>
      </c>
      <c r="F4">
        <v>1</v>
      </c>
      <c r="G4">
        <v>3</v>
      </c>
      <c r="I4" t="s">
        <v>2876</v>
      </c>
      <c r="J4" t="s">
        <v>2877</v>
      </c>
      <c r="K4" t="s">
        <v>18</v>
      </c>
      <c r="L4" t="s">
        <v>231</v>
      </c>
      <c r="M4">
        <v>42397</v>
      </c>
      <c r="N4">
        <v>1</v>
      </c>
      <c r="O4" t="s">
        <v>232</v>
      </c>
      <c r="P4">
        <v>1</v>
      </c>
    </row>
    <row r="5" spans="1:16">
      <c r="A5" t="s">
        <v>226</v>
      </c>
      <c r="B5" t="s">
        <v>2872</v>
      </c>
      <c r="C5">
        <v>2</v>
      </c>
      <c r="D5" t="s">
        <v>227</v>
      </c>
      <c r="E5" t="s">
        <v>2873</v>
      </c>
      <c r="F5">
        <v>1</v>
      </c>
      <c r="G5">
        <v>4</v>
      </c>
      <c r="I5" t="s">
        <v>233</v>
      </c>
      <c r="J5" t="s">
        <v>234</v>
      </c>
      <c r="K5" t="s">
        <v>235</v>
      </c>
      <c r="L5" t="s">
        <v>236</v>
      </c>
      <c r="M5">
        <v>42376</v>
      </c>
      <c r="N5">
        <v>6</v>
      </c>
      <c r="O5" t="s">
        <v>2878</v>
      </c>
      <c r="P5">
        <v>6</v>
      </c>
    </row>
    <row r="6" spans="1:16">
      <c r="A6" t="s">
        <v>226</v>
      </c>
      <c r="B6" t="s">
        <v>2872</v>
      </c>
      <c r="C6">
        <v>2</v>
      </c>
      <c r="D6" t="s">
        <v>227</v>
      </c>
      <c r="E6" t="s">
        <v>2873</v>
      </c>
      <c r="F6">
        <v>1</v>
      </c>
      <c r="G6">
        <v>5</v>
      </c>
      <c r="I6" t="s">
        <v>237</v>
      </c>
      <c r="J6" t="s">
        <v>238</v>
      </c>
      <c r="K6" t="s">
        <v>48</v>
      </c>
      <c r="L6" t="s">
        <v>239</v>
      </c>
      <c r="M6">
        <v>42512</v>
      </c>
      <c r="N6">
        <v>14</v>
      </c>
      <c r="O6" t="s">
        <v>2879</v>
      </c>
      <c r="P6">
        <v>14</v>
      </c>
    </row>
    <row r="7" spans="1:16">
      <c r="A7" t="s">
        <v>226</v>
      </c>
      <c r="B7" t="s">
        <v>2872</v>
      </c>
      <c r="C7">
        <v>2</v>
      </c>
      <c r="D7" t="s">
        <v>227</v>
      </c>
      <c r="E7" t="s">
        <v>2873</v>
      </c>
      <c r="F7">
        <v>1</v>
      </c>
      <c r="G7">
        <v>6</v>
      </c>
      <c r="I7" t="s">
        <v>27</v>
      </c>
      <c r="J7" t="s">
        <v>240</v>
      </c>
      <c r="K7" t="s">
        <v>32</v>
      </c>
      <c r="L7" t="s">
        <v>241</v>
      </c>
      <c r="M7">
        <v>42386</v>
      </c>
      <c r="N7">
        <v>30</v>
      </c>
      <c r="O7" t="s">
        <v>2880</v>
      </c>
      <c r="P7">
        <v>30</v>
      </c>
    </row>
    <row r="8" spans="1:16">
      <c r="A8" t="s">
        <v>226</v>
      </c>
      <c r="B8" t="s">
        <v>2872</v>
      </c>
      <c r="C8">
        <v>2</v>
      </c>
      <c r="D8" t="s">
        <v>227</v>
      </c>
      <c r="E8" t="s">
        <v>2873</v>
      </c>
      <c r="F8">
        <v>1</v>
      </c>
      <c r="G8">
        <v>7</v>
      </c>
      <c r="I8" t="s">
        <v>242</v>
      </c>
      <c r="J8" t="s">
        <v>243</v>
      </c>
      <c r="K8" t="s">
        <v>32</v>
      </c>
      <c r="L8" t="s">
        <v>244</v>
      </c>
      <c r="M8">
        <v>42485</v>
      </c>
      <c r="N8">
        <v>102</v>
      </c>
      <c r="O8" t="s">
        <v>2881</v>
      </c>
      <c r="P8">
        <v>102</v>
      </c>
    </row>
    <row r="9" spans="1:16">
      <c r="A9" t="s">
        <v>226</v>
      </c>
      <c r="B9" t="s">
        <v>2872</v>
      </c>
      <c r="C9">
        <v>2</v>
      </c>
      <c r="D9" t="s">
        <v>227</v>
      </c>
      <c r="E9" t="s">
        <v>2873</v>
      </c>
      <c r="F9">
        <v>1</v>
      </c>
      <c r="G9">
        <v>8</v>
      </c>
      <c r="I9" t="s">
        <v>245</v>
      </c>
      <c r="J9" t="s">
        <v>246</v>
      </c>
      <c r="K9" t="s">
        <v>32</v>
      </c>
      <c r="L9" t="s">
        <v>247</v>
      </c>
      <c r="M9">
        <v>42429</v>
      </c>
      <c r="N9">
        <v>108</v>
      </c>
      <c r="O9" t="s">
        <v>2882</v>
      </c>
      <c r="P9">
        <v>108</v>
      </c>
    </row>
    <row r="10" spans="1:16">
      <c r="A10" t="s">
        <v>226</v>
      </c>
      <c r="B10" t="s">
        <v>2872</v>
      </c>
      <c r="C10">
        <v>2</v>
      </c>
      <c r="D10" t="s">
        <v>227</v>
      </c>
      <c r="E10" t="s">
        <v>2873</v>
      </c>
      <c r="F10">
        <v>1</v>
      </c>
      <c r="G10">
        <v>9</v>
      </c>
      <c r="I10" t="s">
        <v>248</v>
      </c>
      <c r="J10" t="s">
        <v>249</v>
      </c>
      <c r="K10" t="s">
        <v>250</v>
      </c>
      <c r="L10" t="s">
        <v>251</v>
      </c>
      <c r="M10">
        <v>42491</v>
      </c>
      <c r="N10">
        <v>29</v>
      </c>
      <c r="O10" t="s">
        <v>2883</v>
      </c>
      <c r="P10">
        <v>29</v>
      </c>
    </row>
    <row r="11" spans="1:16">
      <c r="A11" t="s">
        <v>226</v>
      </c>
      <c r="B11" t="s">
        <v>2872</v>
      </c>
      <c r="C11">
        <v>2</v>
      </c>
      <c r="D11" t="s">
        <v>227</v>
      </c>
      <c r="E11" t="s">
        <v>2873</v>
      </c>
      <c r="F11">
        <v>1</v>
      </c>
      <c r="G11">
        <v>10</v>
      </c>
      <c r="I11" t="s">
        <v>20</v>
      </c>
      <c r="J11" t="s">
        <v>21</v>
      </c>
      <c r="K11" t="s">
        <v>22</v>
      </c>
      <c r="L11" t="s">
        <v>23</v>
      </c>
      <c r="M11">
        <v>42431</v>
      </c>
      <c r="N11">
        <v>17</v>
      </c>
      <c r="O11" t="s">
        <v>2884</v>
      </c>
      <c r="P11">
        <v>17</v>
      </c>
    </row>
    <row r="12" spans="1:16">
      <c r="A12" t="s">
        <v>226</v>
      </c>
      <c r="B12" t="s">
        <v>2872</v>
      </c>
      <c r="C12">
        <v>2</v>
      </c>
      <c r="D12" t="s">
        <v>227</v>
      </c>
      <c r="E12" t="s">
        <v>2873</v>
      </c>
      <c r="F12">
        <v>1</v>
      </c>
      <c r="G12">
        <v>11</v>
      </c>
      <c r="I12" t="s">
        <v>252</v>
      </c>
      <c r="J12" t="s">
        <v>253</v>
      </c>
      <c r="K12" t="s">
        <v>254</v>
      </c>
      <c r="L12" t="s">
        <v>255</v>
      </c>
      <c r="M12">
        <v>42556</v>
      </c>
      <c r="N12">
        <v>2</v>
      </c>
      <c r="O12" t="s">
        <v>2885</v>
      </c>
      <c r="P12">
        <v>2</v>
      </c>
    </row>
    <row r="13" spans="1:16">
      <c r="A13" t="s">
        <v>226</v>
      </c>
      <c r="B13" t="s">
        <v>2872</v>
      </c>
      <c r="C13">
        <v>2</v>
      </c>
      <c r="D13" t="s">
        <v>227</v>
      </c>
      <c r="E13" t="s">
        <v>2873</v>
      </c>
      <c r="F13">
        <v>1</v>
      </c>
      <c r="G13">
        <v>12</v>
      </c>
      <c r="I13" t="s">
        <v>30</v>
      </c>
      <c r="J13" t="s">
        <v>31</v>
      </c>
      <c r="K13" t="s">
        <v>32</v>
      </c>
      <c r="L13" t="s">
        <v>33</v>
      </c>
      <c r="M13">
        <v>42476</v>
      </c>
      <c r="N13">
        <v>5</v>
      </c>
      <c r="O13" t="s">
        <v>2886</v>
      </c>
      <c r="P13">
        <v>5</v>
      </c>
    </row>
    <row r="14" spans="1:16">
      <c r="A14" t="s">
        <v>226</v>
      </c>
      <c r="B14" t="s">
        <v>2872</v>
      </c>
      <c r="C14">
        <v>2</v>
      </c>
      <c r="D14" t="s">
        <v>227</v>
      </c>
      <c r="E14" t="s">
        <v>2873</v>
      </c>
      <c r="F14">
        <v>1</v>
      </c>
      <c r="G14">
        <v>13</v>
      </c>
      <c r="I14" t="s">
        <v>24</v>
      </c>
      <c r="J14" t="s">
        <v>25</v>
      </c>
      <c r="K14" t="s">
        <v>22</v>
      </c>
      <c r="L14" t="s">
        <v>26</v>
      </c>
      <c r="M14">
        <v>2054</v>
      </c>
      <c r="N14">
        <v>5</v>
      </c>
      <c r="O14" t="s">
        <v>2887</v>
      </c>
      <c r="P14">
        <v>5</v>
      </c>
    </row>
    <row r="15" spans="1:16">
      <c r="A15" t="s">
        <v>226</v>
      </c>
      <c r="B15" t="s">
        <v>2872</v>
      </c>
      <c r="C15">
        <v>2</v>
      </c>
      <c r="D15" t="s">
        <v>227</v>
      </c>
      <c r="E15" t="s">
        <v>2873</v>
      </c>
      <c r="F15">
        <v>1</v>
      </c>
      <c r="G15">
        <v>14</v>
      </c>
      <c r="I15" t="s">
        <v>256</v>
      </c>
      <c r="J15" t="s">
        <v>257</v>
      </c>
      <c r="K15" t="s">
        <v>48</v>
      </c>
      <c r="L15" t="s">
        <v>258</v>
      </c>
      <c r="M15">
        <v>42501</v>
      </c>
      <c r="N15">
        <v>20</v>
      </c>
      <c r="O15" t="s">
        <v>2888</v>
      </c>
      <c r="P15">
        <v>20</v>
      </c>
    </row>
    <row r="16" spans="1:16">
      <c r="A16" t="s">
        <v>226</v>
      </c>
      <c r="B16" t="s">
        <v>2872</v>
      </c>
      <c r="C16">
        <v>2</v>
      </c>
      <c r="D16" t="s">
        <v>227</v>
      </c>
      <c r="E16" t="s">
        <v>2873</v>
      </c>
      <c r="F16">
        <v>1</v>
      </c>
      <c r="G16">
        <v>15</v>
      </c>
      <c r="I16" t="s">
        <v>259</v>
      </c>
      <c r="J16" t="s">
        <v>260</v>
      </c>
      <c r="K16" t="s">
        <v>48</v>
      </c>
      <c r="L16" t="s">
        <v>261</v>
      </c>
      <c r="M16">
        <v>42477</v>
      </c>
      <c r="N16">
        <v>5</v>
      </c>
      <c r="O16" t="s">
        <v>2889</v>
      </c>
      <c r="P16">
        <v>5</v>
      </c>
    </row>
    <row r="17" spans="1:16">
      <c r="A17" t="s">
        <v>226</v>
      </c>
      <c r="B17" t="s">
        <v>2872</v>
      </c>
      <c r="C17">
        <v>2</v>
      </c>
      <c r="D17" t="s">
        <v>227</v>
      </c>
      <c r="E17" t="s">
        <v>2873</v>
      </c>
      <c r="F17">
        <v>1</v>
      </c>
      <c r="G17">
        <v>16</v>
      </c>
      <c r="I17" t="s">
        <v>262</v>
      </c>
      <c r="J17" t="s">
        <v>263</v>
      </c>
      <c r="K17" t="s">
        <v>235</v>
      </c>
      <c r="L17" t="s">
        <v>264</v>
      </c>
      <c r="M17">
        <v>42492</v>
      </c>
      <c r="N17">
        <v>1</v>
      </c>
      <c r="O17" t="s">
        <v>265</v>
      </c>
      <c r="P17">
        <v>1</v>
      </c>
    </row>
    <row r="18" spans="1:16">
      <c r="A18" t="s">
        <v>226</v>
      </c>
      <c r="B18" t="s">
        <v>2872</v>
      </c>
      <c r="C18">
        <v>2</v>
      </c>
      <c r="D18" t="s">
        <v>227</v>
      </c>
      <c r="E18" t="s">
        <v>2873</v>
      </c>
      <c r="F18">
        <v>1</v>
      </c>
      <c r="G18">
        <v>17</v>
      </c>
      <c r="I18" t="s">
        <v>30</v>
      </c>
      <c r="J18" t="s">
        <v>266</v>
      </c>
      <c r="K18" t="s">
        <v>235</v>
      </c>
      <c r="L18" t="s">
        <v>267</v>
      </c>
      <c r="M18">
        <v>42479</v>
      </c>
      <c r="N18">
        <v>20</v>
      </c>
      <c r="O18" t="s">
        <v>2890</v>
      </c>
      <c r="P18">
        <v>20</v>
      </c>
    </row>
    <row r="19" spans="1:16">
      <c r="A19" t="s">
        <v>226</v>
      </c>
      <c r="B19" t="s">
        <v>2872</v>
      </c>
      <c r="C19">
        <v>2</v>
      </c>
      <c r="D19" t="s">
        <v>227</v>
      </c>
      <c r="E19" t="s">
        <v>2873</v>
      </c>
      <c r="F19">
        <v>1</v>
      </c>
      <c r="G19">
        <v>18</v>
      </c>
      <c r="I19" t="s">
        <v>268</v>
      </c>
      <c r="J19" t="s">
        <v>269</v>
      </c>
      <c r="K19" t="s">
        <v>270</v>
      </c>
      <c r="L19" t="s">
        <v>271</v>
      </c>
      <c r="M19">
        <v>42382</v>
      </c>
      <c r="N19">
        <v>2</v>
      </c>
      <c r="O19" t="s">
        <v>2891</v>
      </c>
      <c r="P19">
        <v>2</v>
      </c>
    </row>
    <row r="20" spans="1:16">
      <c r="A20" t="s">
        <v>226</v>
      </c>
      <c r="B20" t="s">
        <v>2872</v>
      </c>
      <c r="C20">
        <v>2</v>
      </c>
      <c r="D20" t="s">
        <v>227</v>
      </c>
      <c r="E20" t="s">
        <v>2873</v>
      </c>
      <c r="F20">
        <v>1</v>
      </c>
      <c r="G20">
        <v>19</v>
      </c>
      <c r="I20" t="s">
        <v>272</v>
      </c>
      <c r="J20" t="s">
        <v>273</v>
      </c>
      <c r="K20" t="s">
        <v>32</v>
      </c>
      <c r="L20" t="s">
        <v>274</v>
      </c>
      <c r="M20">
        <v>33762</v>
      </c>
      <c r="N20">
        <v>6</v>
      </c>
      <c r="O20" t="s">
        <v>2892</v>
      </c>
      <c r="P20">
        <v>6</v>
      </c>
    </row>
    <row r="21" spans="1:16">
      <c r="A21" t="s">
        <v>226</v>
      </c>
      <c r="B21" t="s">
        <v>2872</v>
      </c>
      <c r="C21">
        <v>2</v>
      </c>
      <c r="D21" t="s">
        <v>227</v>
      </c>
      <c r="E21" t="s">
        <v>2873</v>
      </c>
      <c r="F21">
        <v>1</v>
      </c>
      <c r="G21">
        <v>20</v>
      </c>
      <c r="I21" t="s">
        <v>2893</v>
      </c>
      <c r="J21" t="s">
        <v>2894</v>
      </c>
      <c r="K21" t="s">
        <v>254</v>
      </c>
      <c r="L21" t="s">
        <v>275</v>
      </c>
      <c r="M21">
        <v>42531</v>
      </c>
      <c r="N21">
        <v>1</v>
      </c>
      <c r="O21" t="s">
        <v>2895</v>
      </c>
      <c r="P21">
        <v>1</v>
      </c>
    </row>
    <row r="22" spans="1:16">
      <c r="A22" t="s">
        <v>226</v>
      </c>
      <c r="B22" t="s">
        <v>2872</v>
      </c>
      <c r="C22">
        <v>2</v>
      </c>
      <c r="D22" t="s">
        <v>227</v>
      </c>
      <c r="E22" t="s">
        <v>2873</v>
      </c>
      <c r="F22">
        <v>1</v>
      </c>
      <c r="G22">
        <v>21</v>
      </c>
      <c r="I22" t="s">
        <v>276</v>
      </c>
      <c r="J22" t="s">
        <v>277</v>
      </c>
      <c r="K22" t="s">
        <v>250</v>
      </c>
      <c r="L22" t="s">
        <v>278</v>
      </c>
      <c r="M22">
        <v>42357</v>
      </c>
      <c r="N22">
        <v>3</v>
      </c>
      <c r="O22" t="s">
        <v>2896</v>
      </c>
      <c r="P22">
        <v>3</v>
      </c>
    </row>
    <row r="23" spans="1:16">
      <c r="A23" t="s">
        <v>226</v>
      </c>
      <c r="B23" t="s">
        <v>2872</v>
      </c>
      <c r="C23">
        <v>2</v>
      </c>
      <c r="D23" t="s">
        <v>227</v>
      </c>
      <c r="E23" t="s">
        <v>2873</v>
      </c>
      <c r="F23">
        <v>1</v>
      </c>
      <c r="G23">
        <v>22</v>
      </c>
      <c r="I23" t="s">
        <v>279</v>
      </c>
      <c r="J23" t="s">
        <v>280</v>
      </c>
      <c r="K23" t="s">
        <v>48</v>
      </c>
      <c r="L23" t="s">
        <v>281</v>
      </c>
      <c r="M23">
        <v>42514</v>
      </c>
      <c r="N23">
        <v>11</v>
      </c>
      <c r="O23" t="s">
        <v>2897</v>
      </c>
      <c r="P23">
        <v>11</v>
      </c>
    </row>
    <row r="24" spans="1:16">
      <c r="A24" t="s">
        <v>226</v>
      </c>
      <c r="B24" t="s">
        <v>2872</v>
      </c>
      <c r="C24">
        <v>2</v>
      </c>
      <c r="D24" t="s">
        <v>227</v>
      </c>
      <c r="E24" t="s">
        <v>2873</v>
      </c>
      <c r="F24">
        <v>1</v>
      </c>
      <c r="G24">
        <v>23</v>
      </c>
      <c r="I24" t="s">
        <v>282</v>
      </c>
      <c r="J24" t="s">
        <v>283</v>
      </c>
      <c r="K24" t="s">
        <v>32</v>
      </c>
      <c r="L24" t="s">
        <v>284</v>
      </c>
      <c r="M24">
        <v>42486</v>
      </c>
      <c r="N24">
        <v>3</v>
      </c>
      <c r="O24" t="s">
        <v>2898</v>
      </c>
      <c r="P24">
        <v>3</v>
      </c>
    </row>
    <row r="25" spans="1:16">
      <c r="A25" t="s">
        <v>226</v>
      </c>
      <c r="B25" t="s">
        <v>2872</v>
      </c>
      <c r="C25">
        <v>2</v>
      </c>
      <c r="D25" t="s">
        <v>227</v>
      </c>
      <c r="E25" t="s">
        <v>2873</v>
      </c>
      <c r="F25">
        <v>1</v>
      </c>
      <c r="G25">
        <v>24</v>
      </c>
      <c r="I25" t="s">
        <v>285</v>
      </c>
      <c r="J25" t="s">
        <v>286</v>
      </c>
      <c r="K25" t="s">
        <v>287</v>
      </c>
      <c r="L25" t="s">
        <v>288</v>
      </c>
      <c r="M25">
        <v>42532</v>
      </c>
      <c r="N25">
        <v>1</v>
      </c>
      <c r="O25" t="s">
        <v>2899</v>
      </c>
      <c r="P25">
        <v>1</v>
      </c>
    </row>
    <row r="26" spans="1:16">
      <c r="A26" t="s">
        <v>226</v>
      </c>
      <c r="B26" t="s">
        <v>2872</v>
      </c>
      <c r="C26">
        <v>2</v>
      </c>
      <c r="D26" t="s">
        <v>227</v>
      </c>
      <c r="E26" t="s">
        <v>2873</v>
      </c>
      <c r="F26">
        <v>1</v>
      </c>
      <c r="G26">
        <v>25</v>
      </c>
      <c r="I26" t="s">
        <v>2900</v>
      </c>
      <c r="J26" t="s">
        <v>2901</v>
      </c>
      <c r="K26" t="s">
        <v>287</v>
      </c>
      <c r="L26" t="s">
        <v>289</v>
      </c>
      <c r="M26">
        <v>42383</v>
      </c>
      <c r="N26">
        <v>1</v>
      </c>
      <c r="O26" t="s">
        <v>2902</v>
      </c>
      <c r="P26">
        <v>1</v>
      </c>
    </row>
    <row r="27" spans="1:16">
      <c r="A27" t="s">
        <v>226</v>
      </c>
      <c r="B27" t="s">
        <v>2872</v>
      </c>
      <c r="C27">
        <v>2</v>
      </c>
      <c r="D27" t="s">
        <v>227</v>
      </c>
      <c r="E27" t="s">
        <v>2873</v>
      </c>
      <c r="F27">
        <v>1</v>
      </c>
      <c r="G27">
        <v>26</v>
      </c>
      <c r="I27" t="s">
        <v>290</v>
      </c>
      <c r="J27" t="s">
        <v>291</v>
      </c>
      <c r="K27" t="s">
        <v>292</v>
      </c>
      <c r="L27" t="s">
        <v>293</v>
      </c>
      <c r="M27">
        <v>42571</v>
      </c>
      <c r="N27">
        <v>22</v>
      </c>
      <c r="O27" t="s">
        <v>2903</v>
      </c>
      <c r="P27">
        <v>22</v>
      </c>
    </row>
    <row r="28" spans="1:16">
      <c r="A28" t="s">
        <v>226</v>
      </c>
      <c r="B28" t="s">
        <v>2872</v>
      </c>
      <c r="C28">
        <v>2</v>
      </c>
      <c r="D28" t="s">
        <v>227</v>
      </c>
      <c r="E28" t="s">
        <v>2873</v>
      </c>
      <c r="F28">
        <v>1</v>
      </c>
      <c r="G28">
        <v>27</v>
      </c>
      <c r="I28" t="s">
        <v>294</v>
      </c>
      <c r="J28" t="s">
        <v>295</v>
      </c>
      <c r="K28" t="s">
        <v>22</v>
      </c>
      <c r="L28" t="s">
        <v>296</v>
      </c>
      <c r="M28">
        <v>4020</v>
      </c>
      <c r="N28">
        <v>21</v>
      </c>
      <c r="O28" t="s">
        <v>2904</v>
      </c>
      <c r="P28">
        <v>21</v>
      </c>
    </row>
    <row r="29" spans="1:16">
      <c r="A29" t="s">
        <v>226</v>
      </c>
      <c r="B29" t="s">
        <v>2872</v>
      </c>
      <c r="C29">
        <v>2</v>
      </c>
      <c r="D29" t="s">
        <v>227</v>
      </c>
      <c r="E29" t="s">
        <v>2873</v>
      </c>
      <c r="F29">
        <v>1</v>
      </c>
      <c r="G29">
        <v>28</v>
      </c>
      <c r="I29" t="s">
        <v>50</v>
      </c>
      <c r="J29" t="s">
        <v>51</v>
      </c>
      <c r="K29" t="s">
        <v>22</v>
      </c>
      <c r="L29" t="s">
        <v>52</v>
      </c>
      <c r="M29">
        <v>42335</v>
      </c>
      <c r="N29">
        <v>10</v>
      </c>
      <c r="O29" t="s">
        <v>2905</v>
      </c>
      <c r="P29">
        <v>10</v>
      </c>
    </row>
    <row r="30" spans="1:16">
      <c r="A30" t="s">
        <v>226</v>
      </c>
      <c r="B30" t="s">
        <v>2872</v>
      </c>
      <c r="C30">
        <v>2</v>
      </c>
      <c r="D30" t="s">
        <v>227</v>
      </c>
      <c r="E30" t="s">
        <v>2873</v>
      </c>
      <c r="F30">
        <v>1</v>
      </c>
      <c r="G30">
        <v>29</v>
      </c>
      <c r="I30" t="s">
        <v>46</v>
      </c>
      <c r="J30" t="s">
        <v>47</v>
      </c>
      <c r="K30" t="s">
        <v>48</v>
      </c>
      <c r="L30" t="s">
        <v>49</v>
      </c>
      <c r="M30">
        <v>10481</v>
      </c>
      <c r="N30">
        <v>7</v>
      </c>
      <c r="O30" t="s">
        <v>2906</v>
      </c>
      <c r="P30">
        <v>7</v>
      </c>
    </row>
    <row r="31" spans="1:16">
      <c r="A31" t="s">
        <v>226</v>
      </c>
      <c r="B31" t="s">
        <v>2872</v>
      </c>
      <c r="C31">
        <v>2</v>
      </c>
      <c r="D31" t="s">
        <v>227</v>
      </c>
      <c r="E31" t="s">
        <v>2873</v>
      </c>
      <c r="F31">
        <v>1</v>
      </c>
      <c r="G31">
        <v>30</v>
      </c>
      <c r="I31" t="s">
        <v>37</v>
      </c>
      <c r="J31" t="s">
        <v>38</v>
      </c>
      <c r="K31" t="s">
        <v>22</v>
      </c>
      <c r="L31" t="s">
        <v>39</v>
      </c>
      <c r="M31">
        <v>33765</v>
      </c>
      <c r="N31">
        <v>4</v>
      </c>
      <c r="O31" t="s">
        <v>2907</v>
      </c>
      <c r="P31">
        <v>4</v>
      </c>
    </row>
    <row r="32" spans="1:16">
      <c r="A32" t="s">
        <v>226</v>
      </c>
      <c r="B32" t="s">
        <v>2872</v>
      </c>
      <c r="C32">
        <v>2</v>
      </c>
      <c r="D32" t="s">
        <v>227</v>
      </c>
      <c r="E32" t="s">
        <v>2873</v>
      </c>
      <c r="F32">
        <v>1</v>
      </c>
      <c r="G32">
        <v>31</v>
      </c>
      <c r="I32" t="s">
        <v>297</v>
      </c>
      <c r="J32" t="s">
        <v>298</v>
      </c>
      <c r="K32" t="s">
        <v>48</v>
      </c>
      <c r="L32" t="s">
        <v>299</v>
      </c>
      <c r="M32">
        <v>42502</v>
      </c>
      <c r="N32">
        <v>5</v>
      </c>
      <c r="O32" t="s">
        <v>2908</v>
      </c>
      <c r="P32">
        <v>5</v>
      </c>
    </row>
    <row r="33" spans="1:16">
      <c r="A33" t="s">
        <v>226</v>
      </c>
      <c r="B33" t="s">
        <v>2872</v>
      </c>
      <c r="C33">
        <v>2</v>
      </c>
      <c r="D33" t="s">
        <v>227</v>
      </c>
      <c r="E33" t="s">
        <v>2873</v>
      </c>
      <c r="F33">
        <v>1</v>
      </c>
      <c r="G33">
        <v>32</v>
      </c>
      <c r="I33" t="s">
        <v>40</v>
      </c>
      <c r="J33" t="s">
        <v>41</v>
      </c>
      <c r="K33" t="s">
        <v>22</v>
      </c>
      <c r="L33" t="s">
        <v>42</v>
      </c>
      <c r="M33">
        <v>42379</v>
      </c>
      <c r="N33">
        <v>1</v>
      </c>
      <c r="O33" t="s">
        <v>2909</v>
      </c>
      <c r="P33">
        <v>1</v>
      </c>
    </row>
    <row r="34" spans="1:16">
      <c r="A34" t="s">
        <v>226</v>
      </c>
      <c r="B34" t="s">
        <v>2872</v>
      </c>
      <c r="C34">
        <v>2</v>
      </c>
      <c r="D34" t="s">
        <v>227</v>
      </c>
      <c r="E34" t="s">
        <v>2873</v>
      </c>
      <c r="F34">
        <v>1</v>
      </c>
      <c r="G34">
        <v>33</v>
      </c>
      <c r="I34" t="s">
        <v>300</v>
      </c>
      <c r="J34" t="s">
        <v>2910</v>
      </c>
      <c r="K34" t="s">
        <v>32</v>
      </c>
      <c r="L34" t="s">
        <v>301</v>
      </c>
      <c r="M34">
        <v>42430</v>
      </c>
      <c r="N34">
        <v>7</v>
      </c>
      <c r="O34" t="s">
        <v>2911</v>
      </c>
      <c r="P34">
        <v>7</v>
      </c>
    </row>
    <row r="35" spans="1:16">
      <c r="A35" t="s">
        <v>226</v>
      </c>
      <c r="B35" t="s">
        <v>2872</v>
      </c>
      <c r="C35">
        <v>2</v>
      </c>
      <c r="D35" t="s">
        <v>227</v>
      </c>
      <c r="E35" t="s">
        <v>2873</v>
      </c>
      <c r="F35">
        <v>1</v>
      </c>
      <c r="G35">
        <v>34</v>
      </c>
      <c r="I35" t="s">
        <v>302</v>
      </c>
      <c r="J35" t="s">
        <v>303</v>
      </c>
      <c r="K35" t="s">
        <v>22</v>
      </c>
      <c r="L35" t="s">
        <v>304</v>
      </c>
      <c r="M35">
        <v>42489</v>
      </c>
      <c r="N35">
        <v>36</v>
      </c>
      <c r="O35" t="s">
        <v>2912</v>
      </c>
      <c r="P35">
        <v>36</v>
      </c>
    </row>
    <row r="36" spans="1:16">
      <c r="A36" t="s">
        <v>226</v>
      </c>
      <c r="B36" t="s">
        <v>2872</v>
      </c>
      <c r="C36">
        <v>2</v>
      </c>
      <c r="D36" t="s">
        <v>227</v>
      </c>
      <c r="E36" t="s">
        <v>2873</v>
      </c>
      <c r="F36">
        <v>1</v>
      </c>
      <c r="G36">
        <v>35</v>
      </c>
      <c r="I36" t="s">
        <v>2913</v>
      </c>
      <c r="J36" t="s">
        <v>2914</v>
      </c>
      <c r="K36" t="s">
        <v>48</v>
      </c>
      <c r="L36" t="s">
        <v>305</v>
      </c>
      <c r="M36">
        <v>42614</v>
      </c>
      <c r="N36">
        <v>2</v>
      </c>
      <c r="O36" t="s">
        <v>2915</v>
      </c>
      <c r="P36">
        <v>2</v>
      </c>
    </row>
    <row r="37" spans="1:16">
      <c r="A37" t="s">
        <v>226</v>
      </c>
      <c r="B37" t="s">
        <v>2872</v>
      </c>
      <c r="C37">
        <v>2</v>
      </c>
      <c r="D37" t="s">
        <v>227</v>
      </c>
      <c r="E37" t="s">
        <v>2873</v>
      </c>
      <c r="F37">
        <v>1</v>
      </c>
      <c r="G37">
        <v>36</v>
      </c>
      <c r="I37" t="s">
        <v>290</v>
      </c>
      <c r="J37" t="s">
        <v>306</v>
      </c>
      <c r="K37" t="s">
        <v>22</v>
      </c>
      <c r="L37" t="s">
        <v>307</v>
      </c>
      <c r="M37">
        <v>42490</v>
      </c>
      <c r="N37">
        <v>1</v>
      </c>
      <c r="O37" t="s">
        <v>2916</v>
      </c>
      <c r="P37">
        <v>1</v>
      </c>
    </row>
    <row r="38" spans="1:16">
      <c r="A38" t="s">
        <v>226</v>
      </c>
      <c r="B38" t="s">
        <v>2872</v>
      </c>
      <c r="C38">
        <v>2</v>
      </c>
      <c r="D38" t="s">
        <v>227</v>
      </c>
      <c r="E38" t="s">
        <v>2873</v>
      </c>
      <c r="F38">
        <v>1</v>
      </c>
      <c r="G38">
        <v>37</v>
      </c>
      <c r="I38" t="s">
        <v>308</v>
      </c>
      <c r="J38" t="s">
        <v>309</v>
      </c>
      <c r="K38" t="s">
        <v>32</v>
      </c>
      <c r="L38" t="s">
        <v>310</v>
      </c>
      <c r="M38">
        <v>10526</v>
      </c>
      <c r="N38">
        <v>4</v>
      </c>
      <c r="O38" t="s">
        <v>2917</v>
      </c>
      <c r="P38">
        <v>4</v>
      </c>
    </row>
    <row r="39" spans="1:16">
      <c r="A39" t="s">
        <v>226</v>
      </c>
      <c r="B39" t="s">
        <v>2872</v>
      </c>
      <c r="C39">
        <v>2</v>
      </c>
      <c r="D39" t="s">
        <v>227</v>
      </c>
      <c r="E39" t="s">
        <v>2873</v>
      </c>
      <c r="F39">
        <v>1</v>
      </c>
      <c r="G39">
        <v>38</v>
      </c>
      <c r="I39" t="s">
        <v>311</v>
      </c>
      <c r="J39" t="s">
        <v>312</v>
      </c>
      <c r="K39" t="s">
        <v>48</v>
      </c>
      <c r="L39" t="s">
        <v>313</v>
      </c>
      <c r="M39">
        <v>42519</v>
      </c>
      <c r="N39">
        <v>7</v>
      </c>
      <c r="O39" t="s">
        <v>2918</v>
      </c>
      <c r="P39">
        <v>7</v>
      </c>
    </row>
    <row r="40" spans="1:16">
      <c r="A40" t="s">
        <v>226</v>
      </c>
      <c r="B40" t="s">
        <v>2872</v>
      </c>
      <c r="C40">
        <v>2</v>
      </c>
      <c r="D40" t="s">
        <v>227</v>
      </c>
      <c r="E40" t="s">
        <v>2873</v>
      </c>
      <c r="F40">
        <v>1</v>
      </c>
      <c r="G40">
        <v>39</v>
      </c>
      <c r="I40" t="s">
        <v>145</v>
      </c>
      <c r="J40" t="s">
        <v>146</v>
      </c>
      <c r="K40" t="s">
        <v>22</v>
      </c>
      <c r="L40" t="s">
        <v>147</v>
      </c>
      <c r="M40">
        <v>33885</v>
      </c>
      <c r="N40">
        <v>3</v>
      </c>
      <c r="O40" t="s">
        <v>2919</v>
      </c>
      <c r="P40">
        <v>3</v>
      </c>
    </row>
    <row r="41" spans="1:16">
      <c r="A41" t="s">
        <v>226</v>
      </c>
      <c r="B41" t="s">
        <v>2872</v>
      </c>
      <c r="C41">
        <v>2</v>
      </c>
      <c r="D41" t="s">
        <v>227</v>
      </c>
      <c r="E41" t="s">
        <v>2873</v>
      </c>
      <c r="F41">
        <v>1</v>
      </c>
      <c r="G41">
        <v>40</v>
      </c>
      <c r="I41" t="s">
        <v>314</v>
      </c>
      <c r="J41" t="s">
        <v>315</v>
      </c>
      <c r="K41" t="s">
        <v>316</v>
      </c>
      <c r="L41" t="s">
        <v>317</v>
      </c>
      <c r="M41">
        <v>10402</v>
      </c>
      <c r="N41">
        <v>2</v>
      </c>
      <c r="O41" t="s">
        <v>2920</v>
      </c>
      <c r="P41">
        <v>2</v>
      </c>
    </row>
    <row r="42" spans="1:16">
      <c r="A42" t="s">
        <v>226</v>
      </c>
      <c r="B42" t="s">
        <v>2872</v>
      </c>
      <c r="C42">
        <v>2</v>
      </c>
      <c r="D42" t="s">
        <v>227</v>
      </c>
      <c r="E42" t="s">
        <v>2873</v>
      </c>
      <c r="F42">
        <v>1</v>
      </c>
      <c r="G42">
        <v>41</v>
      </c>
      <c r="I42" t="s">
        <v>318</v>
      </c>
      <c r="J42" t="s">
        <v>319</v>
      </c>
      <c r="K42" t="s">
        <v>320</v>
      </c>
      <c r="L42" t="s">
        <v>321</v>
      </c>
      <c r="M42">
        <v>42317</v>
      </c>
      <c r="N42">
        <v>1</v>
      </c>
      <c r="O42" t="s">
        <v>322</v>
      </c>
      <c r="P42">
        <v>1</v>
      </c>
    </row>
    <row r="43" spans="1:16">
      <c r="A43" t="s">
        <v>226</v>
      </c>
      <c r="B43" t="s">
        <v>2872</v>
      </c>
      <c r="C43">
        <v>2</v>
      </c>
      <c r="D43" t="s">
        <v>227</v>
      </c>
      <c r="E43" t="s">
        <v>2873</v>
      </c>
      <c r="F43">
        <v>1</v>
      </c>
      <c r="G43">
        <v>42</v>
      </c>
      <c r="I43" t="s">
        <v>323</v>
      </c>
      <c r="J43" t="s">
        <v>2921</v>
      </c>
      <c r="K43" t="s">
        <v>324</v>
      </c>
      <c r="L43" t="s">
        <v>325</v>
      </c>
      <c r="M43">
        <v>42363</v>
      </c>
      <c r="N43">
        <v>5</v>
      </c>
      <c r="O43" t="s">
        <v>2922</v>
      </c>
      <c r="P43">
        <v>5</v>
      </c>
    </row>
    <row r="44" spans="1:16">
      <c r="A44" t="s">
        <v>226</v>
      </c>
      <c r="B44" t="s">
        <v>2872</v>
      </c>
      <c r="C44">
        <v>2</v>
      </c>
      <c r="D44" t="s">
        <v>227</v>
      </c>
      <c r="E44" t="s">
        <v>2873</v>
      </c>
      <c r="F44">
        <v>1</v>
      </c>
      <c r="G44">
        <v>43</v>
      </c>
      <c r="I44" t="s">
        <v>326</v>
      </c>
      <c r="J44" t="s">
        <v>327</v>
      </c>
      <c r="K44" t="s">
        <v>73</v>
      </c>
      <c r="L44" t="s">
        <v>328</v>
      </c>
      <c r="M44">
        <v>42389</v>
      </c>
      <c r="N44">
        <v>3</v>
      </c>
      <c r="O44" t="s">
        <v>2923</v>
      </c>
      <c r="P44">
        <v>3</v>
      </c>
    </row>
    <row r="45" spans="1:16">
      <c r="A45" t="s">
        <v>226</v>
      </c>
      <c r="B45" t="s">
        <v>2872</v>
      </c>
      <c r="C45">
        <v>2</v>
      </c>
      <c r="D45" t="s">
        <v>227</v>
      </c>
      <c r="E45" t="s">
        <v>2873</v>
      </c>
      <c r="F45">
        <v>1</v>
      </c>
      <c r="G45">
        <v>44</v>
      </c>
      <c r="I45" t="s">
        <v>329</v>
      </c>
      <c r="J45" t="s">
        <v>330</v>
      </c>
      <c r="K45" t="s">
        <v>324</v>
      </c>
      <c r="L45" t="s">
        <v>331</v>
      </c>
      <c r="M45">
        <v>42493</v>
      </c>
      <c r="N45">
        <v>2</v>
      </c>
      <c r="O45" t="s">
        <v>2924</v>
      </c>
      <c r="P45">
        <v>2</v>
      </c>
    </row>
    <row r="46" spans="1:16">
      <c r="A46" t="s">
        <v>226</v>
      </c>
      <c r="B46" t="s">
        <v>2872</v>
      </c>
      <c r="C46">
        <v>2</v>
      </c>
      <c r="D46" t="s">
        <v>227</v>
      </c>
      <c r="E46" t="s">
        <v>2873</v>
      </c>
      <c r="F46">
        <v>1</v>
      </c>
      <c r="G46">
        <v>45</v>
      </c>
      <c r="I46" t="s">
        <v>56</v>
      </c>
      <c r="J46" t="s">
        <v>2814</v>
      </c>
      <c r="K46" t="s">
        <v>57</v>
      </c>
      <c r="L46" t="s">
        <v>58</v>
      </c>
      <c r="M46">
        <v>10424</v>
      </c>
      <c r="N46">
        <v>1</v>
      </c>
      <c r="O46" t="s">
        <v>332</v>
      </c>
      <c r="P46">
        <v>1</v>
      </c>
    </row>
    <row r="47" spans="1:16">
      <c r="A47" t="s">
        <v>226</v>
      </c>
      <c r="B47" t="s">
        <v>2872</v>
      </c>
      <c r="C47">
        <v>2</v>
      </c>
      <c r="D47" t="s">
        <v>227</v>
      </c>
      <c r="E47" t="s">
        <v>2873</v>
      </c>
      <c r="F47">
        <v>1</v>
      </c>
      <c r="G47">
        <v>46</v>
      </c>
      <c r="I47" t="s">
        <v>67</v>
      </c>
      <c r="J47" t="s">
        <v>2819</v>
      </c>
      <c r="K47" t="s">
        <v>333</v>
      </c>
      <c r="L47" t="s">
        <v>68</v>
      </c>
      <c r="M47">
        <v>10428</v>
      </c>
      <c r="N47">
        <v>1</v>
      </c>
      <c r="O47" t="s">
        <v>334</v>
      </c>
      <c r="P47">
        <v>1</v>
      </c>
    </row>
    <row r="48" spans="1:16">
      <c r="A48" t="s">
        <v>226</v>
      </c>
      <c r="B48" t="s">
        <v>2872</v>
      </c>
      <c r="C48">
        <v>2</v>
      </c>
      <c r="D48" t="s">
        <v>227</v>
      </c>
      <c r="E48" t="s">
        <v>2873</v>
      </c>
      <c r="F48">
        <v>1</v>
      </c>
      <c r="G48">
        <v>47</v>
      </c>
      <c r="I48" t="s">
        <v>59</v>
      </c>
      <c r="J48" t="s">
        <v>2815</v>
      </c>
      <c r="K48" t="s">
        <v>335</v>
      </c>
      <c r="L48" t="s">
        <v>60</v>
      </c>
      <c r="M48">
        <v>10173</v>
      </c>
      <c r="N48">
        <v>1</v>
      </c>
      <c r="O48" t="s">
        <v>336</v>
      </c>
      <c r="P48">
        <v>1</v>
      </c>
    </row>
    <row r="49" spans="1:16">
      <c r="A49" t="s">
        <v>226</v>
      </c>
      <c r="B49" t="s">
        <v>2872</v>
      </c>
      <c r="C49">
        <v>2</v>
      </c>
      <c r="D49" t="s">
        <v>227</v>
      </c>
      <c r="E49" t="s">
        <v>2873</v>
      </c>
      <c r="F49">
        <v>1</v>
      </c>
      <c r="G49">
        <v>48</v>
      </c>
      <c r="I49" t="s">
        <v>337</v>
      </c>
      <c r="J49" t="s">
        <v>338</v>
      </c>
      <c r="K49" t="s">
        <v>339</v>
      </c>
      <c r="L49" t="s">
        <v>340</v>
      </c>
      <c r="M49">
        <v>42608</v>
      </c>
      <c r="N49">
        <v>1</v>
      </c>
      <c r="O49" t="s">
        <v>341</v>
      </c>
      <c r="P49">
        <v>1</v>
      </c>
    </row>
    <row r="50" spans="1:16">
      <c r="A50" t="s">
        <v>226</v>
      </c>
      <c r="B50" t="s">
        <v>2872</v>
      </c>
      <c r="C50">
        <v>2</v>
      </c>
      <c r="D50" t="s">
        <v>227</v>
      </c>
      <c r="E50" t="s">
        <v>2873</v>
      </c>
      <c r="F50">
        <v>1</v>
      </c>
      <c r="G50">
        <v>49</v>
      </c>
      <c r="I50" t="s">
        <v>342</v>
      </c>
      <c r="J50" t="s">
        <v>2925</v>
      </c>
      <c r="K50" t="s">
        <v>324</v>
      </c>
      <c r="L50" t="s">
        <v>343</v>
      </c>
      <c r="M50">
        <v>42395</v>
      </c>
      <c r="N50">
        <v>2</v>
      </c>
      <c r="O50" t="s">
        <v>2926</v>
      </c>
      <c r="P50">
        <v>2</v>
      </c>
    </row>
    <row r="51" spans="1:16">
      <c r="A51" t="s">
        <v>226</v>
      </c>
      <c r="B51" t="s">
        <v>2872</v>
      </c>
      <c r="C51">
        <v>2</v>
      </c>
      <c r="D51" t="s">
        <v>227</v>
      </c>
      <c r="E51" t="s">
        <v>2873</v>
      </c>
      <c r="F51">
        <v>1</v>
      </c>
      <c r="G51">
        <v>50</v>
      </c>
      <c r="I51" t="s">
        <v>344</v>
      </c>
      <c r="J51" t="s">
        <v>345</v>
      </c>
      <c r="K51" t="s">
        <v>324</v>
      </c>
      <c r="L51" t="s">
        <v>346</v>
      </c>
      <c r="M51">
        <v>33884</v>
      </c>
      <c r="N51">
        <v>2</v>
      </c>
      <c r="O51" t="s">
        <v>2927</v>
      </c>
      <c r="P51">
        <v>2</v>
      </c>
    </row>
    <row r="52" spans="1:16">
      <c r="A52" t="s">
        <v>226</v>
      </c>
      <c r="B52" t="s">
        <v>2872</v>
      </c>
      <c r="C52">
        <v>2</v>
      </c>
      <c r="D52" t="s">
        <v>227</v>
      </c>
      <c r="E52" t="s">
        <v>2873</v>
      </c>
      <c r="F52">
        <v>1</v>
      </c>
      <c r="G52">
        <v>51</v>
      </c>
      <c r="I52" t="s">
        <v>347</v>
      </c>
      <c r="J52" t="s">
        <v>348</v>
      </c>
      <c r="K52" t="s">
        <v>339</v>
      </c>
      <c r="L52" t="s">
        <v>349</v>
      </c>
      <c r="M52">
        <v>10468</v>
      </c>
      <c r="N52">
        <v>3</v>
      </c>
      <c r="O52" t="s">
        <v>2928</v>
      </c>
      <c r="P52">
        <v>3</v>
      </c>
    </row>
    <row r="53" spans="1:16">
      <c r="A53" t="s">
        <v>226</v>
      </c>
      <c r="B53" t="s">
        <v>2872</v>
      </c>
      <c r="C53">
        <v>2</v>
      </c>
      <c r="D53" t="s">
        <v>227</v>
      </c>
      <c r="E53" t="s">
        <v>2873</v>
      </c>
      <c r="F53">
        <v>1</v>
      </c>
      <c r="G53">
        <v>52</v>
      </c>
      <c r="I53" t="s">
        <v>350</v>
      </c>
      <c r="J53" t="s">
        <v>2929</v>
      </c>
      <c r="K53" t="s">
        <v>351</v>
      </c>
      <c r="L53" t="s">
        <v>352</v>
      </c>
      <c r="M53">
        <v>42362</v>
      </c>
      <c r="N53">
        <v>1</v>
      </c>
      <c r="O53" t="s">
        <v>353</v>
      </c>
      <c r="P53">
        <v>1</v>
      </c>
    </row>
    <row r="54" spans="1:16">
      <c r="A54" t="s">
        <v>226</v>
      </c>
      <c r="B54" t="s">
        <v>2872</v>
      </c>
      <c r="C54">
        <v>2</v>
      </c>
      <c r="D54" t="s">
        <v>227</v>
      </c>
      <c r="E54" t="s">
        <v>2873</v>
      </c>
      <c r="F54">
        <v>1</v>
      </c>
      <c r="G54">
        <v>53</v>
      </c>
      <c r="I54" t="s">
        <v>354</v>
      </c>
      <c r="J54" t="s">
        <v>355</v>
      </c>
      <c r="K54" t="s">
        <v>324</v>
      </c>
      <c r="L54" t="s">
        <v>356</v>
      </c>
      <c r="M54">
        <v>10243</v>
      </c>
      <c r="N54">
        <v>3</v>
      </c>
      <c r="O54" t="s">
        <v>2930</v>
      </c>
      <c r="P54">
        <v>3</v>
      </c>
    </row>
    <row r="55" spans="1:16">
      <c r="A55" t="s">
        <v>226</v>
      </c>
      <c r="B55" t="s">
        <v>2872</v>
      </c>
      <c r="C55">
        <v>2</v>
      </c>
      <c r="D55" t="s">
        <v>227</v>
      </c>
      <c r="E55" t="s">
        <v>2873</v>
      </c>
      <c r="F55">
        <v>1</v>
      </c>
      <c r="G55">
        <v>54</v>
      </c>
      <c r="I55" t="s">
        <v>357</v>
      </c>
      <c r="J55" t="s">
        <v>2931</v>
      </c>
      <c r="K55" t="s">
        <v>358</v>
      </c>
      <c r="L55" t="s">
        <v>359</v>
      </c>
      <c r="M55">
        <v>42359</v>
      </c>
      <c r="N55">
        <v>4</v>
      </c>
      <c r="O55" t="s">
        <v>2932</v>
      </c>
      <c r="P55">
        <v>4</v>
      </c>
    </row>
    <row r="56" spans="1:16">
      <c r="A56" t="s">
        <v>226</v>
      </c>
      <c r="B56" t="s">
        <v>2872</v>
      </c>
      <c r="C56">
        <v>2</v>
      </c>
      <c r="D56" t="s">
        <v>227</v>
      </c>
      <c r="E56" t="s">
        <v>2873</v>
      </c>
      <c r="F56">
        <v>1</v>
      </c>
      <c r="G56">
        <v>55</v>
      </c>
      <c r="I56" t="s">
        <v>360</v>
      </c>
      <c r="J56" t="s">
        <v>361</v>
      </c>
      <c r="K56" t="s">
        <v>362</v>
      </c>
      <c r="L56" t="s">
        <v>363</v>
      </c>
      <c r="M56">
        <v>42347</v>
      </c>
      <c r="N56">
        <v>1</v>
      </c>
      <c r="O56" t="s">
        <v>364</v>
      </c>
      <c r="P56">
        <v>1</v>
      </c>
    </row>
    <row r="57" spans="1:16">
      <c r="A57" t="s">
        <v>226</v>
      </c>
      <c r="B57" t="s">
        <v>2872</v>
      </c>
      <c r="C57">
        <v>2</v>
      </c>
      <c r="D57" t="s">
        <v>227</v>
      </c>
      <c r="E57" t="s">
        <v>2873</v>
      </c>
      <c r="F57">
        <v>1</v>
      </c>
      <c r="G57">
        <v>56</v>
      </c>
      <c r="I57" t="s">
        <v>365</v>
      </c>
      <c r="J57" t="s">
        <v>366</v>
      </c>
      <c r="K57" t="s">
        <v>367</v>
      </c>
      <c r="L57" t="s">
        <v>368</v>
      </c>
      <c r="M57">
        <v>42330</v>
      </c>
      <c r="N57">
        <v>4</v>
      </c>
      <c r="O57" t="s">
        <v>2933</v>
      </c>
      <c r="P57">
        <v>4</v>
      </c>
    </row>
    <row r="58" spans="1:16">
      <c r="A58" t="s">
        <v>226</v>
      </c>
      <c r="B58" t="s">
        <v>2872</v>
      </c>
      <c r="C58">
        <v>2</v>
      </c>
      <c r="D58" t="s">
        <v>227</v>
      </c>
      <c r="E58" t="s">
        <v>2873</v>
      </c>
      <c r="F58">
        <v>1</v>
      </c>
      <c r="G58">
        <v>57</v>
      </c>
      <c r="I58" t="s">
        <v>369</v>
      </c>
      <c r="J58" t="s">
        <v>2934</v>
      </c>
      <c r="K58" t="s">
        <v>335</v>
      </c>
      <c r="L58" t="s">
        <v>370</v>
      </c>
      <c r="M58">
        <v>42398</v>
      </c>
      <c r="N58">
        <v>4</v>
      </c>
      <c r="O58" t="s">
        <v>2935</v>
      </c>
      <c r="P58">
        <v>4</v>
      </c>
    </row>
    <row r="59" spans="1:16">
      <c r="A59" t="s">
        <v>226</v>
      </c>
      <c r="B59" t="s">
        <v>2872</v>
      </c>
      <c r="C59">
        <v>2</v>
      </c>
      <c r="D59" t="s">
        <v>227</v>
      </c>
      <c r="E59" t="s">
        <v>2873</v>
      </c>
      <c r="F59">
        <v>1</v>
      </c>
      <c r="G59">
        <v>58</v>
      </c>
      <c r="I59" t="s">
        <v>371</v>
      </c>
      <c r="J59" t="s">
        <v>372</v>
      </c>
      <c r="K59" t="s">
        <v>339</v>
      </c>
      <c r="L59" t="s">
        <v>373</v>
      </c>
      <c r="M59">
        <v>42461</v>
      </c>
      <c r="N59">
        <v>2</v>
      </c>
      <c r="O59" t="s">
        <v>2936</v>
      </c>
      <c r="P59">
        <v>2</v>
      </c>
    </row>
    <row r="60" spans="1:16">
      <c r="A60" t="s">
        <v>226</v>
      </c>
      <c r="B60" t="s">
        <v>2872</v>
      </c>
      <c r="C60">
        <v>2</v>
      </c>
      <c r="D60" t="s">
        <v>227</v>
      </c>
      <c r="E60" t="s">
        <v>2873</v>
      </c>
      <c r="F60">
        <v>1</v>
      </c>
      <c r="G60">
        <v>59</v>
      </c>
      <c r="I60" t="s">
        <v>165</v>
      </c>
      <c r="J60" t="s">
        <v>166</v>
      </c>
      <c r="K60" t="s">
        <v>374</v>
      </c>
      <c r="L60" t="s">
        <v>167</v>
      </c>
      <c r="M60">
        <v>1505</v>
      </c>
      <c r="N60">
        <v>2</v>
      </c>
      <c r="O60" t="s">
        <v>2937</v>
      </c>
      <c r="P60">
        <v>2</v>
      </c>
    </row>
    <row r="61" spans="1:16">
      <c r="A61" t="s">
        <v>226</v>
      </c>
      <c r="B61" t="s">
        <v>2872</v>
      </c>
      <c r="C61">
        <v>2</v>
      </c>
      <c r="D61" t="s">
        <v>227</v>
      </c>
      <c r="E61" t="s">
        <v>2873</v>
      </c>
      <c r="F61">
        <v>1</v>
      </c>
      <c r="G61">
        <v>60</v>
      </c>
      <c r="I61" t="s">
        <v>161</v>
      </c>
      <c r="J61" t="s">
        <v>162</v>
      </c>
      <c r="K61" t="s">
        <v>374</v>
      </c>
      <c r="L61" t="s">
        <v>163</v>
      </c>
      <c r="M61">
        <v>1482</v>
      </c>
      <c r="N61">
        <v>1</v>
      </c>
      <c r="O61" t="s">
        <v>375</v>
      </c>
      <c r="P61">
        <v>1</v>
      </c>
    </row>
    <row r="62" spans="1:16">
      <c r="A62" t="s">
        <v>226</v>
      </c>
      <c r="B62" t="s">
        <v>2872</v>
      </c>
      <c r="C62">
        <v>2</v>
      </c>
      <c r="D62" t="s">
        <v>227</v>
      </c>
      <c r="E62" t="s">
        <v>2873</v>
      </c>
      <c r="F62">
        <v>1</v>
      </c>
      <c r="G62">
        <v>61</v>
      </c>
      <c r="I62" t="s">
        <v>376</v>
      </c>
      <c r="J62" t="s">
        <v>377</v>
      </c>
      <c r="K62" t="s">
        <v>339</v>
      </c>
      <c r="L62" t="s">
        <v>378</v>
      </c>
      <c r="M62">
        <v>42468</v>
      </c>
      <c r="N62">
        <v>2</v>
      </c>
      <c r="O62" t="s">
        <v>2938</v>
      </c>
      <c r="P62">
        <v>2</v>
      </c>
    </row>
    <row r="63" spans="1:16">
      <c r="A63" t="s">
        <v>226</v>
      </c>
      <c r="B63" t="s">
        <v>2872</v>
      </c>
      <c r="C63">
        <v>2</v>
      </c>
      <c r="D63" t="s">
        <v>227</v>
      </c>
      <c r="E63" t="s">
        <v>2873</v>
      </c>
      <c r="F63">
        <v>1</v>
      </c>
      <c r="G63">
        <v>62</v>
      </c>
      <c r="I63" t="s">
        <v>379</v>
      </c>
      <c r="J63" t="s">
        <v>380</v>
      </c>
      <c r="K63" t="s">
        <v>367</v>
      </c>
      <c r="L63" t="s">
        <v>381</v>
      </c>
      <c r="M63">
        <v>42555</v>
      </c>
      <c r="N63">
        <v>2</v>
      </c>
      <c r="O63" t="s">
        <v>2939</v>
      </c>
      <c r="P63">
        <v>2</v>
      </c>
    </row>
    <row r="64" spans="1:16">
      <c r="A64" t="s">
        <v>226</v>
      </c>
      <c r="B64" t="s">
        <v>2872</v>
      </c>
      <c r="C64">
        <v>2</v>
      </c>
      <c r="D64" t="s">
        <v>227</v>
      </c>
      <c r="E64" t="s">
        <v>2873</v>
      </c>
      <c r="F64">
        <v>1</v>
      </c>
      <c r="G64">
        <v>63</v>
      </c>
      <c r="I64" t="s">
        <v>382</v>
      </c>
      <c r="J64" t="s">
        <v>383</v>
      </c>
      <c r="K64" t="s">
        <v>367</v>
      </c>
      <c r="L64" t="s">
        <v>384</v>
      </c>
      <c r="M64">
        <v>42548</v>
      </c>
      <c r="N64">
        <v>4</v>
      </c>
      <c r="O64" t="s">
        <v>2940</v>
      </c>
      <c r="P64">
        <v>4</v>
      </c>
    </row>
    <row r="65" spans="1:16">
      <c r="A65" t="s">
        <v>226</v>
      </c>
      <c r="B65" t="s">
        <v>2872</v>
      </c>
      <c r="C65">
        <v>2</v>
      </c>
      <c r="D65" t="s">
        <v>227</v>
      </c>
      <c r="E65" t="s">
        <v>2873</v>
      </c>
      <c r="F65">
        <v>1</v>
      </c>
      <c r="G65">
        <v>64</v>
      </c>
      <c r="I65" t="s">
        <v>2941</v>
      </c>
      <c r="J65" t="s">
        <v>2942</v>
      </c>
      <c r="K65" t="s">
        <v>182</v>
      </c>
      <c r="L65" t="s">
        <v>385</v>
      </c>
      <c r="M65">
        <v>10315</v>
      </c>
      <c r="N65">
        <v>1</v>
      </c>
      <c r="O65" t="s">
        <v>386</v>
      </c>
      <c r="P65">
        <v>1</v>
      </c>
    </row>
    <row r="66" spans="1:16">
      <c r="A66" t="s">
        <v>226</v>
      </c>
      <c r="B66" t="s">
        <v>2872</v>
      </c>
      <c r="C66">
        <v>2</v>
      </c>
      <c r="D66" t="s">
        <v>227</v>
      </c>
      <c r="E66" t="s">
        <v>2873</v>
      </c>
      <c r="F66">
        <v>1</v>
      </c>
      <c r="G66">
        <v>65</v>
      </c>
      <c r="I66" t="s">
        <v>387</v>
      </c>
      <c r="J66" t="s">
        <v>388</v>
      </c>
      <c r="K66" t="s">
        <v>339</v>
      </c>
      <c r="L66" t="s">
        <v>389</v>
      </c>
      <c r="M66">
        <v>42554</v>
      </c>
      <c r="N66">
        <v>2</v>
      </c>
      <c r="O66" t="s">
        <v>2943</v>
      </c>
      <c r="P66">
        <v>2</v>
      </c>
    </row>
    <row r="67" spans="1:16">
      <c r="A67" t="s">
        <v>226</v>
      </c>
      <c r="B67" t="s">
        <v>2872</v>
      </c>
      <c r="C67">
        <v>2</v>
      </c>
      <c r="D67" t="s">
        <v>227</v>
      </c>
      <c r="E67" t="s">
        <v>2873</v>
      </c>
      <c r="F67">
        <v>1</v>
      </c>
      <c r="G67">
        <v>66</v>
      </c>
      <c r="I67" t="s">
        <v>174</v>
      </c>
      <c r="J67" t="s">
        <v>175</v>
      </c>
      <c r="K67" t="s">
        <v>333</v>
      </c>
      <c r="L67" t="s">
        <v>176</v>
      </c>
      <c r="M67">
        <v>10430</v>
      </c>
      <c r="N67">
        <v>4</v>
      </c>
      <c r="O67" t="s">
        <v>2944</v>
      </c>
      <c r="P67">
        <v>4</v>
      </c>
    </row>
    <row r="68" spans="1:16">
      <c r="A68" t="s">
        <v>226</v>
      </c>
      <c r="B68" t="s">
        <v>2872</v>
      </c>
      <c r="C68">
        <v>2</v>
      </c>
      <c r="D68" t="s">
        <v>227</v>
      </c>
      <c r="E68" t="s">
        <v>2873</v>
      </c>
      <c r="F68">
        <v>1</v>
      </c>
      <c r="G68">
        <v>67</v>
      </c>
      <c r="I68" t="s">
        <v>390</v>
      </c>
      <c r="J68" t="s">
        <v>391</v>
      </c>
      <c r="K68" t="s">
        <v>392</v>
      </c>
      <c r="L68" t="s">
        <v>393</v>
      </c>
      <c r="M68">
        <v>42515</v>
      </c>
      <c r="N68">
        <v>4</v>
      </c>
      <c r="O68" t="s">
        <v>394</v>
      </c>
      <c r="P68">
        <v>4</v>
      </c>
    </row>
    <row r="69" spans="1:16">
      <c r="A69" t="s">
        <v>226</v>
      </c>
      <c r="B69" t="s">
        <v>2872</v>
      </c>
      <c r="C69">
        <v>2</v>
      </c>
      <c r="D69" t="s">
        <v>227</v>
      </c>
      <c r="E69" t="s">
        <v>2873</v>
      </c>
      <c r="F69">
        <v>1</v>
      </c>
      <c r="G69">
        <v>68</v>
      </c>
      <c r="I69" t="s">
        <v>395</v>
      </c>
      <c r="J69" t="s">
        <v>396</v>
      </c>
      <c r="K69" t="s">
        <v>392</v>
      </c>
      <c r="L69" t="s">
        <v>397</v>
      </c>
      <c r="M69">
        <v>42516</v>
      </c>
      <c r="N69">
        <v>2</v>
      </c>
      <c r="O69" t="s">
        <v>2945</v>
      </c>
      <c r="P69">
        <v>2</v>
      </c>
    </row>
    <row r="70" spans="1:16">
      <c r="A70" t="s">
        <v>226</v>
      </c>
      <c r="B70" t="s">
        <v>2872</v>
      </c>
      <c r="C70">
        <v>2</v>
      </c>
      <c r="D70" t="s">
        <v>227</v>
      </c>
      <c r="E70" t="s">
        <v>2873</v>
      </c>
      <c r="F70">
        <v>1</v>
      </c>
      <c r="G70">
        <v>69</v>
      </c>
      <c r="I70" t="s">
        <v>75</v>
      </c>
      <c r="J70" t="s">
        <v>76</v>
      </c>
      <c r="K70" t="s">
        <v>32</v>
      </c>
      <c r="L70" t="s">
        <v>189</v>
      </c>
      <c r="M70">
        <v>10522</v>
      </c>
      <c r="N70">
        <v>4</v>
      </c>
      <c r="O70" t="s">
        <v>2946</v>
      </c>
      <c r="P70">
        <v>4</v>
      </c>
    </row>
    <row r="71" spans="1:16">
      <c r="A71" t="s">
        <v>226</v>
      </c>
      <c r="B71" t="s">
        <v>2872</v>
      </c>
      <c r="C71">
        <v>2</v>
      </c>
      <c r="D71" t="s">
        <v>227</v>
      </c>
      <c r="E71" t="s">
        <v>2873</v>
      </c>
      <c r="F71">
        <v>1</v>
      </c>
      <c r="G71">
        <v>70</v>
      </c>
      <c r="I71" t="s">
        <v>399</v>
      </c>
      <c r="J71" t="s">
        <v>400</v>
      </c>
      <c r="K71" t="s">
        <v>401</v>
      </c>
      <c r="L71" t="s">
        <v>402</v>
      </c>
      <c r="M71">
        <v>42525</v>
      </c>
      <c r="N71">
        <v>1</v>
      </c>
      <c r="O71" t="s">
        <v>2947</v>
      </c>
      <c r="P71">
        <v>1</v>
      </c>
    </row>
    <row r="72" spans="1:16">
      <c r="A72" t="s">
        <v>226</v>
      </c>
      <c r="B72" t="s">
        <v>2872</v>
      </c>
      <c r="C72">
        <v>2</v>
      </c>
      <c r="D72" t="s">
        <v>227</v>
      </c>
      <c r="E72" t="s">
        <v>2873</v>
      </c>
      <c r="F72">
        <v>1</v>
      </c>
      <c r="G72">
        <v>71</v>
      </c>
      <c r="I72" t="s">
        <v>403</v>
      </c>
      <c r="M72">
        <v>10520</v>
      </c>
      <c r="N72">
        <v>8</v>
      </c>
      <c r="O72" t="s">
        <v>2948</v>
      </c>
      <c r="P72">
        <v>8</v>
      </c>
    </row>
    <row r="73" spans="1:16">
      <c r="A73" t="s">
        <v>226</v>
      </c>
      <c r="B73" t="s">
        <v>2872</v>
      </c>
      <c r="C73">
        <v>2</v>
      </c>
      <c r="D73" t="s">
        <v>227</v>
      </c>
      <c r="E73" t="s">
        <v>2873</v>
      </c>
      <c r="F73">
        <v>1</v>
      </c>
      <c r="G73">
        <v>72</v>
      </c>
      <c r="I73" t="s">
        <v>2949</v>
      </c>
      <c r="J73" t="s">
        <v>2950</v>
      </c>
      <c r="K73" t="s">
        <v>2951</v>
      </c>
      <c r="L73" t="s">
        <v>404</v>
      </c>
      <c r="M73">
        <v>33855</v>
      </c>
      <c r="N73">
        <v>2</v>
      </c>
      <c r="O73" t="s">
        <v>2952</v>
      </c>
      <c r="P73">
        <v>2</v>
      </c>
    </row>
    <row r="74" spans="1:16">
      <c r="A74" t="s">
        <v>226</v>
      </c>
      <c r="B74" t="s">
        <v>2872</v>
      </c>
      <c r="C74">
        <v>2</v>
      </c>
      <c r="D74" t="s">
        <v>227</v>
      </c>
      <c r="E74" t="s">
        <v>2873</v>
      </c>
      <c r="F74">
        <v>1</v>
      </c>
      <c r="G74">
        <v>73</v>
      </c>
      <c r="I74" t="s">
        <v>81</v>
      </c>
      <c r="J74" t="s">
        <v>82</v>
      </c>
      <c r="K74" t="s">
        <v>77</v>
      </c>
      <c r="L74" t="s">
        <v>83</v>
      </c>
      <c r="M74">
        <v>10416</v>
      </c>
      <c r="N74">
        <v>3</v>
      </c>
      <c r="O74" t="s">
        <v>2953</v>
      </c>
      <c r="P74">
        <v>3</v>
      </c>
    </row>
    <row r="75" spans="1:16">
      <c r="A75" t="s">
        <v>226</v>
      </c>
      <c r="B75" t="s">
        <v>2872</v>
      </c>
      <c r="C75">
        <v>2</v>
      </c>
      <c r="D75" t="s">
        <v>227</v>
      </c>
      <c r="E75" t="s">
        <v>2873</v>
      </c>
      <c r="F75">
        <v>1</v>
      </c>
      <c r="G75">
        <v>74</v>
      </c>
      <c r="I75" t="s">
        <v>79</v>
      </c>
      <c r="J75" t="s">
        <v>2828</v>
      </c>
      <c r="K75" t="s">
        <v>77</v>
      </c>
      <c r="L75" t="s">
        <v>80</v>
      </c>
      <c r="M75">
        <v>10354</v>
      </c>
      <c r="N75">
        <v>1</v>
      </c>
      <c r="O75" t="s">
        <v>2954</v>
      </c>
      <c r="P75">
        <v>1</v>
      </c>
    </row>
    <row r="76" spans="1:16">
      <c r="A76" t="s">
        <v>226</v>
      </c>
      <c r="B76" t="s">
        <v>2872</v>
      </c>
      <c r="C76">
        <v>2</v>
      </c>
      <c r="D76" t="s">
        <v>227</v>
      </c>
      <c r="E76" t="s">
        <v>2873</v>
      </c>
      <c r="F76">
        <v>1</v>
      </c>
      <c r="G76">
        <v>75</v>
      </c>
      <c r="I76" t="s">
        <v>405</v>
      </c>
      <c r="J76" t="s">
        <v>406</v>
      </c>
      <c r="K76" t="s">
        <v>32</v>
      </c>
      <c r="L76" t="s">
        <v>407</v>
      </c>
      <c r="M76">
        <v>33933</v>
      </c>
      <c r="N76">
        <v>8</v>
      </c>
      <c r="O76" t="s">
        <v>2955</v>
      </c>
      <c r="P76">
        <v>8</v>
      </c>
    </row>
    <row r="77" spans="1:16">
      <c r="A77" t="s">
        <v>226</v>
      </c>
      <c r="B77" t="s">
        <v>2872</v>
      </c>
      <c r="C77">
        <v>2</v>
      </c>
      <c r="D77" t="s">
        <v>227</v>
      </c>
      <c r="E77" t="s">
        <v>2873</v>
      </c>
      <c r="F77">
        <v>1</v>
      </c>
      <c r="G77">
        <v>76</v>
      </c>
      <c r="I77" t="s">
        <v>408</v>
      </c>
      <c r="J77" t="s">
        <v>409</v>
      </c>
      <c r="K77" t="s">
        <v>151</v>
      </c>
      <c r="L77" t="s">
        <v>410</v>
      </c>
      <c r="M77">
        <v>42360</v>
      </c>
      <c r="N77">
        <v>2</v>
      </c>
      <c r="O77" t="s">
        <v>2956</v>
      </c>
      <c r="P77">
        <v>2</v>
      </c>
    </row>
    <row r="78" spans="1:16">
      <c r="A78" t="s">
        <v>226</v>
      </c>
      <c r="B78" t="s">
        <v>2872</v>
      </c>
      <c r="C78">
        <v>2</v>
      </c>
      <c r="D78" t="s">
        <v>227</v>
      </c>
      <c r="E78" t="s">
        <v>2873</v>
      </c>
      <c r="F78">
        <v>1</v>
      </c>
      <c r="G78">
        <v>77</v>
      </c>
      <c r="I78" t="s">
        <v>411</v>
      </c>
      <c r="M78">
        <v>42481</v>
      </c>
      <c r="N78">
        <v>16</v>
      </c>
      <c r="O78" t="s">
        <v>2957</v>
      </c>
      <c r="P78">
        <v>16</v>
      </c>
    </row>
    <row r="79" spans="1:16">
      <c r="A79" t="s">
        <v>226</v>
      </c>
      <c r="B79" t="s">
        <v>2872</v>
      </c>
      <c r="C79">
        <v>2</v>
      </c>
      <c r="D79" t="s">
        <v>227</v>
      </c>
      <c r="E79" t="s">
        <v>2873</v>
      </c>
      <c r="F79">
        <v>1</v>
      </c>
      <c r="G79">
        <v>78</v>
      </c>
      <c r="I79" t="s">
        <v>84</v>
      </c>
      <c r="M79">
        <v>10295</v>
      </c>
      <c r="N79">
        <v>26</v>
      </c>
      <c r="O79" t="s">
        <v>2958</v>
      </c>
      <c r="P79">
        <v>26</v>
      </c>
    </row>
    <row r="80" spans="1:16">
      <c r="A80" t="s">
        <v>226</v>
      </c>
      <c r="B80" t="s">
        <v>2872</v>
      </c>
      <c r="C80">
        <v>2</v>
      </c>
      <c r="D80" t="s">
        <v>227</v>
      </c>
      <c r="E80" t="s">
        <v>2873</v>
      </c>
      <c r="F80">
        <v>1</v>
      </c>
      <c r="G80">
        <v>79</v>
      </c>
      <c r="I80" t="s">
        <v>193</v>
      </c>
      <c r="M80">
        <v>1135</v>
      </c>
      <c r="N80">
        <v>98</v>
      </c>
      <c r="O80" t="s">
        <v>2959</v>
      </c>
      <c r="P80">
        <v>98</v>
      </c>
    </row>
    <row r="81" spans="1:16">
      <c r="A81" t="s">
        <v>226</v>
      </c>
      <c r="B81" t="s">
        <v>2872</v>
      </c>
      <c r="C81">
        <v>2</v>
      </c>
      <c r="D81" t="s">
        <v>227</v>
      </c>
      <c r="E81" t="s">
        <v>2873</v>
      </c>
      <c r="F81">
        <v>1</v>
      </c>
      <c r="G81">
        <v>80</v>
      </c>
      <c r="I81" t="s">
        <v>412</v>
      </c>
      <c r="J81" t="s">
        <v>413</v>
      </c>
      <c r="K81" t="s">
        <v>48</v>
      </c>
      <c r="L81" t="s">
        <v>414</v>
      </c>
      <c r="M81">
        <v>37742</v>
      </c>
      <c r="N81">
        <v>60</v>
      </c>
      <c r="O81" t="s">
        <v>2960</v>
      </c>
      <c r="P81">
        <v>60</v>
      </c>
    </row>
    <row r="82" spans="1:16">
      <c r="A82" t="s">
        <v>226</v>
      </c>
      <c r="B82" t="s">
        <v>2872</v>
      </c>
      <c r="C82">
        <v>2</v>
      </c>
      <c r="D82" t="s">
        <v>227</v>
      </c>
      <c r="E82" t="s">
        <v>2873</v>
      </c>
      <c r="F82">
        <v>1</v>
      </c>
      <c r="G82">
        <v>81</v>
      </c>
      <c r="I82" t="s">
        <v>415</v>
      </c>
      <c r="J82" t="s">
        <v>416</v>
      </c>
      <c r="K82" t="s">
        <v>48</v>
      </c>
      <c r="L82" t="s">
        <v>417</v>
      </c>
      <c r="M82">
        <v>28170</v>
      </c>
      <c r="N82">
        <v>1</v>
      </c>
      <c r="O82" t="s">
        <v>2961</v>
      </c>
      <c r="P82">
        <v>1</v>
      </c>
    </row>
    <row r="83" spans="1:16">
      <c r="A83" t="s">
        <v>226</v>
      </c>
      <c r="B83" t="s">
        <v>2872</v>
      </c>
      <c r="C83">
        <v>2</v>
      </c>
      <c r="D83" t="s">
        <v>227</v>
      </c>
      <c r="E83" t="s">
        <v>2873</v>
      </c>
      <c r="F83">
        <v>1</v>
      </c>
      <c r="G83">
        <v>82</v>
      </c>
      <c r="I83" t="s">
        <v>412</v>
      </c>
      <c r="J83" t="s">
        <v>418</v>
      </c>
      <c r="K83" t="s">
        <v>48</v>
      </c>
      <c r="L83" t="s">
        <v>419</v>
      </c>
      <c r="M83">
        <v>12197</v>
      </c>
      <c r="N83">
        <v>3</v>
      </c>
      <c r="O83" t="s">
        <v>2962</v>
      </c>
      <c r="P83">
        <v>3</v>
      </c>
    </row>
    <row r="84" spans="1:16">
      <c r="A84" t="s">
        <v>226</v>
      </c>
      <c r="B84" t="s">
        <v>2872</v>
      </c>
      <c r="C84">
        <v>2</v>
      </c>
      <c r="D84" t="s">
        <v>227</v>
      </c>
      <c r="E84" t="s">
        <v>2873</v>
      </c>
      <c r="F84">
        <v>1</v>
      </c>
      <c r="G84">
        <v>83</v>
      </c>
      <c r="I84" t="s">
        <v>420</v>
      </c>
      <c r="J84" t="s">
        <v>421</v>
      </c>
      <c r="K84" t="s">
        <v>48</v>
      </c>
      <c r="L84" t="s">
        <v>422</v>
      </c>
      <c r="M84">
        <v>38241</v>
      </c>
      <c r="N84">
        <v>2</v>
      </c>
      <c r="O84" t="s">
        <v>2963</v>
      </c>
      <c r="P84">
        <v>2</v>
      </c>
    </row>
    <row r="85" spans="1:16">
      <c r="A85" t="s">
        <v>226</v>
      </c>
      <c r="B85" t="s">
        <v>2872</v>
      </c>
      <c r="C85">
        <v>2</v>
      </c>
      <c r="D85" t="s">
        <v>227</v>
      </c>
      <c r="E85" t="s">
        <v>2873</v>
      </c>
      <c r="F85">
        <v>1</v>
      </c>
      <c r="G85">
        <v>84</v>
      </c>
      <c r="I85" t="s">
        <v>423</v>
      </c>
      <c r="J85" t="s">
        <v>424</v>
      </c>
      <c r="K85" t="s">
        <v>48</v>
      </c>
      <c r="L85" t="s">
        <v>425</v>
      </c>
      <c r="M85">
        <v>38555</v>
      </c>
      <c r="N85">
        <v>3</v>
      </c>
      <c r="O85" t="s">
        <v>2964</v>
      </c>
      <c r="P85">
        <v>3</v>
      </c>
    </row>
    <row r="86" spans="1:16">
      <c r="A86" t="s">
        <v>226</v>
      </c>
      <c r="B86" t="s">
        <v>2872</v>
      </c>
      <c r="C86">
        <v>2</v>
      </c>
      <c r="D86" t="s">
        <v>227</v>
      </c>
      <c r="E86" t="s">
        <v>2873</v>
      </c>
      <c r="F86">
        <v>1</v>
      </c>
      <c r="G86">
        <v>85</v>
      </c>
      <c r="I86" t="s">
        <v>426</v>
      </c>
      <c r="J86" t="s">
        <v>2965</v>
      </c>
      <c r="K86" t="s">
        <v>48</v>
      </c>
      <c r="L86" t="s">
        <v>427</v>
      </c>
      <c r="M86">
        <v>37772</v>
      </c>
      <c r="N86">
        <v>2</v>
      </c>
      <c r="O86" t="s">
        <v>2966</v>
      </c>
      <c r="P86">
        <v>2</v>
      </c>
    </row>
    <row r="87" spans="1:16">
      <c r="A87" t="s">
        <v>226</v>
      </c>
      <c r="B87" t="s">
        <v>2872</v>
      </c>
      <c r="C87">
        <v>2</v>
      </c>
      <c r="D87" t="s">
        <v>227</v>
      </c>
      <c r="E87" t="s">
        <v>2873</v>
      </c>
      <c r="F87">
        <v>1</v>
      </c>
      <c r="G87">
        <v>86</v>
      </c>
      <c r="I87" t="s">
        <v>428</v>
      </c>
      <c r="J87" t="s">
        <v>429</v>
      </c>
      <c r="K87" t="s">
        <v>48</v>
      </c>
      <c r="L87" t="s">
        <v>430</v>
      </c>
      <c r="M87">
        <v>37731</v>
      </c>
      <c r="N87">
        <v>62</v>
      </c>
      <c r="O87" t="s">
        <v>2967</v>
      </c>
      <c r="P87">
        <v>62</v>
      </c>
    </row>
    <row r="88" spans="1:16">
      <c r="A88" t="s">
        <v>226</v>
      </c>
      <c r="B88" t="s">
        <v>2872</v>
      </c>
      <c r="C88">
        <v>2</v>
      </c>
      <c r="D88" t="s">
        <v>227</v>
      </c>
      <c r="E88" t="s">
        <v>2873</v>
      </c>
      <c r="F88">
        <v>1</v>
      </c>
      <c r="G88">
        <v>87</v>
      </c>
      <c r="I88" t="s">
        <v>431</v>
      </c>
      <c r="J88" t="s">
        <v>432</v>
      </c>
      <c r="K88" t="s">
        <v>48</v>
      </c>
      <c r="L88" t="s">
        <v>433</v>
      </c>
      <c r="M88">
        <v>37891</v>
      </c>
      <c r="N88">
        <v>9</v>
      </c>
      <c r="O88" t="s">
        <v>2968</v>
      </c>
      <c r="P88">
        <v>9</v>
      </c>
    </row>
    <row r="89" spans="1:16">
      <c r="A89" t="s">
        <v>226</v>
      </c>
      <c r="B89" t="s">
        <v>2872</v>
      </c>
      <c r="C89">
        <v>2</v>
      </c>
      <c r="D89" t="s">
        <v>227</v>
      </c>
      <c r="E89" t="s">
        <v>2873</v>
      </c>
      <c r="F89">
        <v>1</v>
      </c>
      <c r="G89">
        <v>88</v>
      </c>
      <c r="I89" t="s">
        <v>434</v>
      </c>
      <c r="J89" t="s">
        <v>2969</v>
      </c>
      <c r="K89" t="s">
        <v>48</v>
      </c>
      <c r="L89" t="s">
        <v>435</v>
      </c>
      <c r="M89">
        <v>39927</v>
      </c>
      <c r="N89">
        <v>6</v>
      </c>
      <c r="O89" t="s">
        <v>2970</v>
      </c>
      <c r="P89">
        <v>6</v>
      </c>
    </row>
    <row r="90" spans="1:16">
      <c r="A90" t="s">
        <v>226</v>
      </c>
      <c r="B90" t="s">
        <v>2872</v>
      </c>
      <c r="C90">
        <v>2</v>
      </c>
      <c r="D90" t="s">
        <v>227</v>
      </c>
      <c r="E90" t="s">
        <v>2873</v>
      </c>
      <c r="F90">
        <v>1</v>
      </c>
      <c r="G90">
        <v>89</v>
      </c>
      <c r="I90" t="s">
        <v>431</v>
      </c>
      <c r="J90" t="s">
        <v>436</v>
      </c>
      <c r="K90" t="s">
        <v>48</v>
      </c>
      <c r="L90" t="s">
        <v>437</v>
      </c>
      <c r="M90">
        <v>12346</v>
      </c>
      <c r="N90">
        <v>8</v>
      </c>
      <c r="O90" t="s">
        <v>2971</v>
      </c>
      <c r="P90">
        <v>8</v>
      </c>
    </row>
    <row r="91" spans="1:16">
      <c r="A91" t="s">
        <v>226</v>
      </c>
      <c r="B91" t="s">
        <v>2872</v>
      </c>
      <c r="C91">
        <v>2</v>
      </c>
      <c r="D91" t="s">
        <v>227</v>
      </c>
      <c r="E91" t="s">
        <v>2873</v>
      </c>
      <c r="F91">
        <v>1</v>
      </c>
      <c r="G91">
        <v>90</v>
      </c>
      <c r="I91" t="s">
        <v>438</v>
      </c>
      <c r="J91" t="s">
        <v>2972</v>
      </c>
      <c r="K91" t="s">
        <v>48</v>
      </c>
      <c r="L91" t="s">
        <v>439</v>
      </c>
      <c r="M91">
        <v>18211</v>
      </c>
      <c r="N91">
        <v>16</v>
      </c>
      <c r="O91" t="s">
        <v>2973</v>
      </c>
      <c r="P91">
        <v>16</v>
      </c>
    </row>
    <row r="92" spans="1:16">
      <c r="A92" t="s">
        <v>226</v>
      </c>
      <c r="B92" t="s">
        <v>2872</v>
      </c>
      <c r="C92">
        <v>2</v>
      </c>
      <c r="D92" t="s">
        <v>227</v>
      </c>
      <c r="E92" t="s">
        <v>2873</v>
      </c>
      <c r="F92">
        <v>1</v>
      </c>
      <c r="G92">
        <v>91</v>
      </c>
      <c r="I92" t="s">
        <v>440</v>
      </c>
      <c r="J92" t="s">
        <v>441</v>
      </c>
      <c r="K92" t="s">
        <v>48</v>
      </c>
      <c r="L92" t="s">
        <v>442</v>
      </c>
      <c r="M92">
        <v>38266</v>
      </c>
      <c r="N92">
        <v>15</v>
      </c>
      <c r="O92" t="s">
        <v>2974</v>
      </c>
      <c r="P92">
        <v>15</v>
      </c>
    </row>
    <row r="93" spans="1:16">
      <c r="A93" t="s">
        <v>226</v>
      </c>
      <c r="B93" t="s">
        <v>2872</v>
      </c>
      <c r="C93">
        <v>2</v>
      </c>
      <c r="D93" t="s">
        <v>227</v>
      </c>
      <c r="E93" t="s">
        <v>2873</v>
      </c>
      <c r="F93">
        <v>1</v>
      </c>
      <c r="G93">
        <v>92</v>
      </c>
      <c r="I93" t="s">
        <v>100</v>
      </c>
      <c r="J93" t="s">
        <v>2841</v>
      </c>
      <c r="K93" t="s">
        <v>48</v>
      </c>
      <c r="L93" t="s">
        <v>101</v>
      </c>
      <c r="M93">
        <v>40160</v>
      </c>
      <c r="N93">
        <v>2</v>
      </c>
      <c r="O93" t="s">
        <v>2975</v>
      </c>
      <c r="P93">
        <v>2</v>
      </c>
    </row>
    <row r="94" spans="1:16">
      <c r="A94" t="s">
        <v>226</v>
      </c>
      <c r="B94" t="s">
        <v>2872</v>
      </c>
      <c r="C94">
        <v>2</v>
      </c>
      <c r="D94" t="s">
        <v>227</v>
      </c>
      <c r="E94" t="s">
        <v>2873</v>
      </c>
      <c r="F94">
        <v>1</v>
      </c>
      <c r="G94">
        <v>93</v>
      </c>
      <c r="I94" t="s">
        <v>92</v>
      </c>
      <c r="J94" t="s">
        <v>2834</v>
      </c>
      <c r="K94" t="s">
        <v>48</v>
      </c>
      <c r="L94" t="s">
        <v>93</v>
      </c>
      <c r="M94">
        <v>39659</v>
      </c>
      <c r="N94">
        <v>1</v>
      </c>
      <c r="O94" t="s">
        <v>443</v>
      </c>
      <c r="P94">
        <v>1</v>
      </c>
    </row>
    <row r="95" spans="1:16">
      <c r="A95" t="s">
        <v>226</v>
      </c>
      <c r="B95" t="s">
        <v>2872</v>
      </c>
      <c r="C95">
        <v>2</v>
      </c>
      <c r="D95" t="s">
        <v>227</v>
      </c>
      <c r="E95" t="s">
        <v>2873</v>
      </c>
      <c r="F95">
        <v>1</v>
      </c>
      <c r="G95">
        <v>94</v>
      </c>
      <c r="I95" t="s">
        <v>94</v>
      </c>
      <c r="J95" t="s">
        <v>212</v>
      </c>
      <c r="K95" t="s">
        <v>48</v>
      </c>
      <c r="L95" t="s">
        <v>213</v>
      </c>
      <c r="M95">
        <v>40582</v>
      </c>
      <c r="N95">
        <v>5</v>
      </c>
      <c r="O95" t="s">
        <v>2976</v>
      </c>
      <c r="P95">
        <v>5</v>
      </c>
    </row>
    <row r="96" spans="1:16">
      <c r="A96" t="s">
        <v>226</v>
      </c>
      <c r="B96" t="s">
        <v>2872</v>
      </c>
      <c r="C96">
        <v>2</v>
      </c>
      <c r="D96" t="s">
        <v>227</v>
      </c>
      <c r="E96" t="s">
        <v>2873</v>
      </c>
      <c r="F96">
        <v>1</v>
      </c>
      <c r="G96">
        <v>95</v>
      </c>
      <c r="I96" t="s">
        <v>444</v>
      </c>
      <c r="J96" t="s">
        <v>2977</v>
      </c>
      <c r="K96" t="s">
        <v>48</v>
      </c>
      <c r="L96" t="s">
        <v>445</v>
      </c>
      <c r="M96">
        <v>38256</v>
      </c>
      <c r="N96">
        <v>2</v>
      </c>
      <c r="O96" t="s">
        <v>2978</v>
      </c>
      <c r="P96">
        <v>2</v>
      </c>
    </row>
    <row r="97" spans="1:16">
      <c r="A97" t="s">
        <v>226</v>
      </c>
      <c r="B97" t="s">
        <v>2872</v>
      </c>
      <c r="C97">
        <v>2</v>
      </c>
      <c r="D97" t="s">
        <v>227</v>
      </c>
      <c r="E97" t="s">
        <v>2873</v>
      </c>
      <c r="F97">
        <v>1</v>
      </c>
      <c r="G97">
        <v>96</v>
      </c>
      <c r="I97" t="s">
        <v>446</v>
      </c>
      <c r="J97" t="s">
        <v>447</v>
      </c>
      <c r="K97" t="s">
        <v>48</v>
      </c>
      <c r="L97" t="s">
        <v>448</v>
      </c>
      <c r="M97">
        <v>38441</v>
      </c>
      <c r="N97">
        <v>1</v>
      </c>
      <c r="O97" t="s">
        <v>2979</v>
      </c>
      <c r="P97">
        <v>1</v>
      </c>
    </row>
    <row r="98" spans="1:16">
      <c r="A98" t="s">
        <v>226</v>
      </c>
      <c r="B98" t="s">
        <v>2872</v>
      </c>
      <c r="C98">
        <v>2</v>
      </c>
      <c r="D98" t="s">
        <v>227</v>
      </c>
      <c r="E98" t="s">
        <v>2873</v>
      </c>
      <c r="F98">
        <v>1</v>
      </c>
      <c r="G98">
        <v>97</v>
      </c>
      <c r="I98" t="s">
        <v>449</v>
      </c>
      <c r="J98" t="s">
        <v>450</v>
      </c>
      <c r="K98" t="s">
        <v>451</v>
      </c>
      <c r="L98" t="s">
        <v>452</v>
      </c>
      <c r="M98">
        <v>42609</v>
      </c>
      <c r="N98">
        <v>2</v>
      </c>
      <c r="O98" t="s">
        <v>2980</v>
      </c>
      <c r="P98">
        <v>2</v>
      </c>
    </row>
    <row r="99" spans="1:16">
      <c r="A99" t="s">
        <v>226</v>
      </c>
      <c r="B99" t="s">
        <v>2872</v>
      </c>
      <c r="C99">
        <v>2</v>
      </c>
      <c r="D99" t="s">
        <v>227</v>
      </c>
      <c r="E99" t="s">
        <v>2873</v>
      </c>
      <c r="F99">
        <v>1</v>
      </c>
      <c r="G99">
        <v>98</v>
      </c>
      <c r="I99" t="s">
        <v>453</v>
      </c>
      <c r="J99" t="s">
        <v>2981</v>
      </c>
      <c r="K99" t="s">
        <v>48</v>
      </c>
      <c r="L99" t="s">
        <v>454</v>
      </c>
      <c r="M99">
        <v>38298</v>
      </c>
      <c r="N99">
        <v>3</v>
      </c>
      <c r="O99" t="s">
        <v>2982</v>
      </c>
      <c r="P99">
        <v>3</v>
      </c>
    </row>
    <row r="100" spans="1:16">
      <c r="A100" t="s">
        <v>226</v>
      </c>
      <c r="B100" t="s">
        <v>2872</v>
      </c>
      <c r="C100">
        <v>2</v>
      </c>
      <c r="D100" t="s">
        <v>227</v>
      </c>
      <c r="E100" t="s">
        <v>2873</v>
      </c>
      <c r="F100">
        <v>1</v>
      </c>
      <c r="G100">
        <v>99</v>
      </c>
      <c r="I100" t="s">
        <v>455</v>
      </c>
      <c r="J100" t="s">
        <v>2983</v>
      </c>
      <c r="K100" t="s">
        <v>48</v>
      </c>
      <c r="L100" t="s">
        <v>456</v>
      </c>
      <c r="M100">
        <v>37840</v>
      </c>
      <c r="N100">
        <v>3</v>
      </c>
      <c r="O100" t="s">
        <v>2984</v>
      </c>
      <c r="P100">
        <v>3</v>
      </c>
    </row>
    <row r="101" spans="1:16">
      <c r="A101" t="s">
        <v>226</v>
      </c>
      <c r="B101" t="s">
        <v>2872</v>
      </c>
      <c r="C101">
        <v>2</v>
      </c>
      <c r="D101" t="s">
        <v>227</v>
      </c>
      <c r="E101" t="s">
        <v>2873</v>
      </c>
      <c r="F101">
        <v>1</v>
      </c>
      <c r="G101">
        <v>100</v>
      </c>
      <c r="I101" t="s">
        <v>457</v>
      </c>
      <c r="J101" t="s">
        <v>458</v>
      </c>
      <c r="K101" t="s">
        <v>48</v>
      </c>
      <c r="L101" t="s">
        <v>459</v>
      </c>
      <c r="M101">
        <v>38114</v>
      </c>
      <c r="N101">
        <v>1</v>
      </c>
      <c r="O101" t="s">
        <v>2985</v>
      </c>
      <c r="P101">
        <v>1</v>
      </c>
    </row>
    <row r="102" spans="1:16">
      <c r="A102" t="s">
        <v>226</v>
      </c>
      <c r="B102" t="s">
        <v>2872</v>
      </c>
      <c r="C102">
        <v>2</v>
      </c>
      <c r="D102" t="s">
        <v>227</v>
      </c>
      <c r="E102" t="s">
        <v>2873</v>
      </c>
      <c r="F102">
        <v>1</v>
      </c>
      <c r="G102">
        <v>101</v>
      </c>
      <c r="I102" t="s">
        <v>460</v>
      </c>
      <c r="J102" t="s">
        <v>461</v>
      </c>
      <c r="K102" t="s">
        <v>48</v>
      </c>
      <c r="L102" t="s">
        <v>462</v>
      </c>
      <c r="M102">
        <v>37923</v>
      </c>
      <c r="N102">
        <v>4</v>
      </c>
      <c r="O102" t="s">
        <v>2986</v>
      </c>
      <c r="P102">
        <v>4</v>
      </c>
    </row>
    <row r="103" spans="1:16">
      <c r="A103" t="s">
        <v>226</v>
      </c>
      <c r="B103" t="s">
        <v>2872</v>
      </c>
      <c r="C103">
        <v>2</v>
      </c>
      <c r="D103" t="s">
        <v>227</v>
      </c>
      <c r="E103" t="s">
        <v>2873</v>
      </c>
      <c r="F103">
        <v>1</v>
      </c>
      <c r="G103">
        <v>102</v>
      </c>
      <c r="I103" t="s">
        <v>463</v>
      </c>
      <c r="J103" t="s">
        <v>2987</v>
      </c>
      <c r="K103" t="s">
        <v>48</v>
      </c>
      <c r="L103" t="s">
        <v>464</v>
      </c>
      <c r="M103">
        <v>38045</v>
      </c>
      <c r="N103">
        <v>4</v>
      </c>
      <c r="O103" t="s">
        <v>2988</v>
      </c>
      <c r="P103">
        <v>4</v>
      </c>
    </row>
    <row r="104" spans="1:16">
      <c r="A104" t="s">
        <v>226</v>
      </c>
      <c r="B104" t="s">
        <v>2872</v>
      </c>
      <c r="C104">
        <v>2</v>
      </c>
      <c r="D104" t="s">
        <v>227</v>
      </c>
      <c r="E104" t="s">
        <v>2873</v>
      </c>
      <c r="F104">
        <v>1</v>
      </c>
      <c r="G104">
        <v>103</v>
      </c>
      <c r="I104" t="s">
        <v>465</v>
      </c>
      <c r="J104" t="s">
        <v>466</v>
      </c>
      <c r="K104" t="s">
        <v>48</v>
      </c>
      <c r="L104" t="s">
        <v>467</v>
      </c>
      <c r="M104">
        <v>40024</v>
      </c>
      <c r="N104">
        <v>1</v>
      </c>
      <c r="O104" t="s">
        <v>2989</v>
      </c>
      <c r="P104">
        <v>1</v>
      </c>
    </row>
    <row r="105" spans="1:16">
      <c r="A105" t="s">
        <v>226</v>
      </c>
      <c r="B105" t="s">
        <v>2872</v>
      </c>
      <c r="C105">
        <v>2</v>
      </c>
      <c r="D105" t="s">
        <v>227</v>
      </c>
      <c r="E105" t="s">
        <v>2873</v>
      </c>
      <c r="F105">
        <v>1</v>
      </c>
      <c r="G105">
        <v>104</v>
      </c>
      <c r="I105" t="s">
        <v>2990</v>
      </c>
      <c r="J105" t="s">
        <v>2991</v>
      </c>
      <c r="K105" t="s">
        <v>48</v>
      </c>
      <c r="L105" t="s">
        <v>468</v>
      </c>
      <c r="M105">
        <v>38327</v>
      </c>
      <c r="N105">
        <v>2</v>
      </c>
      <c r="O105" t="s">
        <v>2992</v>
      </c>
      <c r="P105">
        <v>2</v>
      </c>
    </row>
    <row r="106" spans="1:16">
      <c r="A106" t="s">
        <v>226</v>
      </c>
      <c r="B106" t="s">
        <v>2872</v>
      </c>
      <c r="C106">
        <v>2</v>
      </c>
      <c r="D106" t="s">
        <v>227</v>
      </c>
      <c r="E106" t="s">
        <v>2873</v>
      </c>
      <c r="F106">
        <v>1</v>
      </c>
      <c r="G106">
        <v>105</v>
      </c>
      <c r="I106" t="s">
        <v>469</v>
      </c>
      <c r="J106" t="s">
        <v>470</v>
      </c>
      <c r="K106" t="s">
        <v>48</v>
      </c>
      <c r="L106" t="s">
        <v>471</v>
      </c>
      <c r="M106">
        <v>37983</v>
      </c>
      <c r="N106">
        <v>3</v>
      </c>
      <c r="O106" t="s">
        <v>2993</v>
      </c>
      <c r="P106">
        <v>3</v>
      </c>
    </row>
    <row r="107" spans="1:16">
      <c r="A107" t="s">
        <v>226</v>
      </c>
      <c r="B107" t="s">
        <v>2872</v>
      </c>
      <c r="C107">
        <v>2</v>
      </c>
      <c r="D107" t="s">
        <v>227</v>
      </c>
      <c r="E107" t="s">
        <v>2873</v>
      </c>
      <c r="F107">
        <v>1</v>
      </c>
      <c r="G107">
        <v>106</v>
      </c>
      <c r="I107" t="s">
        <v>472</v>
      </c>
      <c r="J107" t="s">
        <v>473</v>
      </c>
      <c r="K107" t="s">
        <v>48</v>
      </c>
      <c r="L107" t="s">
        <v>474</v>
      </c>
      <c r="M107">
        <v>38613</v>
      </c>
      <c r="N107">
        <v>3</v>
      </c>
      <c r="O107" t="s">
        <v>2994</v>
      </c>
      <c r="P107">
        <v>3</v>
      </c>
    </row>
    <row r="108" spans="1:16">
      <c r="A108" t="s">
        <v>226</v>
      </c>
      <c r="B108" t="s">
        <v>2872</v>
      </c>
      <c r="C108">
        <v>2</v>
      </c>
      <c r="D108" t="s">
        <v>227</v>
      </c>
      <c r="E108" t="s">
        <v>2873</v>
      </c>
      <c r="F108">
        <v>1</v>
      </c>
      <c r="G108">
        <v>107</v>
      </c>
      <c r="I108" t="s">
        <v>2995</v>
      </c>
      <c r="J108" t="s">
        <v>2996</v>
      </c>
      <c r="K108" t="s">
        <v>48</v>
      </c>
      <c r="L108" t="s">
        <v>475</v>
      </c>
      <c r="M108">
        <v>39761</v>
      </c>
      <c r="N108">
        <v>1</v>
      </c>
      <c r="O108" t="s">
        <v>2997</v>
      </c>
      <c r="P108">
        <v>1</v>
      </c>
    </row>
    <row r="109" spans="1:16">
      <c r="A109" t="s">
        <v>226</v>
      </c>
      <c r="B109" t="s">
        <v>2872</v>
      </c>
      <c r="C109">
        <v>2</v>
      </c>
      <c r="D109" t="s">
        <v>227</v>
      </c>
      <c r="E109" t="s">
        <v>2873</v>
      </c>
      <c r="F109">
        <v>1</v>
      </c>
      <c r="G109">
        <v>108</v>
      </c>
      <c r="I109" t="s">
        <v>2998</v>
      </c>
      <c r="J109" t="s">
        <v>2999</v>
      </c>
      <c r="K109" t="s">
        <v>48</v>
      </c>
      <c r="L109" t="s">
        <v>476</v>
      </c>
      <c r="M109">
        <v>37883</v>
      </c>
      <c r="N109">
        <v>1</v>
      </c>
      <c r="O109" t="s">
        <v>3000</v>
      </c>
      <c r="P109">
        <v>1</v>
      </c>
    </row>
    <row r="110" spans="1:16">
      <c r="A110" t="s">
        <v>226</v>
      </c>
      <c r="B110" t="s">
        <v>2872</v>
      </c>
      <c r="C110">
        <v>2</v>
      </c>
      <c r="D110" t="s">
        <v>227</v>
      </c>
      <c r="E110" t="s">
        <v>2873</v>
      </c>
      <c r="F110">
        <v>1</v>
      </c>
      <c r="G110">
        <v>109</v>
      </c>
      <c r="I110" t="s">
        <v>477</v>
      </c>
      <c r="J110" t="s">
        <v>478</v>
      </c>
      <c r="K110" t="s">
        <v>270</v>
      </c>
      <c r="L110" t="s">
        <v>479</v>
      </c>
      <c r="M110">
        <v>42633</v>
      </c>
      <c r="N110">
        <v>7</v>
      </c>
      <c r="O110" t="s">
        <v>3001</v>
      </c>
      <c r="P110">
        <v>7</v>
      </c>
    </row>
    <row r="111" spans="1:16">
      <c r="A111" t="s">
        <v>226</v>
      </c>
      <c r="B111" t="s">
        <v>2872</v>
      </c>
      <c r="C111">
        <v>2</v>
      </c>
      <c r="D111" t="s">
        <v>227</v>
      </c>
      <c r="E111" t="s">
        <v>2873</v>
      </c>
      <c r="F111">
        <v>1</v>
      </c>
      <c r="G111">
        <v>110</v>
      </c>
      <c r="I111" t="s">
        <v>480</v>
      </c>
      <c r="J111" t="s">
        <v>481</v>
      </c>
      <c r="K111" t="s">
        <v>48</v>
      </c>
      <c r="L111" t="s">
        <v>482</v>
      </c>
      <c r="M111">
        <v>38104</v>
      </c>
      <c r="N111">
        <v>9</v>
      </c>
      <c r="O111" t="s">
        <v>3002</v>
      </c>
      <c r="P111">
        <v>9</v>
      </c>
    </row>
    <row r="112" spans="1:16">
      <c r="A112" t="s">
        <v>226</v>
      </c>
      <c r="B112" t="s">
        <v>2872</v>
      </c>
      <c r="C112">
        <v>2</v>
      </c>
      <c r="D112" t="s">
        <v>227</v>
      </c>
      <c r="E112" t="s">
        <v>2873</v>
      </c>
      <c r="F112">
        <v>1</v>
      </c>
      <c r="G112">
        <v>111</v>
      </c>
      <c r="I112" t="s">
        <v>483</v>
      </c>
      <c r="J112" t="s">
        <v>484</v>
      </c>
      <c r="K112" t="s">
        <v>48</v>
      </c>
      <c r="L112" t="s">
        <v>485</v>
      </c>
      <c r="M112">
        <v>37775</v>
      </c>
      <c r="N112">
        <v>3</v>
      </c>
      <c r="O112" t="s">
        <v>3003</v>
      </c>
      <c r="P112">
        <v>3</v>
      </c>
    </row>
    <row r="113" spans="1:16">
      <c r="A113" t="s">
        <v>226</v>
      </c>
      <c r="B113" t="s">
        <v>2872</v>
      </c>
      <c r="C113">
        <v>2</v>
      </c>
      <c r="D113" t="s">
        <v>227</v>
      </c>
      <c r="E113" t="s">
        <v>2873</v>
      </c>
      <c r="F113">
        <v>1</v>
      </c>
      <c r="G113">
        <v>112</v>
      </c>
      <c r="I113" t="s">
        <v>486</v>
      </c>
      <c r="J113" t="s">
        <v>487</v>
      </c>
      <c r="K113" t="s">
        <v>48</v>
      </c>
      <c r="L113" t="s">
        <v>488</v>
      </c>
      <c r="M113">
        <v>38556</v>
      </c>
      <c r="N113">
        <v>2</v>
      </c>
      <c r="O113" t="s">
        <v>3004</v>
      </c>
      <c r="P113">
        <v>2</v>
      </c>
    </row>
    <row r="114" spans="1:16">
      <c r="A114" t="s">
        <v>226</v>
      </c>
      <c r="B114" t="s">
        <v>2872</v>
      </c>
      <c r="C114">
        <v>2</v>
      </c>
      <c r="D114" t="s">
        <v>227</v>
      </c>
      <c r="E114" t="s">
        <v>2873</v>
      </c>
      <c r="F114">
        <v>1</v>
      </c>
      <c r="G114">
        <v>113</v>
      </c>
      <c r="I114" t="s">
        <v>105</v>
      </c>
      <c r="J114" t="s">
        <v>2845</v>
      </c>
      <c r="K114" t="s">
        <v>48</v>
      </c>
      <c r="L114" t="s">
        <v>106</v>
      </c>
      <c r="M114">
        <v>27546</v>
      </c>
      <c r="N114">
        <v>2</v>
      </c>
      <c r="O114" t="s">
        <v>3005</v>
      </c>
      <c r="P114">
        <v>2</v>
      </c>
    </row>
    <row r="115" spans="1:16">
      <c r="A115" t="s">
        <v>226</v>
      </c>
      <c r="B115" t="s">
        <v>2872</v>
      </c>
      <c r="C115">
        <v>2</v>
      </c>
      <c r="D115" t="s">
        <v>227</v>
      </c>
      <c r="E115" t="s">
        <v>2873</v>
      </c>
      <c r="F115">
        <v>1</v>
      </c>
      <c r="G115">
        <v>114</v>
      </c>
      <c r="I115" t="s">
        <v>489</v>
      </c>
      <c r="J115" t="s">
        <v>3006</v>
      </c>
      <c r="K115" t="s">
        <v>48</v>
      </c>
      <c r="L115" t="s">
        <v>490</v>
      </c>
      <c r="M115">
        <v>42542</v>
      </c>
      <c r="N115">
        <v>2</v>
      </c>
      <c r="O115" t="s">
        <v>3007</v>
      </c>
      <c r="P115">
        <v>2</v>
      </c>
    </row>
    <row r="116" spans="1:16">
      <c r="A116" t="s">
        <v>226</v>
      </c>
      <c r="B116" t="s">
        <v>2872</v>
      </c>
      <c r="C116">
        <v>2</v>
      </c>
      <c r="D116" t="s">
        <v>227</v>
      </c>
      <c r="E116" t="s">
        <v>2873</v>
      </c>
      <c r="F116">
        <v>1</v>
      </c>
      <c r="G116">
        <v>115</v>
      </c>
      <c r="I116" t="s">
        <v>491</v>
      </c>
      <c r="J116" t="s">
        <v>492</v>
      </c>
      <c r="K116" t="s">
        <v>48</v>
      </c>
      <c r="L116" t="s">
        <v>493</v>
      </c>
      <c r="M116">
        <v>42543</v>
      </c>
      <c r="N116">
        <v>1</v>
      </c>
      <c r="O116" t="s">
        <v>494</v>
      </c>
      <c r="P116">
        <v>1</v>
      </c>
    </row>
    <row r="117" spans="1:16">
      <c r="A117" t="s">
        <v>226</v>
      </c>
      <c r="B117" t="s">
        <v>2872</v>
      </c>
      <c r="C117">
        <v>2</v>
      </c>
      <c r="D117" t="s">
        <v>227</v>
      </c>
      <c r="E117" t="s">
        <v>2873</v>
      </c>
      <c r="F117">
        <v>1</v>
      </c>
      <c r="G117">
        <v>116</v>
      </c>
      <c r="I117" t="s">
        <v>495</v>
      </c>
      <c r="J117" t="s">
        <v>3008</v>
      </c>
      <c r="K117" t="s">
        <v>3009</v>
      </c>
      <c r="L117" t="s">
        <v>496</v>
      </c>
      <c r="M117">
        <v>10389</v>
      </c>
      <c r="N117">
        <v>2</v>
      </c>
      <c r="O117" t="s">
        <v>3010</v>
      </c>
      <c r="P117">
        <v>2</v>
      </c>
    </row>
    <row r="118" spans="1:16">
      <c r="A118" t="s">
        <v>226</v>
      </c>
      <c r="B118" t="s">
        <v>2872</v>
      </c>
      <c r="C118">
        <v>2</v>
      </c>
      <c r="D118" t="s">
        <v>227</v>
      </c>
      <c r="E118" t="s">
        <v>2873</v>
      </c>
      <c r="F118">
        <v>1</v>
      </c>
      <c r="G118">
        <v>117</v>
      </c>
      <c r="I118" t="s">
        <v>120</v>
      </c>
      <c r="J118" t="s">
        <v>121</v>
      </c>
      <c r="K118" t="s">
        <v>122</v>
      </c>
      <c r="L118" t="s">
        <v>123</v>
      </c>
      <c r="M118">
        <v>10350</v>
      </c>
      <c r="N118">
        <v>7</v>
      </c>
      <c r="O118" t="s">
        <v>3011</v>
      </c>
      <c r="P118">
        <v>7</v>
      </c>
    </row>
    <row r="119" spans="1:16">
      <c r="A119" t="s">
        <v>226</v>
      </c>
      <c r="B119" t="s">
        <v>2872</v>
      </c>
      <c r="C119">
        <v>2</v>
      </c>
      <c r="D119" t="s">
        <v>227</v>
      </c>
      <c r="E119" t="s">
        <v>2873</v>
      </c>
      <c r="F119">
        <v>1</v>
      </c>
      <c r="G119">
        <v>118</v>
      </c>
      <c r="I119" t="s">
        <v>497</v>
      </c>
      <c r="J119" t="s">
        <v>498</v>
      </c>
      <c r="K119" t="s">
        <v>499</v>
      </c>
      <c r="L119" t="s">
        <v>500</v>
      </c>
      <c r="M119">
        <v>42606</v>
      </c>
      <c r="N119">
        <v>1</v>
      </c>
      <c r="O119" t="s">
        <v>3012</v>
      </c>
      <c r="P119">
        <v>1</v>
      </c>
    </row>
    <row r="120" spans="1:16">
      <c r="A120" t="s">
        <v>226</v>
      </c>
      <c r="B120" t="s">
        <v>2872</v>
      </c>
      <c r="C120">
        <v>2</v>
      </c>
      <c r="D120" t="s">
        <v>227</v>
      </c>
      <c r="E120" t="s">
        <v>2873</v>
      </c>
      <c r="F120">
        <v>1</v>
      </c>
      <c r="G120">
        <v>119</v>
      </c>
      <c r="I120" t="s">
        <v>3013</v>
      </c>
      <c r="J120" t="s">
        <v>3014</v>
      </c>
      <c r="K120" t="s">
        <v>499</v>
      </c>
      <c r="L120" t="s">
        <v>501</v>
      </c>
      <c r="M120">
        <v>42605</v>
      </c>
      <c r="N120">
        <v>3</v>
      </c>
      <c r="O120" t="s">
        <v>3015</v>
      </c>
      <c r="P120">
        <v>3</v>
      </c>
    </row>
    <row r="121" spans="1:16">
      <c r="A121" t="s">
        <v>226</v>
      </c>
      <c r="B121" t="s">
        <v>2872</v>
      </c>
      <c r="C121">
        <v>2</v>
      </c>
      <c r="D121" t="s">
        <v>227</v>
      </c>
      <c r="E121" t="s">
        <v>2873</v>
      </c>
      <c r="F121">
        <v>1</v>
      </c>
      <c r="G121">
        <v>120</v>
      </c>
      <c r="I121" t="s">
        <v>113</v>
      </c>
      <c r="J121" t="s">
        <v>2850</v>
      </c>
      <c r="K121" t="s">
        <v>367</v>
      </c>
      <c r="L121" t="s">
        <v>115</v>
      </c>
      <c r="M121">
        <v>10418</v>
      </c>
      <c r="N121">
        <v>1</v>
      </c>
      <c r="O121" t="s">
        <v>502</v>
      </c>
      <c r="P121">
        <v>1</v>
      </c>
    </row>
    <row r="122" spans="1:16">
      <c r="A122" t="s">
        <v>226</v>
      </c>
      <c r="B122" t="s">
        <v>2872</v>
      </c>
      <c r="C122">
        <v>2</v>
      </c>
      <c r="D122" t="s">
        <v>227</v>
      </c>
      <c r="E122" t="s">
        <v>2873</v>
      </c>
      <c r="F122">
        <v>1</v>
      </c>
      <c r="G122">
        <v>121</v>
      </c>
      <c r="I122" t="s">
        <v>503</v>
      </c>
      <c r="J122" t="s">
        <v>504</v>
      </c>
      <c r="K122" t="s">
        <v>126</v>
      </c>
      <c r="L122" t="s">
        <v>505</v>
      </c>
      <c r="M122">
        <v>33791</v>
      </c>
      <c r="N122">
        <v>8</v>
      </c>
      <c r="O122" t="s">
        <v>3016</v>
      </c>
      <c r="P122">
        <v>8</v>
      </c>
    </row>
    <row r="123" spans="1:16">
      <c r="A123" t="s">
        <v>226</v>
      </c>
      <c r="B123" t="s">
        <v>2872</v>
      </c>
      <c r="C123">
        <v>2</v>
      </c>
      <c r="D123" t="s">
        <v>227</v>
      </c>
      <c r="E123" t="s">
        <v>2873</v>
      </c>
      <c r="F123">
        <v>1</v>
      </c>
      <c r="G123">
        <v>122</v>
      </c>
      <c r="I123" t="s">
        <v>506</v>
      </c>
      <c r="J123" t="s">
        <v>507</v>
      </c>
      <c r="K123" t="s">
        <v>324</v>
      </c>
      <c r="L123" t="s">
        <v>508</v>
      </c>
      <c r="M123">
        <v>42495</v>
      </c>
      <c r="N123">
        <v>2</v>
      </c>
      <c r="O123" t="s">
        <v>3017</v>
      </c>
      <c r="P123">
        <v>2</v>
      </c>
    </row>
    <row r="124" spans="1:16">
      <c r="A124" t="s">
        <v>226</v>
      </c>
      <c r="B124" t="s">
        <v>2872</v>
      </c>
      <c r="C124">
        <v>2</v>
      </c>
      <c r="D124" t="s">
        <v>227</v>
      </c>
      <c r="E124" t="s">
        <v>2873</v>
      </c>
      <c r="F124">
        <v>1</v>
      </c>
      <c r="G124">
        <v>123</v>
      </c>
      <c r="I124" t="s">
        <v>110</v>
      </c>
      <c r="J124" t="s">
        <v>111</v>
      </c>
      <c r="K124" t="s">
        <v>108</v>
      </c>
      <c r="L124" t="s">
        <v>112</v>
      </c>
      <c r="M124">
        <v>5636</v>
      </c>
      <c r="N124">
        <v>1</v>
      </c>
      <c r="O124" t="s">
        <v>3018</v>
      </c>
      <c r="P124">
        <v>1</v>
      </c>
    </row>
    <row r="125" spans="1:16">
      <c r="A125" t="s">
        <v>226</v>
      </c>
      <c r="B125" t="s">
        <v>2872</v>
      </c>
      <c r="C125">
        <v>2</v>
      </c>
      <c r="D125" t="s">
        <v>227</v>
      </c>
      <c r="E125" t="s">
        <v>2873</v>
      </c>
      <c r="F125">
        <v>1</v>
      </c>
      <c r="G125">
        <v>124</v>
      </c>
      <c r="I125" t="s">
        <v>2847</v>
      </c>
      <c r="J125" t="s">
        <v>107</v>
      </c>
      <c r="K125" t="s">
        <v>108</v>
      </c>
      <c r="L125" t="s">
        <v>109</v>
      </c>
      <c r="M125">
        <v>1266</v>
      </c>
      <c r="N125">
        <v>1</v>
      </c>
      <c r="O125" t="s">
        <v>3019</v>
      </c>
      <c r="P125">
        <v>1</v>
      </c>
    </row>
    <row r="126" spans="1:16">
      <c r="A126" t="s">
        <v>226</v>
      </c>
      <c r="B126" t="s">
        <v>2872</v>
      </c>
      <c r="C126">
        <v>2</v>
      </c>
      <c r="D126" t="s">
        <v>227</v>
      </c>
      <c r="E126" t="s">
        <v>2873</v>
      </c>
      <c r="F126">
        <v>1</v>
      </c>
      <c r="G126">
        <v>125</v>
      </c>
      <c r="I126" t="s">
        <v>509</v>
      </c>
      <c r="J126" t="s">
        <v>510</v>
      </c>
      <c r="K126" t="s">
        <v>324</v>
      </c>
      <c r="L126" t="s">
        <v>511</v>
      </c>
      <c r="M126">
        <v>42577</v>
      </c>
      <c r="N126">
        <v>8</v>
      </c>
      <c r="O126" t="s">
        <v>3020</v>
      </c>
      <c r="P126">
        <v>8</v>
      </c>
    </row>
    <row r="127" spans="1:16">
      <c r="A127" t="s">
        <v>226</v>
      </c>
      <c r="B127" t="s">
        <v>2872</v>
      </c>
      <c r="C127">
        <v>2</v>
      </c>
      <c r="D127" t="s">
        <v>227</v>
      </c>
      <c r="E127" t="s">
        <v>2873</v>
      </c>
      <c r="F127">
        <v>1</v>
      </c>
      <c r="G127">
        <v>126</v>
      </c>
      <c r="I127" t="s">
        <v>512</v>
      </c>
      <c r="J127" t="s">
        <v>513</v>
      </c>
      <c r="K127" t="s">
        <v>514</v>
      </c>
      <c r="L127" t="s">
        <v>515</v>
      </c>
      <c r="M127">
        <v>42322</v>
      </c>
      <c r="N127">
        <v>1</v>
      </c>
      <c r="O127" t="s">
        <v>516</v>
      </c>
      <c r="P127">
        <v>1</v>
      </c>
    </row>
    <row r="128" spans="1:16">
      <c r="A128" t="s">
        <v>226</v>
      </c>
      <c r="B128" t="s">
        <v>2872</v>
      </c>
      <c r="C128">
        <v>2</v>
      </c>
      <c r="D128" t="s">
        <v>227</v>
      </c>
      <c r="E128" t="s">
        <v>2873</v>
      </c>
      <c r="F128">
        <v>1</v>
      </c>
      <c r="G128">
        <v>127</v>
      </c>
      <c r="I128" t="s">
        <v>517</v>
      </c>
      <c r="J128" t="s">
        <v>518</v>
      </c>
      <c r="K128" t="s">
        <v>514</v>
      </c>
      <c r="L128" t="s">
        <v>519</v>
      </c>
      <c r="M128">
        <v>42412</v>
      </c>
      <c r="N128">
        <v>3</v>
      </c>
      <c r="O128" t="s">
        <v>3021</v>
      </c>
      <c r="P128">
        <v>3</v>
      </c>
    </row>
    <row r="129" spans="1:16">
      <c r="A129" t="s">
        <v>226</v>
      </c>
      <c r="B129" t="s">
        <v>2872</v>
      </c>
      <c r="C129">
        <v>2</v>
      </c>
      <c r="D129" t="s">
        <v>227</v>
      </c>
      <c r="E129" t="s">
        <v>2873</v>
      </c>
      <c r="F129">
        <v>1</v>
      </c>
      <c r="G129">
        <v>128</v>
      </c>
      <c r="I129" t="s">
        <v>520</v>
      </c>
      <c r="J129" t="s">
        <v>521</v>
      </c>
      <c r="K129" t="s">
        <v>522</v>
      </c>
      <c r="L129" t="s">
        <v>523</v>
      </c>
      <c r="M129">
        <v>42586</v>
      </c>
      <c r="N129">
        <v>1</v>
      </c>
      <c r="O129" t="s">
        <v>524</v>
      </c>
      <c r="P129">
        <v>1</v>
      </c>
    </row>
    <row r="130" spans="1:16">
      <c r="A130" t="s">
        <v>226</v>
      </c>
      <c r="B130" t="s">
        <v>2872</v>
      </c>
      <c r="C130">
        <v>2</v>
      </c>
      <c r="D130" t="s">
        <v>227</v>
      </c>
      <c r="E130" t="s">
        <v>2873</v>
      </c>
      <c r="F130">
        <v>1</v>
      </c>
      <c r="G130">
        <v>129</v>
      </c>
      <c r="I130" t="s">
        <v>525</v>
      </c>
      <c r="J130" t="s">
        <v>526</v>
      </c>
      <c r="K130" t="s">
        <v>527</v>
      </c>
      <c r="L130" t="s">
        <v>528</v>
      </c>
      <c r="M130">
        <v>10403</v>
      </c>
      <c r="N130">
        <v>1</v>
      </c>
      <c r="O130" t="s">
        <v>529</v>
      </c>
      <c r="P130">
        <v>1</v>
      </c>
    </row>
    <row r="131" spans="1:16">
      <c r="A131" t="s">
        <v>226</v>
      </c>
      <c r="B131" t="s">
        <v>2872</v>
      </c>
      <c r="C131">
        <v>2</v>
      </c>
      <c r="D131" t="s">
        <v>227</v>
      </c>
      <c r="E131" t="s">
        <v>2873</v>
      </c>
      <c r="F131">
        <v>1</v>
      </c>
      <c r="G131">
        <v>130</v>
      </c>
      <c r="I131" t="s">
        <v>3022</v>
      </c>
      <c r="J131" t="s">
        <v>3023</v>
      </c>
      <c r="K131" t="s">
        <v>514</v>
      </c>
      <c r="L131" t="s">
        <v>530</v>
      </c>
      <c r="M131">
        <v>42545</v>
      </c>
      <c r="N131">
        <v>2</v>
      </c>
      <c r="O131" t="s">
        <v>531</v>
      </c>
      <c r="P131">
        <v>2</v>
      </c>
    </row>
    <row r="132" spans="1:16">
      <c r="A132" t="s">
        <v>226</v>
      </c>
      <c r="B132" t="s">
        <v>2872</v>
      </c>
      <c r="C132">
        <v>2</v>
      </c>
      <c r="D132" t="s">
        <v>227</v>
      </c>
      <c r="E132" t="s">
        <v>2873</v>
      </c>
      <c r="F132">
        <v>1</v>
      </c>
      <c r="G132">
        <v>131</v>
      </c>
      <c r="I132" t="s">
        <v>532</v>
      </c>
      <c r="J132" t="s">
        <v>533</v>
      </c>
      <c r="K132" t="s">
        <v>527</v>
      </c>
      <c r="L132" t="s">
        <v>534</v>
      </c>
      <c r="M132">
        <v>10412</v>
      </c>
      <c r="N132">
        <v>1</v>
      </c>
      <c r="O132" t="s">
        <v>535</v>
      </c>
      <c r="P132">
        <v>1</v>
      </c>
    </row>
    <row r="133" spans="1:16">
      <c r="A133" t="s">
        <v>226</v>
      </c>
      <c r="B133" t="s">
        <v>2872</v>
      </c>
      <c r="C133">
        <v>2</v>
      </c>
      <c r="D133" t="s">
        <v>227</v>
      </c>
      <c r="E133" t="s">
        <v>2873</v>
      </c>
      <c r="F133">
        <v>1</v>
      </c>
      <c r="G133">
        <v>132</v>
      </c>
      <c r="I133" t="s">
        <v>536</v>
      </c>
      <c r="J133" t="s">
        <v>537</v>
      </c>
      <c r="K133" t="s">
        <v>514</v>
      </c>
      <c r="L133" t="s">
        <v>538</v>
      </c>
      <c r="M133">
        <v>42405</v>
      </c>
      <c r="N133">
        <v>1</v>
      </c>
      <c r="O133" t="s">
        <v>539</v>
      </c>
      <c r="P133">
        <v>1</v>
      </c>
    </row>
    <row r="134" spans="1:16">
      <c r="A134" t="s">
        <v>226</v>
      </c>
      <c r="B134" t="s">
        <v>2872</v>
      </c>
      <c r="C134">
        <v>2</v>
      </c>
      <c r="D134" t="s">
        <v>227</v>
      </c>
      <c r="E134" t="s">
        <v>2873</v>
      </c>
      <c r="F134">
        <v>1</v>
      </c>
      <c r="G134">
        <v>133</v>
      </c>
      <c r="M134">
        <v>42590</v>
      </c>
      <c r="N134">
        <v>4</v>
      </c>
      <c r="O134" t="s">
        <v>3024</v>
      </c>
      <c r="P134">
        <v>4</v>
      </c>
    </row>
    <row r="135" spans="1:16">
      <c r="A135" t="s">
        <v>226</v>
      </c>
      <c r="B135" t="s">
        <v>2872</v>
      </c>
      <c r="C135">
        <v>2</v>
      </c>
      <c r="D135" t="s">
        <v>227</v>
      </c>
      <c r="E135" t="s">
        <v>2873</v>
      </c>
      <c r="F135">
        <v>1</v>
      </c>
      <c r="G135">
        <v>134</v>
      </c>
      <c r="I135" t="s">
        <v>540</v>
      </c>
      <c r="J135" t="s">
        <v>541</v>
      </c>
      <c r="K135" t="s">
        <v>542</v>
      </c>
      <c r="L135" t="s">
        <v>543</v>
      </c>
      <c r="M135">
        <v>4415</v>
      </c>
      <c r="N135">
        <v>2</v>
      </c>
      <c r="O135" t="s">
        <v>3025</v>
      </c>
      <c r="P135">
        <v>2</v>
      </c>
    </row>
    <row r="136" spans="1:16">
      <c r="N136" s="32">
        <f>SUM(N2:N135)</f>
        <v>1068</v>
      </c>
      <c r="P136" s="32">
        <f>SUM(P2:P135)</f>
        <v>1068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P196"/>
  <sheetViews>
    <sheetView topLeftCell="A158" zoomScaleNormal="100" workbookViewId="0">
      <selection activeCell="P196" sqref="P196"/>
    </sheetView>
  </sheetViews>
  <sheetFormatPr defaultRowHeight="15"/>
  <cols>
    <col min="2" max="2" width="32.7109375" customWidth="1"/>
    <col min="5" max="5" width="8.85546875" customWidth="1"/>
    <col min="12" max="12" width="37" customWidth="1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 s="2" customFormat="1">
      <c r="A2" s="2" t="s">
        <v>544</v>
      </c>
      <c r="B2" s="2" t="s">
        <v>545</v>
      </c>
      <c r="C2" s="2">
        <v>2</v>
      </c>
      <c r="D2" s="2" t="s">
        <v>227</v>
      </c>
      <c r="E2" s="2" t="s">
        <v>546</v>
      </c>
      <c r="F2" s="2">
        <v>1</v>
      </c>
      <c r="G2" s="2">
        <v>1</v>
      </c>
      <c r="I2" s="2" t="s">
        <v>228</v>
      </c>
      <c r="J2" s="2" t="s">
        <v>229</v>
      </c>
      <c r="K2" s="2" t="s">
        <v>18</v>
      </c>
      <c r="L2" s="2" t="s">
        <v>230</v>
      </c>
      <c r="M2" s="2">
        <v>10385</v>
      </c>
      <c r="N2" s="2">
        <v>3</v>
      </c>
      <c r="O2" s="2" t="s">
        <v>547</v>
      </c>
      <c r="P2" s="2">
        <v>3</v>
      </c>
    </row>
    <row r="3" spans="1:16">
      <c r="A3" t="s">
        <v>544</v>
      </c>
      <c r="B3" t="s">
        <v>545</v>
      </c>
      <c r="C3">
        <v>2</v>
      </c>
      <c r="D3" t="s">
        <v>227</v>
      </c>
      <c r="E3" t="s">
        <v>546</v>
      </c>
      <c r="F3">
        <v>1</v>
      </c>
      <c r="G3">
        <v>2</v>
      </c>
      <c r="I3" t="s">
        <v>16</v>
      </c>
      <c r="J3" t="s">
        <v>17</v>
      </c>
      <c r="K3" t="s">
        <v>18</v>
      </c>
      <c r="L3" t="s">
        <v>19</v>
      </c>
      <c r="M3">
        <v>10191</v>
      </c>
      <c r="N3">
        <v>1</v>
      </c>
      <c r="O3" t="s">
        <v>548</v>
      </c>
      <c r="P3">
        <v>1</v>
      </c>
    </row>
    <row r="4" spans="1:16">
      <c r="A4" t="s">
        <v>544</v>
      </c>
      <c r="B4" t="s">
        <v>545</v>
      </c>
      <c r="C4">
        <v>2</v>
      </c>
      <c r="D4" t="s">
        <v>227</v>
      </c>
      <c r="E4" t="s">
        <v>546</v>
      </c>
      <c r="F4">
        <v>1</v>
      </c>
      <c r="G4">
        <v>3</v>
      </c>
      <c r="I4" t="s">
        <v>248</v>
      </c>
      <c r="J4" t="s">
        <v>249</v>
      </c>
      <c r="K4" t="s">
        <v>250</v>
      </c>
      <c r="L4" t="s">
        <v>251</v>
      </c>
      <c r="M4">
        <v>42491</v>
      </c>
      <c r="N4">
        <v>254</v>
      </c>
      <c r="O4" t="s">
        <v>549</v>
      </c>
      <c r="P4">
        <v>254</v>
      </c>
    </row>
    <row r="5" spans="1:16">
      <c r="A5" t="s">
        <v>544</v>
      </c>
      <c r="B5" t="s">
        <v>545</v>
      </c>
      <c r="C5">
        <v>2</v>
      </c>
      <c r="D5" t="s">
        <v>227</v>
      </c>
      <c r="E5" t="s">
        <v>546</v>
      </c>
      <c r="F5">
        <v>1</v>
      </c>
      <c r="G5">
        <v>4</v>
      </c>
      <c r="I5" t="s">
        <v>245</v>
      </c>
      <c r="J5" t="s">
        <v>246</v>
      </c>
      <c r="K5" t="s">
        <v>32</v>
      </c>
      <c r="L5" t="s">
        <v>247</v>
      </c>
      <c r="M5">
        <v>42429</v>
      </c>
      <c r="N5">
        <v>218</v>
      </c>
      <c r="O5" t="s">
        <v>550</v>
      </c>
      <c r="P5">
        <v>218</v>
      </c>
    </row>
    <row r="6" spans="1:16">
      <c r="A6" t="s">
        <v>544</v>
      </c>
      <c r="B6" t="s">
        <v>545</v>
      </c>
      <c r="C6">
        <v>2</v>
      </c>
      <c r="D6" t="s">
        <v>227</v>
      </c>
      <c r="E6" t="s">
        <v>546</v>
      </c>
      <c r="F6">
        <v>1</v>
      </c>
      <c r="G6">
        <v>5</v>
      </c>
      <c r="I6" t="s">
        <v>242</v>
      </c>
      <c r="J6" t="s">
        <v>243</v>
      </c>
      <c r="K6" t="s">
        <v>32</v>
      </c>
      <c r="L6" t="s">
        <v>244</v>
      </c>
      <c r="M6">
        <v>42485</v>
      </c>
      <c r="N6">
        <v>248</v>
      </c>
      <c r="O6" t="s">
        <v>551</v>
      </c>
      <c r="P6">
        <v>248</v>
      </c>
    </row>
    <row r="7" spans="1:16">
      <c r="A7" t="s">
        <v>544</v>
      </c>
      <c r="B7" t="s">
        <v>545</v>
      </c>
      <c r="C7">
        <v>2</v>
      </c>
      <c r="D7" t="s">
        <v>227</v>
      </c>
      <c r="E7" t="s">
        <v>546</v>
      </c>
      <c r="F7">
        <v>1</v>
      </c>
      <c r="G7">
        <v>6</v>
      </c>
      <c r="I7" t="s">
        <v>282</v>
      </c>
      <c r="J7" t="s">
        <v>283</v>
      </c>
      <c r="K7" t="s">
        <v>32</v>
      </c>
      <c r="L7" t="s">
        <v>284</v>
      </c>
      <c r="M7">
        <v>42486</v>
      </c>
      <c r="N7">
        <v>4</v>
      </c>
      <c r="O7" t="s">
        <v>552</v>
      </c>
      <c r="P7">
        <v>4</v>
      </c>
    </row>
    <row r="8" spans="1:16">
      <c r="A8" t="s">
        <v>544</v>
      </c>
      <c r="B8" t="s">
        <v>545</v>
      </c>
      <c r="C8">
        <v>2</v>
      </c>
      <c r="D8" t="s">
        <v>227</v>
      </c>
      <c r="E8" t="s">
        <v>546</v>
      </c>
      <c r="F8">
        <v>1</v>
      </c>
      <c r="G8">
        <v>7</v>
      </c>
      <c r="I8" t="s">
        <v>553</v>
      </c>
      <c r="J8" t="s">
        <v>554</v>
      </c>
      <c r="K8" t="s">
        <v>22</v>
      </c>
      <c r="L8" t="s">
        <v>555</v>
      </c>
      <c r="M8">
        <v>42371</v>
      </c>
      <c r="N8">
        <v>5</v>
      </c>
      <c r="O8" t="s">
        <v>556</v>
      </c>
      <c r="P8">
        <v>5</v>
      </c>
    </row>
    <row r="9" spans="1:16">
      <c r="A9" t="s">
        <v>544</v>
      </c>
      <c r="B9" t="s">
        <v>545</v>
      </c>
      <c r="C9">
        <v>2</v>
      </c>
      <c r="D9" t="s">
        <v>227</v>
      </c>
      <c r="E9" t="s">
        <v>546</v>
      </c>
      <c r="F9">
        <v>1</v>
      </c>
      <c r="G9">
        <v>8</v>
      </c>
      <c r="I9" t="s">
        <v>256</v>
      </c>
      <c r="J9" t="s">
        <v>257</v>
      </c>
      <c r="K9" t="s">
        <v>48</v>
      </c>
      <c r="L9" t="s">
        <v>258</v>
      </c>
      <c r="M9">
        <v>42501</v>
      </c>
      <c r="N9">
        <v>42</v>
      </c>
      <c r="O9" t="s">
        <v>557</v>
      </c>
      <c r="P9">
        <v>42</v>
      </c>
    </row>
    <row r="10" spans="1:16">
      <c r="A10" t="s">
        <v>544</v>
      </c>
      <c r="B10" t="s">
        <v>545</v>
      </c>
      <c r="C10">
        <v>2</v>
      </c>
      <c r="D10" t="s">
        <v>227</v>
      </c>
      <c r="E10" t="s">
        <v>546</v>
      </c>
      <c r="F10">
        <v>1</v>
      </c>
      <c r="G10">
        <v>9</v>
      </c>
      <c r="I10" t="s">
        <v>237</v>
      </c>
      <c r="J10" t="s">
        <v>238</v>
      </c>
      <c r="K10" t="s">
        <v>48</v>
      </c>
      <c r="L10" t="s">
        <v>239</v>
      </c>
      <c r="M10">
        <v>42512</v>
      </c>
      <c r="N10">
        <v>46</v>
      </c>
      <c r="O10" t="s">
        <v>558</v>
      </c>
      <c r="P10">
        <v>46</v>
      </c>
    </row>
    <row r="11" spans="1:16">
      <c r="A11" t="s">
        <v>544</v>
      </c>
      <c r="B11" t="s">
        <v>545</v>
      </c>
      <c r="C11">
        <v>2</v>
      </c>
      <c r="D11" t="s">
        <v>227</v>
      </c>
      <c r="E11" t="s">
        <v>546</v>
      </c>
      <c r="F11">
        <v>1</v>
      </c>
      <c r="G11">
        <v>10</v>
      </c>
      <c r="I11" t="s">
        <v>262</v>
      </c>
      <c r="J11" t="s">
        <v>263</v>
      </c>
      <c r="K11" t="s">
        <v>235</v>
      </c>
      <c r="L11" t="s">
        <v>264</v>
      </c>
      <c r="M11">
        <v>42492</v>
      </c>
      <c r="N11">
        <v>115</v>
      </c>
      <c r="O11" t="s">
        <v>559</v>
      </c>
      <c r="P11">
        <v>115</v>
      </c>
    </row>
    <row r="12" spans="1:16">
      <c r="A12" t="s">
        <v>544</v>
      </c>
      <c r="B12" t="s">
        <v>545</v>
      </c>
      <c r="C12">
        <v>2</v>
      </c>
      <c r="D12" t="s">
        <v>227</v>
      </c>
      <c r="E12" t="s">
        <v>546</v>
      </c>
      <c r="F12">
        <v>1</v>
      </c>
      <c r="G12">
        <v>11</v>
      </c>
      <c r="I12" t="s">
        <v>272</v>
      </c>
      <c r="J12" t="s">
        <v>273</v>
      </c>
      <c r="K12" t="s">
        <v>32</v>
      </c>
      <c r="L12" t="s">
        <v>274</v>
      </c>
      <c r="M12">
        <v>33762</v>
      </c>
      <c r="N12">
        <v>3</v>
      </c>
      <c r="O12" t="s">
        <v>560</v>
      </c>
      <c r="P12">
        <v>3</v>
      </c>
    </row>
    <row r="13" spans="1:16">
      <c r="A13" t="s">
        <v>544</v>
      </c>
      <c r="B13" t="s">
        <v>545</v>
      </c>
      <c r="C13">
        <v>2</v>
      </c>
      <c r="D13" t="s">
        <v>227</v>
      </c>
      <c r="E13" t="s">
        <v>546</v>
      </c>
      <c r="F13">
        <v>1</v>
      </c>
      <c r="G13">
        <v>12</v>
      </c>
      <c r="I13" t="s">
        <v>290</v>
      </c>
      <c r="J13" t="s">
        <v>291</v>
      </c>
      <c r="K13" t="s">
        <v>292</v>
      </c>
      <c r="L13" t="s">
        <v>293</v>
      </c>
      <c r="M13">
        <v>42571</v>
      </c>
      <c r="N13">
        <v>35</v>
      </c>
      <c r="O13" t="s">
        <v>561</v>
      </c>
      <c r="P13">
        <v>35</v>
      </c>
    </row>
    <row r="14" spans="1:16">
      <c r="A14" t="s">
        <v>544</v>
      </c>
      <c r="B14" t="s">
        <v>545</v>
      </c>
      <c r="C14">
        <v>2</v>
      </c>
      <c r="D14" t="s">
        <v>227</v>
      </c>
      <c r="E14" t="s">
        <v>546</v>
      </c>
      <c r="F14">
        <v>1</v>
      </c>
      <c r="G14">
        <v>13</v>
      </c>
      <c r="I14" t="s">
        <v>30</v>
      </c>
      <c r="J14" t="s">
        <v>266</v>
      </c>
      <c r="K14" t="s">
        <v>235</v>
      </c>
      <c r="L14" t="s">
        <v>267</v>
      </c>
      <c r="M14">
        <v>42479</v>
      </c>
      <c r="N14">
        <v>34</v>
      </c>
      <c r="O14" t="s">
        <v>562</v>
      </c>
      <c r="P14">
        <v>34</v>
      </c>
    </row>
    <row r="15" spans="1:16">
      <c r="A15" t="s">
        <v>544</v>
      </c>
      <c r="B15" t="s">
        <v>545</v>
      </c>
      <c r="C15">
        <v>2</v>
      </c>
      <c r="D15" t="s">
        <v>227</v>
      </c>
      <c r="E15" t="s">
        <v>546</v>
      </c>
      <c r="F15">
        <v>1</v>
      </c>
      <c r="G15">
        <v>14</v>
      </c>
      <c r="I15" t="s">
        <v>311</v>
      </c>
      <c r="J15" t="s">
        <v>312</v>
      </c>
      <c r="K15" t="s">
        <v>48</v>
      </c>
      <c r="L15" t="s">
        <v>313</v>
      </c>
      <c r="M15">
        <v>42519</v>
      </c>
      <c r="N15">
        <v>10</v>
      </c>
      <c r="O15" t="s">
        <v>563</v>
      </c>
      <c r="P15">
        <v>10</v>
      </c>
    </row>
    <row r="16" spans="1:16">
      <c r="A16" t="s">
        <v>544</v>
      </c>
      <c r="B16" t="s">
        <v>545</v>
      </c>
      <c r="C16">
        <v>2</v>
      </c>
      <c r="D16" t="s">
        <v>227</v>
      </c>
      <c r="E16" t="s">
        <v>546</v>
      </c>
      <c r="F16">
        <v>1</v>
      </c>
      <c r="G16">
        <v>15</v>
      </c>
      <c r="I16" t="s">
        <v>564</v>
      </c>
      <c r="J16" t="s">
        <v>565</v>
      </c>
      <c r="K16" t="s">
        <v>48</v>
      </c>
      <c r="L16" t="s">
        <v>566</v>
      </c>
      <c r="M16">
        <v>42618</v>
      </c>
      <c r="N16">
        <v>1</v>
      </c>
      <c r="O16" t="s">
        <v>567</v>
      </c>
      <c r="P16">
        <v>1</v>
      </c>
    </row>
    <row r="17" spans="1:16">
      <c r="A17" t="s">
        <v>544</v>
      </c>
      <c r="B17" t="s">
        <v>545</v>
      </c>
      <c r="C17">
        <v>2</v>
      </c>
      <c r="D17" t="s">
        <v>227</v>
      </c>
      <c r="E17" t="s">
        <v>546</v>
      </c>
      <c r="F17">
        <v>1</v>
      </c>
      <c r="G17">
        <v>16</v>
      </c>
      <c r="I17" t="s">
        <v>568</v>
      </c>
      <c r="J17" t="s">
        <v>569</v>
      </c>
      <c r="K17" t="s">
        <v>48</v>
      </c>
      <c r="L17" t="s">
        <v>570</v>
      </c>
      <c r="M17">
        <v>42620</v>
      </c>
      <c r="N17">
        <v>2</v>
      </c>
      <c r="O17" t="s">
        <v>571</v>
      </c>
      <c r="P17">
        <v>2</v>
      </c>
    </row>
    <row r="18" spans="1:16">
      <c r="A18" t="s">
        <v>544</v>
      </c>
      <c r="B18" t="s">
        <v>545</v>
      </c>
      <c r="C18">
        <v>2</v>
      </c>
      <c r="D18" t="s">
        <v>227</v>
      </c>
      <c r="E18" t="s">
        <v>546</v>
      </c>
      <c r="F18">
        <v>1</v>
      </c>
      <c r="G18">
        <v>17</v>
      </c>
      <c r="I18" t="s">
        <v>572</v>
      </c>
      <c r="J18" t="s">
        <v>573</v>
      </c>
      <c r="K18" t="s">
        <v>48</v>
      </c>
      <c r="L18" t="s">
        <v>574</v>
      </c>
      <c r="M18">
        <v>42615</v>
      </c>
      <c r="N18">
        <v>1</v>
      </c>
      <c r="O18" t="s">
        <v>575</v>
      </c>
      <c r="P18">
        <v>1</v>
      </c>
    </row>
    <row r="19" spans="1:16">
      <c r="A19" t="s">
        <v>544</v>
      </c>
      <c r="B19" t="s">
        <v>545</v>
      </c>
      <c r="C19">
        <v>2</v>
      </c>
      <c r="D19" t="s">
        <v>227</v>
      </c>
      <c r="E19" t="s">
        <v>546</v>
      </c>
      <c r="F19">
        <v>1</v>
      </c>
      <c r="G19">
        <v>18</v>
      </c>
      <c r="I19" t="s">
        <v>252</v>
      </c>
      <c r="J19" t="s">
        <v>253</v>
      </c>
      <c r="K19" t="s">
        <v>254</v>
      </c>
      <c r="L19" t="s">
        <v>255</v>
      </c>
      <c r="M19">
        <v>42556</v>
      </c>
      <c r="N19">
        <v>4</v>
      </c>
      <c r="O19" t="s">
        <v>576</v>
      </c>
      <c r="P19">
        <v>4</v>
      </c>
    </row>
    <row r="20" spans="1:16">
      <c r="A20" t="s">
        <v>544</v>
      </c>
      <c r="B20" t="s">
        <v>545</v>
      </c>
      <c r="C20">
        <v>2</v>
      </c>
      <c r="D20" t="s">
        <v>227</v>
      </c>
      <c r="E20" t="s">
        <v>546</v>
      </c>
      <c r="F20">
        <v>1</v>
      </c>
      <c r="G20">
        <v>19</v>
      </c>
      <c r="I20" t="s">
        <v>577</v>
      </c>
      <c r="J20" t="s">
        <v>578</v>
      </c>
      <c r="K20" t="s">
        <v>48</v>
      </c>
      <c r="L20" t="s">
        <v>579</v>
      </c>
      <c r="M20">
        <v>42616</v>
      </c>
      <c r="N20">
        <v>1</v>
      </c>
      <c r="O20" t="s">
        <v>580</v>
      </c>
      <c r="P20">
        <v>1</v>
      </c>
    </row>
    <row r="21" spans="1:16">
      <c r="A21" t="s">
        <v>544</v>
      </c>
      <c r="B21" t="s">
        <v>545</v>
      </c>
      <c r="C21">
        <v>2</v>
      </c>
      <c r="D21" t="s">
        <v>227</v>
      </c>
      <c r="E21" t="s">
        <v>546</v>
      </c>
      <c r="F21">
        <v>1</v>
      </c>
      <c r="G21">
        <v>20</v>
      </c>
      <c r="I21" t="s">
        <v>581</v>
      </c>
      <c r="J21" t="s">
        <v>582</v>
      </c>
      <c r="K21" t="s">
        <v>287</v>
      </c>
      <c r="L21" t="s">
        <v>583</v>
      </c>
      <c r="M21">
        <v>33942</v>
      </c>
      <c r="N21">
        <v>2</v>
      </c>
      <c r="O21" t="s">
        <v>584</v>
      </c>
      <c r="P21">
        <v>2</v>
      </c>
    </row>
    <row r="22" spans="1:16">
      <c r="A22" t="s">
        <v>544</v>
      </c>
      <c r="B22" t="s">
        <v>545</v>
      </c>
      <c r="C22">
        <v>2</v>
      </c>
      <c r="D22" t="s">
        <v>227</v>
      </c>
      <c r="E22" t="s">
        <v>546</v>
      </c>
      <c r="F22">
        <v>1</v>
      </c>
      <c r="G22">
        <v>21</v>
      </c>
      <c r="I22" t="s">
        <v>268</v>
      </c>
      <c r="J22" t="s">
        <v>269</v>
      </c>
      <c r="K22" t="s">
        <v>270</v>
      </c>
      <c r="L22" t="s">
        <v>271</v>
      </c>
      <c r="M22">
        <v>42382</v>
      </c>
      <c r="N22">
        <v>4</v>
      </c>
      <c r="O22" t="s">
        <v>585</v>
      </c>
      <c r="P22">
        <v>4</v>
      </c>
    </row>
    <row r="23" spans="1:16">
      <c r="A23" t="s">
        <v>544</v>
      </c>
      <c r="B23" t="s">
        <v>545</v>
      </c>
      <c r="C23">
        <v>2</v>
      </c>
      <c r="D23" t="s">
        <v>227</v>
      </c>
      <c r="E23" t="s">
        <v>546</v>
      </c>
      <c r="F23">
        <v>1</v>
      </c>
      <c r="G23">
        <v>22</v>
      </c>
      <c r="I23" t="s">
        <v>27</v>
      </c>
      <c r="J23" t="s">
        <v>240</v>
      </c>
      <c r="K23" t="s">
        <v>32</v>
      </c>
      <c r="L23" t="s">
        <v>241</v>
      </c>
      <c r="M23">
        <v>42386</v>
      </c>
      <c r="N23">
        <v>30</v>
      </c>
      <c r="O23" t="s">
        <v>586</v>
      </c>
      <c r="P23">
        <v>30</v>
      </c>
    </row>
    <row r="24" spans="1:16">
      <c r="A24" t="s">
        <v>544</v>
      </c>
      <c r="B24" t="s">
        <v>545</v>
      </c>
      <c r="C24">
        <v>2</v>
      </c>
      <c r="D24" t="s">
        <v>227</v>
      </c>
      <c r="E24" t="s">
        <v>546</v>
      </c>
      <c r="F24">
        <v>1</v>
      </c>
      <c r="G24">
        <v>23</v>
      </c>
      <c r="I24" t="s">
        <v>587</v>
      </c>
      <c r="J24" t="s">
        <v>588</v>
      </c>
      <c r="K24" t="s">
        <v>287</v>
      </c>
      <c r="L24" t="s">
        <v>589</v>
      </c>
      <c r="M24">
        <v>10524</v>
      </c>
      <c r="N24">
        <v>12</v>
      </c>
      <c r="O24" t="s">
        <v>590</v>
      </c>
      <c r="P24">
        <v>12</v>
      </c>
    </row>
    <row r="25" spans="1:16">
      <c r="A25" t="s">
        <v>544</v>
      </c>
      <c r="B25" t="s">
        <v>545</v>
      </c>
      <c r="C25">
        <v>2</v>
      </c>
      <c r="D25" t="s">
        <v>227</v>
      </c>
      <c r="E25" t="s">
        <v>546</v>
      </c>
      <c r="F25">
        <v>1</v>
      </c>
      <c r="G25">
        <v>24</v>
      </c>
      <c r="I25" t="s">
        <v>279</v>
      </c>
      <c r="J25" t="s">
        <v>280</v>
      </c>
      <c r="K25" t="s">
        <v>48</v>
      </c>
      <c r="L25" t="s">
        <v>281</v>
      </c>
      <c r="M25">
        <v>42514</v>
      </c>
      <c r="N25">
        <v>7</v>
      </c>
      <c r="O25" t="s">
        <v>591</v>
      </c>
      <c r="P25">
        <v>7</v>
      </c>
    </row>
    <row r="26" spans="1:16">
      <c r="A26" t="s">
        <v>544</v>
      </c>
      <c r="B26" t="s">
        <v>545</v>
      </c>
      <c r="C26">
        <v>2</v>
      </c>
      <c r="D26" t="s">
        <v>227</v>
      </c>
      <c r="E26" t="s">
        <v>546</v>
      </c>
      <c r="F26">
        <v>1</v>
      </c>
      <c r="G26">
        <v>25</v>
      </c>
      <c r="I26" t="s">
        <v>592</v>
      </c>
      <c r="J26" t="s">
        <v>593</v>
      </c>
      <c r="K26" t="s">
        <v>22</v>
      </c>
      <c r="L26" t="s">
        <v>594</v>
      </c>
      <c r="M26">
        <v>42384</v>
      </c>
      <c r="N26">
        <v>8</v>
      </c>
      <c r="O26" t="s">
        <v>595</v>
      </c>
      <c r="P26">
        <v>8</v>
      </c>
    </row>
    <row r="27" spans="1:16">
      <c r="A27" t="s">
        <v>544</v>
      </c>
      <c r="B27" t="s">
        <v>545</v>
      </c>
      <c r="C27">
        <v>2</v>
      </c>
      <c r="D27" t="s">
        <v>227</v>
      </c>
      <c r="E27" t="s">
        <v>546</v>
      </c>
      <c r="F27">
        <v>1</v>
      </c>
      <c r="G27">
        <v>26</v>
      </c>
      <c r="I27" t="s">
        <v>233</v>
      </c>
      <c r="J27" t="s">
        <v>234</v>
      </c>
      <c r="K27" t="s">
        <v>235</v>
      </c>
      <c r="L27" t="s">
        <v>236</v>
      </c>
      <c r="M27">
        <v>42376</v>
      </c>
      <c r="N27">
        <v>5</v>
      </c>
      <c r="O27" t="s">
        <v>596</v>
      </c>
      <c r="P27">
        <v>5</v>
      </c>
    </row>
    <row r="28" spans="1:16">
      <c r="A28" t="s">
        <v>544</v>
      </c>
      <c r="B28" t="s">
        <v>545</v>
      </c>
      <c r="C28">
        <v>2</v>
      </c>
      <c r="D28" t="s">
        <v>227</v>
      </c>
      <c r="E28" t="s">
        <v>546</v>
      </c>
      <c r="F28">
        <v>1</v>
      </c>
      <c r="G28">
        <v>27</v>
      </c>
      <c r="I28" t="s">
        <v>20</v>
      </c>
      <c r="J28" t="s">
        <v>21</v>
      </c>
      <c r="K28" t="s">
        <v>22</v>
      </c>
      <c r="L28" t="s">
        <v>23</v>
      </c>
      <c r="M28">
        <v>42431</v>
      </c>
      <c r="N28">
        <v>14</v>
      </c>
      <c r="O28" t="s">
        <v>597</v>
      </c>
      <c r="P28">
        <v>14</v>
      </c>
    </row>
    <row r="29" spans="1:16">
      <c r="A29" t="s">
        <v>544</v>
      </c>
      <c r="B29" t="s">
        <v>545</v>
      </c>
      <c r="C29">
        <v>2</v>
      </c>
      <c r="D29" t="s">
        <v>227</v>
      </c>
      <c r="E29" t="s">
        <v>546</v>
      </c>
      <c r="F29">
        <v>1</v>
      </c>
      <c r="G29">
        <v>28</v>
      </c>
      <c r="I29" t="s">
        <v>297</v>
      </c>
      <c r="J29" t="s">
        <v>298</v>
      </c>
      <c r="K29" t="s">
        <v>48</v>
      </c>
      <c r="L29" t="s">
        <v>299</v>
      </c>
      <c r="M29">
        <v>42502</v>
      </c>
      <c r="N29">
        <v>4</v>
      </c>
      <c r="O29" t="s">
        <v>598</v>
      </c>
      <c r="P29">
        <v>4</v>
      </c>
    </row>
    <row r="30" spans="1:16">
      <c r="A30" t="s">
        <v>544</v>
      </c>
      <c r="B30" t="s">
        <v>545</v>
      </c>
      <c r="C30">
        <v>2</v>
      </c>
      <c r="D30" t="s">
        <v>227</v>
      </c>
      <c r="E30" t="s">
        <v>546</v>
      </c>
      <c r="F30">
        <v>1</v>
      </c>
      <c r="G30">
        <v>29</v>
      </c>
      <c r="I30" t="s">
        <v>259</v>
      </c>
      <c r="J30" t="s">
        <v>260</v>
      </c>
      <c r="K30" t="s">
        <v>48</v>
      </c>
      <c r="L30" t="s">
        <v>261</v>
      </c>
      <c r="M30">
        <v>42477</v>
      </c>
      <c r="N30">
        <v>11</v>
      </c>
      <c r="O30" t="s">
        <v>599</v>
      </c>
      <c r="P30">
        <v>11</v>
      </c>
    </row>
    <row r="31" spans="1:16">
      <c r="A31" t="s">
        <v>544</v>
      </c>
      <c r="B31" t="s">
        <v>545</v>
      </c>
      <c r="C31">
        <v>2</v>
      </c>
      <c r="D31" t="s">
        <v>227</v>
      </c>
      <c r="E31" t="s">
        <v>546</v>
      </c>
      <c r="F31">
        <v>1</v>
      </c>
      <c r="G31">
        <v>30</v>
      </c>
      <c r="I31" t="s">
        <v>600</v>
      </c>
      <c r="J31" t="s">
        <v>601</v>
      </c>
      <c r="K31" t="s">
        <v>48</v>
      </c>
      <c r="L31" t="s">
        <v>602</v>
      </c>
      <c r="M31">
        <v>42503</v>
      </c>
      <c r="N31">
        <v>2</v>
      </c>
      <c r="O31" t="s">
        <v>603</v>
      </c>
      <c r="P31">
        <v>2</v>
      </c>
    </row>
    <row r="32" spans="1:16">
      <c r="A32" t="s">
        <v>544</v>
      </c>
      <c r="B32" t="s">
        <v>545</v>
      </c>
      <c r="C32">
        <v>2</v>
      </c>
      <c r="D32" t="s">
        <v>227</v>
      </c>
      <c r="E32" t="s">
        <v>546</v>
      </c>
      <c r="F32">
        <v>1</v>
      </c>
      <c r="G32">
        <v>31</v>
      </c>
      <c r="I32" t="s">
        <v>37</v>
      </c>
      <c r="J32" t="s">
        <v>38</v>
      </c>
      <c r="K32" t="s">
        <v>22</v>
      </c>
      <c r="L32" t="s">
        <v>39</v>
      </c>
      <c r="M32">
        <v>33765</v>
      </c>
      <c r="N32">
        <v>2</v>
      </c>
      <c r="O32" t="s">
        <v>604</v>
      </c>
      <c r="P32">
        <v>2</v>
      </c>
    </row>
    <row r="33" spans="1:16">
      <c r="A33" t="s">
        <v>544</v>
      </c>
      <c r="B33" t="s">
        <v>545</v>
      </c>
      <c r="C33">
        <v>2</v>
      </c>
      <c r="D33" t="s">
        <v>227</v>
      </c>
      <c r="E33" t="s">
        <v>546</v>
      </c>
      <c r="F33">
        <v>1</v>
      </c>
      <c r="G33">
        <v>32</v>
      </c>
      <c r="I33" t="s">
        <v>605</v>
      </c>
      <c r="J33" t="s">
        <v>606</v>
      </c>
      <c r="K33" t="s">
        <v>48</v>
      </c>
      <c r="L33" t="s">
        <v>607</v>
      </c>
      <c r="M33">
        <v>42507</v>
      </c>
      <c r="N33">
        <v>8</v>
      </c>
      <c r="O33" t="s">
        <v>608</v>
      </c>
      <c r="P33">
        <v>8</v>
      </c>
    </row>
    <row r="34" spans="1:16">
      <c r="A34" t="s">
        <v>544</v>
      </c>
      <c r="B34" t="s">
        <v>545</v>
      </c>
      <c r="C34">
        <v>2</v>
      </c>
      <c r="D34" t="s">
        <v>227</v>
      </c>
      <c r="E34" t="s">
        <v>546</v>
      </c>
      <c r="F34">
        <v>1</v>
      </c>
      <c r="G34">
        <v>33</v>
      </c>
      <c r="I34" t="s">
        <v>276</v>
      </c>
      <c r="J34" t="s">
        <v>277</v>
      </c>
      <c r="K34" t="s">
        <v>250</v>
      </c>
      <c r="L34" t="s">
        <v>278</v>
      </c>
      <c r="M34">
        <v>42357</v>
      </c>
      <c r="N34">
        <v>30</v>
      </c>
      <c r="O34" t="s">
        <v>609</v>
      </c>
      <c r="P34">
        <v>30</v>
      </c>
    </row>
    <row r="35" spans="1:16">
      <c r="A35" t="s">
        <v>544</v>
      </c>
      <c r="B35" t="s">
        <v>545</v>
      </c>
      <c r="C35">
        <v>2</v>
      </c>
      <c r="D35" t="s">
        <v>227</v>
      </c>
      <c r="E35" t="s">
        <v>546</v>
      </c>
      <c r="F35">
        <v>1</v>
      </c>
      <c r="G35">
        <v>34</v>
      </c>
      <c r="I35" t="s">
        <v>24</v>
      </c>
      <c r="J35" t="s">
        <v>25</v>
      </c>
      <c r="K35" t="s">
        <v>22</v>
      </c>
      <c r="L35" t="s">
        <v>26</v>
      </c>
      <c r="M35">
        <v>2054</v>
      </c>
      <c r="N35">
        <v>5</v>
      </c>
      <c r="O35" t="s">
        <v>610</v>
      </c>
      <c r="P35">
        <v>5</v>
      </c>
    </row>
    <row r="36" spans="1:16">
      <c r="A36" t="s">
        <v>544</v>
      </c>
      <c r="B36" t="s">
        <v>545</v>
      </c>
      <c r="C36">
        <v>2</v>
      </c>
      <c r="D36" t="s">
        <v>227</v>
      </c>
      <c r="E36" t="s">
        <v>546</v>
      </c>
      <c r="F36">
        <v>1</v>
      </c>
      <c r="G36">
        <v>35</v>
      </c>
      <c r="I36" t="s">
        <v>611</v>
      </c>
      <c r="J36" t="s">
        <v>612</v>
      </c>
      <c r="K36" t="s">
        <v>22</v>
      </c>
      <c r="L36" t="s">
        <v>613</v>
      </c>
      <c r="M36">
        <v>4777</v>
      </c>
      <c r="N36">
        <v>1</v>
      </c>
      <c r="O36" t="s">
        <v>614</v>
      </c>
      <c r="P36">
        <v>1</v>
      </c>
    </row>
    <row r="37" spans="1:16">
      <c r="A37" t="s">
        <v>544</v>
      </c>
      <c r="B37" t="s">
        <v>545</v>
      </c>
      <c r="C37">
        <v>2</v>
      </c>
      <c r="D37" t="s">
        <v>227</v>
      </c>
      <c r="E37" t="s">
        <v>546</v>
      </c>
      <c r="F37">
        <v>1</v>
      </c>
      <c r="G37">
        <v>36</v>
      </c>
      <c r="I37" t="s">
        <v>615</v>
      </c>
      <c r="J37" t="s">
        <v>616</v>
      </c>
      <c r="K37" t="s">
        <v>48</v>
      </c>
      <c r="L37" t="s">
        <v>617</v>
      </c>
      <c r="M37">
        <v>42478</v>
      </c>
      <c r="N37">
        <v>4</v>
      </c>
      <c r="O37" t="s">
        <v>618</v>
      </c>
      <c r="P37">
        <v>4</v>
      </c>
    </row>
    <row r="38" spans="1:16">
      <c r="A38" t="s">
        <v>544</v>
      </c>
      <c r="B38" t="s">
        <v>545</v>
      </c>
      <c r="C38">
        <v>2</v>
      </c>
      <c r="D38" t="s">
        <v>227</v>
      </c>
      <c r="E38" t="s">
        <v>546</v>
      </c>
      <c r="F38">
        <v>1</v>
      </c>
      <c r="G38">
        <v>37</v>
      </c>
      <c r="I38" t="s">
        <v>619</v>
      </c>
      <c r="J38" t="s">
        <v>620</v>
      </c>
      <c r="K38" t="s">
        <v>22</v>
      </c>
      <c r="L38" t="s">
        <v>621</v>
      </c>
      <c r="M38">
        <v>42509</v>
      </c>
      <c r="N38">
        <v>12</v>
      </c>
      <c r="O38" t="s">
        <v>622</v>
      </c>
      <c r="P38">
        <v>12</v>
      </c>
    </row>
    <row r="39" spans="1:16">
      <c r="A39" t="s">
        <v>544</v>
      </c>
      <c r="B39" t="s">
        <v>545</v>
      </c>
      <c r="C39">
        <v>2</v>
      </c>
      <c r="D39" t="s">
        <v>227</v>
      </c>
      <c r="E39" t="s">
        <v>546</v>
      </c>
      <c r="F39">
        <v>1</v>
      </c>
      <c r="G39">
        <v>38</v>
      </c>
      <c r="I39" t="s">
        <v>623</v>
      </c>
      <c r="J39" t="s">
        <v>624</v>
      </c>
      <c r="K39" t="s">
        <v>287</v>
      </c>
      <c r="L39" t="s">
        <v>625</v>
      </c>
      <c r="M39">
        <v>33932</v>
      </c>
      <c r="N39">
        <v>4</v>
      </c>
      <c r="O39" t="s">
        <v>626</v>
      </c>
      <c r="P39">
        <v>4</v>
      </c>
    </row>
    <row r="40" spans="1:16">
      <c r="A40" t="s">
        <v>544</v>
      </c>
      <c r="B40" t="s">
        <v>545</v>
      </c>
      <c r="C40">
        <v>2</v>
      </c>
      <c r="D40" t="s">
        <v>227</v>
      </c>
      <c r="E40" t="s">
        <v>546</v>
      </c>
      <c r="F40">
        <v>1</v>
      </c>
      <c r="G40">
        <v>39</v>
      </c>
      <c r="I40" t="s">
        <v>30</v>
      </c>
      <c r="J40" t="s">
        <v>31</v>
      </c>
      <c r="K40" t="s">
        <v>32</v>
      </c>
      <c r="L40" t="s">
        <v>33</v>
      </c>
      <c r="M40">
        <v>42476</v>
      </c>
      <c r="N40">
        <v>1</v>
      </c>
      <c r="O40" t="s">
        <v>627</v>
      </c>
      <c r="P40">
        <v>1</v>
      </c>
    </row>
    <row r="41" spans="1:16">
      <c r="A41" t="s">
        <v>544</v>
      </c>
      <c r="B41" t="s">
        <v>545</v>
      </c>
      <c r="C41">
        <v>2</v>
      </c>
      <c r="D41" t="s">
        <v>227</v>
      </c>
      <c r="E41" t="s">
        <v>546</v>
      </c>
      <c r="F41">
        <v>1</v>
      </c>
      <c r="G41">
        <v>40</v>
      </c>
      <c r="I41" t="s">
        <v>628</v>
      </c>
      <c r="J41" t="s">
        <v>629</v>
      </c>
      <c r="K41" t="s">
        <v>48</v>
      </c>
      <c r="L41" t="s">
        <v>630</v>
      </c>
      <c r="M41">
        <v>42553</v>
      </c>
      <c r="N41">
        <v>1</v>
      </c>
      <c r="O41" t="s">
        <v>631</v>
      </c>
      <c r="P41">
        <v>1</v>
      </c>
    </row>
    <row r="42" spans="1:16">
      <c r="A42" t="s">
        <v>544</v>
      </c>
      <c r="B42" t="s">
        <v>545</v>
      </c>
      <c r="C42">
        <v>2</v>
      </c>
      <c r="D42" t="s">
        <v>227</v>
      </c>
      <c r="E42" t="s">
        <v>546</v>
      </c>
      <c r="F42">
        <v>1</v>
      </c>
      <c r="G42">
        <v>41</v>
      </c>
      <c r="I42" t="s">
        <v>632</v>
      </c>
      <c r="J42" t="s">
        <v>633</v>
      </c>
      <c r="K42" t="s">
        <v>32</v>
      </c>
      <c r="L42" t="s">
        <v>634</v>
      </c>
      <c r="M42">
        <v>10512</v>
      </c>
      <c r="N42">
        <v>1</v>
      </c>
      <c r="O42" t="s">
        <v>635</v>
      </c>
      <c r="P42">
        <v>1</v>
      </c>
    </row>
    <row r="43" spans="1:16">
      <c r="A43" t="s">
        <v>544</v>
      </c>
      <c r="B43" t="s">
        <v>545</v>
      </c>
      <c r="C43">
        <v>2</v>
      </c>
      <c r="D43" t="s">
        <v>227</v>
      </c>
      <c r="E43" t="s">
        <v>546</v>
      </c>
      <c r="F43">
        <v>1</v>
      </c>
      <c r="G43">
        <v>42</v>
      </c>
      <c r="I43" t="s">
        <v>636</v>
      </c>
      <c r="J43" t="s">
        <v>637</v>
      </c>
      <c r="K43" t="s">
        <v>254</v>
      </c>
      <c r="L43" t="s">
        <v>638</v>
      </c>
      <c r="M43">
        <v>42523</v>
      </c>
      <c r="N43">
        <v>1</v>
      </c>
      <c r="O43" t="s">
        <v>639</v>
      </c>
      <c r="P43">
        <v>1</v>
      </c>
    </row>
    <row r="44" spans="1:16">
      <c r="A44" t="s">
        <v>544</v>
      </c>
      <c r="B44" t="s">
        <v>545</v>
      </c>
      <c r="C44">
        <v>2</v>
      </c>
      <c r="D44" t="s">
        <v>227</v>
      </c>
      <c r="E44" t="s">
        <v>546</v>
      </c>
      <c r="F44">
        <v>1</v>
      </c>
      <c r="G44">
        <v>43</v>
      </c>
      <c r="I44" t="s">
        <v>290</v>
      </c>
      <c r="J44" t="s">
        <v>306</v>
      </c>
      <c r="K44" t="s">
        <v>22</v>
      </c>
      <c r="L44" t="s">
        <v>307</v>
      </c>
      <c r="M44">
        <v>42490</v>
      </c>
      <c r="N44">
        <v>2</v>
      </c>
      <c r="O44" t="s">
        <v>640</v>
      </c>
      <c r="P44">
        <v>2</v>
      </c>
    </row>
    <row r="45" spans="1:16">
      <c r="A45" t="s">
        <v>544</v>
      </c>
      <c r="B45" t="s">
        <v>545</v>
      </c>
      <c r="C45">
        <v>2</v>
      </c>
      <c r="D45" t="s">
        <v>227</v>
      </c>
      <c r="E45" t="s">
        <v>546</v>
      </c>
      <c r="F45">
        <v>1</v>
      </c>
      <c r="G45">
        <v>44</v>
      </c>
      <c r="I45" t="s">
        <v>285</v>
      </c>
      <c r="J45" t="s">
        <v>286</v>
      </c>
      <c r="K45" t="s">
        <v>287</v>
      </c>
      <c r="L45" t="s">
        <v>288</v>
      </c>
      <c r="M45">
        <v>42532</v>
      </c>
      <c r="N45">
        <v>1</v>
      </c>
      <c r="O45" t="s">
        <v>641</v>
      </c>
      <c r="P45">
        <v>1</v>
      </c>
    </row>
    <row r="46" spans="1:16">
      <c r="A46" t="s">
        <v>544</v>
      </c>
      <c r="B46" t="s">
        <v>545</v>
      </c>
      <c r="C46">
        <v>2</v>
      </c>
      <c r="D46" t="s">
        <v>227</v>
      </c>
      <c r="E46" t="s">
        <v>546</v>
      </c>
      <c r="F46">
        <v>1</v>
      </c>
      <c r="G46">
        <v>45</v>
      </c>
      <c r="I46" t="s">
        <v>27</v>
      </c>
      <c r="J46" t="s">
        <v>28</v>
      </c>
      <c r="K46" t="s">
        <v>22</v>
      </c>
      <c r="L46" t="s">
        <v>29</v>
      </c>
      <c r="M46">
        <v>42374</v>
      </c>
      <c r="N46">
        <v>3</v>
      </c>
      <c r="O46" t="s">
        <v>642</v>
      </c>
      <c r="P46">
        <v>3</v>
      </c>
    </row>
    <row r="47" spans="1:16">
      <c r="A47" t="s">
        <v>544</v>
      </c>
      <c r="B47" t="s">
        <v>545</v>
      </c>
      <c r="C47">
        <v>2</v>
      </c>
      <c r="D47" t="s">
        <v>227</v>
      </c>
      <c r="E47" t="s">
        <v>546</v>
      </c>
      <c r="F47">
        <v>1</v>
      </c>
      <c r="G47">
        <v>46</v>
      </c>
      <c r="I47" t="s">
        <v>643</v>
      </c>
      <c r="J47" t="s">
        <v>644</v>
      </c>
      <c r="K47" t="s">
        <v>645</v>
      </c>
      <c r="L47" t="s">
        <v>646</v>
      </c>
      <c r="M47">
        <v>10086</v>
      </c>
      <c r="N47">
        <v>1</v>
      </c>
      <c r="O47" t="s">
        <v>164</v>
      </c>
      <c r="P47">
        <v>1</v>
      </c>
    </row>
    <row r="48" spans="1:16">
      <c r="A48" t="s">
        <v>544</v>
      </c>
      <c r="B48" t="s">
        <v>545</v>
      </c>
      <c r="C48">
        <v>2</v>
      </c>
      <c r="D48" t="s">
        <v>227</v>
      </c>
      <c r="E48" t="s">
        <v>546</v>
      </c>
      <c r="F48">
        <v>1</v>
      </c>
      <c r="G48">
        <v>47</v>
      </c>
      <c r="I48" t="s">
        <v>647</v>
      </c>
      <c r="J48" t="s">
        <v>648</v>
      </c>
      <c r="K48" t="s">
        <v>22</v>
      </c>
      <c r="L48" t="s">
        <v>649</v>
      </c>
      <c r="M48">
        <v>10122</v>
      </c>
      <c r="N48">
        <v>10</v>
      </c>
      <c r="O48" t="s">
        <v>650</v>
      </c>
      <c r="P48">
        <v>10</v>
      </c>
    </row>
    <row r="49" spans="1:16">
      <c r="A49" t="s">
        <v>544</v>
      </c>
      <c r="B49" t="s">
        <v>545</v>
      </c>
      <c r="C49">
        <v>2</v>
      </c>
      <c r="D49" t="s">
        <v>227</v>
      </c>
      <c r="E49" t="s">
        <v>546</v>
      </c>
      <c r="F49">
        <v>1</v>
      </c>
      <c r="G49">
        <v>48</v>
      </c>
      <c r="I49" t="s">
        <v>651</v>
      </c>
      <c r="J49" t="s">
        <v>652</v>
      </c>
      <c r="K49" t="s">
        <v>367</v>
      </c>
      <c r="L49" t="s">
        <v>653</v>
      </c>
      <c r="M49">
        <v>10448</v>
      </c>
      <c r="N49">
        <v>2</v>
      </c>
      <c r="O49" t="s">
        <v>654</v>
      </c>
      <c r="P49">
        <v>2</v>
      </c>
    </row>
    <row r="50" spans="1:16">
      <c r="A50" t="s">
        <v>544</v>
      </c>
      <c r="B50" t="s">
        <v>545</v>
      </c>
      <c r="C50">
        <v>2</v>
      </c>
      <c r="D50" t="s">
        <v>227</v>
      </c>
      <c r="E50" t="s">
        <v>546</v>
      </c>
      <c r="F50">
        <v>1</v>
      </c>
      <c r="G50">
        <v>49</v>
      </c>
      <c r="I50" t="s">
        <v>655</v>
      </c>
      <c r="J50" t="s">
        <v>656</v>
      </c>
      <c r="K50" t="s">
        <v>339</v>
      </c>
      <c r="L50" t="s">
        <v>657</v>
      </c>
      <c r="M50">
        <v>42466</v>
      </c>
      <c r="N50">
        <v>4</v>
      </c>
      <c r="O50" t="s">
        <v>658</v>
      </c>
      <c r="P50">
        <v>4</v>
      </c>
    </row>
    <row r="51" spans="1:16">
      <c r="A51" t="s">
        <v>544</v>
      </c>
      <c r="B51" t="s">
        <v>545</v>
      </c>
      <c r="C51">
        <v>2</v>
      </c>
      <c r="D51" t="s">
        <v>227</v>
      </c>
      <c r="E51" t="s">
        <v>546</v>
      </c>
      <c r="F51">
        <v>1</v>
      </c>
      <c r="G51">
        <v>50</v>
      </c>
      <c r="I51" t="s">
        <v>314</v>
      </c>
      <c r="J51" t="s">
        <v>315</v>
      </c>
      <c r="K51" t="s">
        <v>316</v>
      </c>
      <c r="L51" t="s">
        <v>317</v>
      </c>
      <c r="M51">
        <v>10402</v>
      </c>
      <c r="N51">
        <v>2</v>
      </c>
      <c r="O51" t="s">
        <v>659</v>
      </c>
      <c r="P51">
        <v>2</v>
      </c>
    </row>
    <row r="52" spans="1:16">
      <c r="A52" t="s">
        <v>544</v>
      </c>
      <c r="B52" t="s">
        <v>545</v>
      </c>
      <c r="C52">
        <v>2</v>
      </c>
      <c r="D52" t="s">
        <v>227</v>
      </c>
      <c r="E52" t="s">
        <v>546</v>
      </c>
      <c r="F52">
        <v>1</v>
      </c>
      <c r="G52">
        <v>51</v>
      </c>
      <c r="I52" t="s">
        <v>660</v>
      </c>
      <c r="J52" t="s">
        <v>661</v>
      </c>
      <c r="K52" t="s">
        <v>662</v>
      </c>
      <c r="L52" t="s">
        <v>663</v>
      </c>
      <c r="M52">
        <v>33813</v>
      </c>
      <c r="N52">
        <v>1</v>
      </c>
      <c r="O52" t="s">
        <v>664</v>
      </c>
      <c r="P52">
        <v>1</v>
      </c>
    </row>
    <row r="53" spans="1:16">
      <c r="A53" t="s">
        <v>544</v>
      </c>
      <c r="B53" t="s">
        <v>545</v>
      </c>
      <c r="C53">
        <v>2</v>
      </c>
      <c r="D53" t="s">
        <v>227</v>
      </c>
      <c r="E53" t="s">
        <v>546</v>
      </c>
      <c r="F53">
        <v>1</v>
      </c>
      <c r="G53">
        <v>52</v>
      </c>
      <c r="I53" t="s">
        <v>318</v>
      </c>
      <c r="J53" t="s">
        <v>319</v>
      </c>
      <c r="K53" t="s">
        <v>320</v>
      </c>
      <c r="L53" t="s">
        <v>321</v>
      </c>
      <c r="M53">
        <v>42317</v>
      </c>
      <c r="N53">
        <v>1</v>
      </c>
      <c r="O53" t="s">
        <v>665</v>
      </c>
      <c r="P53">
        <v>1</v>
      </c>
    </row>
    <row r="54" spans="1:16">
      <c r="A54" t="s">
        <v>544</v>
      </c>
      <c r="B54" t="s">
        <v>545</v>
      </c>
      <c r="C54">
        <v>2</v>
      </c>
      <c r="D54" t="s">
        <v>227</v>
      </c>
      <c r="E54" t="s">
        <v>546</v>
      </c>
      <c r="F54">
        <v>1</v>
      </c>
      <c r="G54">
        <v>53</v>
      </c>
      <c r="I54" t="s">
        <v>666</v>
      </c>
      <c r="J54" t="s">
        <v>667</v>
      </c>
      <c r="K54" t="s">
        <v>362</v>
      </c>
      <c r="L54" t="s">
        <v>668</v>
      </c>
      <c r="M54">
        <v>33763</v>
      </c>
      <c r="N54">
        <v>4</v>
      </c>
      <c r="O54" t="s">
        <v>669</v>
      </c>
      <c r="P54">
        <v>4</v>
      </c>
    </row>
    <row r="55" spans="1:16">
      <c r="A55" t="s">
        <v>544</v>
      </c>
      <c r="B55" t="s">
        <v>545</v>
      </c>
      <c r="C55">
        <v>2</v>
      </c>
      <c r="D55" t="s">
        <v>227</v>
      </c>
      <c r="E55" t="s">
        <v>546</v>
      </c>
      <c r="F55">
        <v>1</v>
      </c>
      <c r="G55">
        <v>54</v>
      </c>
      <c r="I55" t="s">
        <v>371</v>
      </c>
      <c r="J55" t="s">
        <v>372</v>
      </c>
      <c r="K55" t="s">
        <v>339</v>
      </c>
      <c r="L55" t="s">
        <v>373</v>
      </c>
      <c r="M55">
        <v>42461</v>
      </c>
      <c r="N55">
        <v>3</v>
      </c>
      <c r="O55" t="s">
        <v>670</v>
      </c>
      <c r="P55">
        <v>3</v>
      </c>
    </row>
    <row r="56" spans="1:16">
      <c r="A56" t="s">
        <v>544</v>
      </c>
      <c r="B56" t="s">
        <v>545</v>
      </c>
      <c r="C56">
        <v>2</v>
      </c>
      <c r="D56" t="s">
        <v>227</v>
      </c>
      <c r="E56" t="s">
        <v>546</v>
      </c>
      <c r="F56">
        <v>1</v>
      </c>
      <c r="G56">
        <v>55</v>
      </c>
      <c r="I56" t="s">
        <v>382</v>
      </c>
      <c r="J56" t="s">
        <v>383</v>
      </c>
      <c r="K56" t="s">
        <v>367</v>
      </c>
      <c r="L56" t="s">
        <v>384</v>
      </c>
      <c r="M56">
        <v>42548</v>
      </c>
      <c r="N56">
        <v>11</v>
      </c>
      <c r="O56" t="s">
        <v>671</v>
      </c>
      <c r="P56">
        <v>11</v>
      </c>
    </row>
    <row r="57" spans="1:16">
      <c r="A57" t="s">
        <v>544</v>
      </c>
      <c r="B57" t="s">
        <v>545</v>
      </c>
      <c r="C57">
        <v>2</v>
      </c>
      <c r="D57" t="s">
        <v>227</v>
      </c>
      <c r="E57" t="s">
        <v>546</v>
      </c>
      <c r="F57">
        <v>1</v>
      </c>
      <c r="G57">
        <v>56</v>
      </c>
      <c r="I57" t="s">
        <v>365</v>
      </c>
      <c r="J57" t="s">
        <v>366</v>
      </c>
      <c r="K57" t="s">
        <v>367</v>
      </c>
      <c r="L57" t="s">
        <v>368</v>
      </c>
      <c r="M57">
        <v>42330</v>
      </c>
      <c r="N57">
        <v>12</v>
      </c>
      <c r="O57" t="s">
        <v>672</v>
      </c>
      <c r="P57">
        <v>12</v>
      </c>
    </row>
    <row r="58" spans="1:16">
      <c r="A58" t="s">
        <v>544</v>
      </c>
      <c r="B58" t="s">
        <v>545</v>
      </c>
      <c r="C58">
        <v>2</v>
      </c>
      <c r="D58" t="s">
        <v>227</v>
      </c>
      <c r="E58" t="s">
        <v>546</v>
      </c>
      <c r="F58">
        <v>1</v>
      </c>
      <c r="G58">
        <v>57</v>
      </c>
      <c r="I58" t="s">
        <v>673</v>
      </c>
      <c r="J58" t="s">
        <v>674</v>
      </c>
      <c r="K58" t="s">
        <v>339</v>
      </c>
      <c r="L58" t="s">
        <v>675</v>
      </c>
      <c r="M58">
        <v>10297</v>
      </c>
      <c r="N58">
        <v>2</v>
      </c>
      <c r="O58" t="s">
        <v>676</v>
      </c>
      <c r="P58">
        <v>2</v>
      </c>
    </row>
    <row r="59" spans="1:16">
      <c r="A59" t="s">
        <v>544</v>
      </c>
      <c r="B59" t="s">
        <v>545</v>
      </c>
      <c r="C59">
        <v>2</v>
      </c>
      <c r="D59" t="s">
        <v>227</v>
      </c>
      <c r="E59" t="s">
        <v>546</v>
      </c>
      <c r="F59">
        <v>1</v>
      </c>
      <c r="G59">
        <v>58</v>
      </c>
      <c r="I59" t="s">
        <v>677</v>
      </c>
      <c r="J59" t="s">
        <v>678</v>
      </c>
      <c r="K59" t="s">
        <v>679</v>
      </c>
      <c r="L59" t="s">
        <v>680</v>
      </c>
      <c r="M59">
        <v>10298</v>
      </c>
      <c r="N59">
        <v>2</v>
      </c>
      <c r="O59" t="s">
        <v>681</v>
      </c>
      <c r="P59">
        <v>2</v>
      </c>
    </row>
    <row r="60" spans="1:16">
      <c r="A60" t="s">
        <v>544</v>
      </c>
      <c r="B60" t="s">
        <v>545</v>
      </c>
      <c r="C60">
        <v>2</v>
      </c>
      <c r="D60" t="s">
        <v>227</v>
      </c>
      <c r="E60" t="s">
        <v>546</v>
      </c>
      <c r="F60">
        <v>1</v>
      </c>
      <c r="G60">
        <v>59</v>
      </c>
      <c r="I60" t="s">
        <v>379</v>
      </c>
      <c r="J60" t="s">
        <v>380</v>
      </c>
      <c r="K60" t="s">
        <v>367</v>
      </c>
      <c r="L60" t="s">
        <v>381</v>
      </c>
      <c r="M60">
        <v>42555</v>
      </c>
      <c r="N60">
        <v>3</v>
      </c>
      <c r="O60" t="s">
        <v>682</v>
      </c>
      <c r="P60">
        <v>3</v>
      </c>
    </row>
    <row r="61" spans="1:16">
      <c r="A61" t="s">
        <v>544</v>
      </c>
      <c r="B61" t="s">
        <v>545</v>
      </c>
      <c r="C61">
        <v>2</v>
      </c>
      <c r="D61" t="s">
        <v>227</v>
      </c>
      <c r="E61" t="s">
        <v>546</v>
      </c>
      <c r="F61">
        <v>1</v>
      </c>
      <c r="G61">
        <v>60</v>
      </c>
      <c r="I61" t="s">
        <v>683</v>
      </c>
      <c r="J61" t="s">
        <v>684</v>
      </c>
      <c r="K61" t="s">
        <v>362</v>
      </c>
      <c r="L61" t="s">
        <v>685</v>
      </c>
      <c r="M61">
        <v>10393</v>
      </c>
      <c r="N61">
        <v>8</v>
      </c>
      <c r="O61" t="s">
        <v>686</v>
      </c>
      <c r="P61">
        <v>8</v>
      </c>
    </row>
    <row r="62" spans="1:16">
      <c r="A62" t="s">
        <v>544</v>
      </c>
      <c r="B62" t="s">
        <v>545</v>
      </c>
      <c r="C62">
        <v>2</v>
      </c>
      <c r="D62" t="s">
        <v>227</v>
      </c>
      <c r="E62" t="s">
        <v>546</v>
      </c>
      <c r="F62">
        <v>1</v>
      </c>
      <c r="G62">
        <v>61</v>
      </c>
      <c r="I62" t="s">
        <v>687</v>
      </c>
      <c r="J62" t="s">
        <v>688</v>
      </c>
      <c r="K62" t="s">
        <v>689</v>
      </c>
      <c r="L62" t="s">
        <v>690</v>
      </c>
      <c r="M62">
        <v>9664</v>
      </c>
      <c r="N62">
        <v>1</v>
      </c>
      <c r="O62" t="s">
        <v>691</v>
      </c>
      <c r="P62">
        <v>1</v>
      </c>
    </row>
    <row r="63" spans="1:16">
      <c r="A63" t="s">
        <v>544</v>
      </c>
      <c r="B63" t="s">
        <v>545</v>
      </c>
      <c r="C63">
        <v>2</v>
      </c>
      <c r="D63" t="s">
        <v>227</v>
      </c>
      <c r="E63" t="s">
        <v>546</v>
      </c>
      <c r="F63">
        <v>1</v>
      </c>
      <c r="G63">
        <v>62</v>
      </c>
      <c r="I63" t="s">
        <v>692</v>
      </c>
      <c r="J63" t="s">
        <v>693</v>
      </c>
      <c r="K63" t="s">
        <v>358</v>
      </c>
      <c r="L63" t="s">
        <v>694</v>
      </c>
      <c r="M63">
        <v>10214</v>
      </c>
      <c r="N63">
        <v>1</v>
      </c>
      <c r="O63" t="s">
        <v>695</v>
      </c>
      <c r="P63">
        <v>1</v>
      </c>
    </row>
    <row r="64" spans="1:16">
      <c r="A64" t="s">
        <v>544</v>
      </c>
      <c r="B64" t="s">
        <v>545</v>
      </c>
      <c r="C64">
        <v>2</v>
      </c>
      <c r="D64" t="s">
        <v>227</v>
      </c>
      <c r="E64" t="s">
        <v>546</v>
      </c>
      <c r="F64">
        <v>1</v>
      </c>
      <c r="G64">
        <v>63</v>
      </c>
      <c r="I64" t="s">
        <v>696</v>
      </c>
      <c r="J64" t="s">
        <v>697</v>
      </c>
      <c r="K64" t="s">
        <v>57</v>
      </c>
      <c r="L64" t="s">
        <v>698</v>
      </c>
      <c r="M64">
        <v>10400</v>
      </c>
      <c r="N64">
        <v>1</v>
      </c>
      <c r="O64" t="s">
        <v>699</v>
      </c>
      <c r="P64">
        <v>1</v>
      </c>
    </row>
    <row r="65" spans="1:16">
      <c r="A65" t="s">
        <v>544</v>
      </c>
      <c r="B65" t="s">
        <v>545</v>
      </c>
      <c r="C65">
        <v>2</v>
      </c>
      <c r="D65" t="s">
        <v>227</v>
      </c>
      <c r="E65" t="s">
        <v>546</v>
      </c>
      <c r="F65">
        <v>1</v>
      </c>
      <c r="G65">
        <v>64</v>
      </c>
      <c r="I65" t="s">
        <v>700</v>
      </c>
      <c r="J65" t="s">
        <v>701</v>
      </c>
      <c r="K65" t="s">
        <v>702</v>
      </c>
      <c r="L65" t="s">
        <v>703</v>
      </c>
      <c r="M65">
        <v>42390</v>
      </c>
      <c r="N65">
        <v>1</v>
      </c>
      <c r="O65" t="s">
        <v>704</v>
      </c>
      <c r="P65">
        <v>1</v>
      </c>
    </row>
    <row r="66" spans="1:16">
      <c r="A66" t="s">
        <v>544</v>
      </c>
      <c r="B66" t="s">
        <v>545</v>
      </c>
      <c r="C66">
        <v>2</v>
      </c>
      <c r="D66" t="s">
        <v>227</v>
      </c>
      <c r="E66" t="s">
        <v>546</v>
      </c>
      <c r="F66">
        <v>1</v>
      </c>
      <c r="G66">
        <v>65</v>
      </c>
      <c r="I66" t="s">
        <v>354</v>
      </c>
      <c r="J66" t="s">
        <v>355</v>
      </c>
      <c r="K66" t="s">
        <v>324</v>
      </c>
      <c r="L66" t="s">
        <v>356</v>
      </c>
      <c r="M66">
        <v>10243</v>
      </c>
      <c r="N66">
        <v>4</v>
      </c>
      <c r="O66" t="s">
        <v>705</v>
      </c>
      <c r="P66">
        <v>4</v>
      </c>
    </row>
    <row r="67" spans="1:16">
      <c r="A67" t="s">
        <v>544</v>
      </c>
      <c r="B67" t="s">
        <v>545</v>
      </c>
      <c r="C67">
        <v>2</v>
      </c>
      <c r="D67" t="s">
        <v>227</v>
      </c>
      <c r="E67" t="s">
        <v>546</v>
      </c>
      <c r="F67">
        <v>1</v>
      </c>
      <c r="G67">
        <v>66</v>
      </c>
      <c r="I67" t="s">
        <v>706</v>
      </c>
      <c r="J67" t="s">
        <v>707</v>
      </c>
      <c r="K67" t="s">
        <v>708</v>
      </c>
      <c r="L67" t="s">
        <v>709</v>
      </c>
      <c r="M67">
        <v>9574</v>
      </c>
      <c r="N67">
        <v>1</v>
      </c>
      <c r="O67" t="s">
        <v>710</v>
      </c>
      <c r="P67">
        <v>1</v>
      </c>
    </row>
    <row r="68" spans="1:16">
      <c r="A68" t="s">
        <v>544</v>
      </c>
      <c r="B68" t="s">
        <v>545</v>
      </c>
      <c r="C68">
        <v>2</v>
      </c>
      <c r="D68" t="s">
        <v>227</v>
      </c>
      <c r="E68" t="s">
        <v>546</v>
      </c>
      <c r="F68">
        <v>1</v>
      </c>
      <c r="G68">
        <v>67</v>
      </c>
      <c r="I68" t="s">
        <v>711</v>
      </c>
      <c r="J68" t="s">
        <v>712</v>
      </c>
      <c r="K68" t="s">
        <v>316</v>
      </c>
      <c r="L68" t="s">
        <v>713</v>
      </c>
      <c r="M68">
        <v>42462</v>
      </c>
      <c r="N68">
        <v>2</v>
      </c>
      <c r="O68" t="s">
        <v>714</v>
      </c>
      <c r="P68">
        <v>2</v>
      </c>
    </row>
    <row r="69" spans="1:16">
      <c r="A69" t="s">
        <v>544</v>
      </c>
      <c r="B69" t="s">
        <v>545</v>
      </c>
      <c r="C69">
        <v>2</v>
      </c>
      <c r="D69" t="s">
        <v>227</v>
      </c>
      <c r="E69" t="s">
        <v>546</v>
      </c>
      <c r="F69">
        <v>1</v>
      </c>
      <c r="G69">
        <v>68</v>
      </c>
      <c r="I69" t="s">
        <v>337</v>
      </c>
      <c r="J69" t="s">
        <v>338</v>
      </c>
      <c r="K69" t="s">
        <v>339</v>
      </c>
      <c r="L69" t="s">
        <v>340</v>
      </c>
      <c r="M69">
        <v>42608</v>
      </c>
      <c r="N69">
        <v>1</v>
      </c>
      <c r="O69" t="s">
        <v>386</v>
      </c>
      <c r="P69">
        <v>1</v>
      </c>
    </row>
    <row r="70" spans="1:16">
      <c r="A70" t="s">
        <v>544</v>
      </c>
      <c r="B70" t="s">
        <v>545</v>
      </c>
      <c r="C70">
        <v>2</v>
      </c>
      <c r="D70" t="s">
        <v>227</v>
      </c>
      <c r="E70" t="s">
        <v>546</v>
      </c>
      <c r="F70">
        <v>1</v>
      </c>
      <c r="G70">
        <v>69</v>
      </c>
      <c r="I70" t="s">
        <v>715</v>
      </c>
      <c r="J70" t="s">
        <v>716</v>
      </c>
      <c r="K70" t="s">
        <v>717</v>
      </c>
      <c r="L70" t="s">
        <v>718</v>
      </c>
      <c r="M70">
        <v>10457</v>
      </c>
      <c r="N70">
        <v>1</v>
      </c>
      <c r="O70" t="s">
        <v>719</v>
      </c>
      <c r="P70">
        <v>1</v>
      </c>
    </row>
    <row r="71" spans="1:16">
      <c r="A71" t="s">
        <v>544</v>
      </c>
      <c r="B71" t="s">
        <v>545</v>
      </c>
      <c r="C71">
        <v>2</v>
      </c>
      <c r="D71" t="s">
        <v>227</v>
      </c>
      <c r="E71" t="s">
        <v>546</v>
      </c>
      <c r="F71">
        <v>1</v>
      </c>
      <c r="G71">
        <v>70</v>
      </c>
      <c r="I71" t="s">
        <v>720</v>
      </c>
      <c r="J71" t="s">
        <v>721</v>
      </c>
      <c r="K71" t="s">
        <v>122</v>
      </c>
      <c r="L71" t="s">
        <v>722</v>
      </c>
      <c r="M71">
        <v>10390</v>
      </c>
      <c r="N71">
        <v>1</v>
      </c>
      <c r="O71" t="s">
        <v>723</v>
      </c>
      <c r="P71">
        <v>1</v>
      </c>
    </row>
    <row r="72" spans="1:16">
      <c r="A72" t="s">
        <v>544</v>
      </c>
      <c r="B72" t="s">
        <v>545</v>
      </c>
      <c r="C72">
        <v>2</v>
      </c>
      <c r="D72" t="s">
        <v>227</v>
      </c>
      <c r="E72" t="s">
        <v>546</v>
      </c>
      <c r="F72">
        <v>1</v>
      </c>
      <c r="G72">
        <v>71</v>
      </c>
      <c r="I72" t="s">
        <v>724</v>
      </c>
      <c r="J72" t="s">
        <v>725</v>
      </c>
      <c r="K72" t="s">
        <v>717</v>
      </c>
      <c r="L72" t="s">
        <v>726</v>
      </c>
      <c r="M72">
        <v>10334</v>
      </c>
      <c r="N72">
        <v>1</v>
      </c>
      <c r="O72" t="s">
        <v>727</v>
      </c>
      <c r="P72">
        <v>1</v>
      </c>
    </row>
    <row r="73" spans="1:16">
      <c r="A73" t="s">
        <v>544</v>
      </c>
      <c r="B73" t="s">
        <v>545</v>
      </c>
      <c r="C73">
        <v>2</v>
      </c>
      <c r="D73" t="s">
        <v>227</v>
      </c>
      <c r="E73" t="s">
        <v>546</v>
      </c>
      <c r="F73">
        <v>1</v>
      </c>
      <c r="G73">
        <v>72</v>
      </c>
      <c r="I73" t="s">
        <v>329</v>
      </c>
      <c r="J73" t="s">
        <v>330</v>
      </c>
      <c r="K73" t="s">
        <v>324</v>
      </c>
      <c r="L73" t="s">
        <v>331</v>
      </c>
      <c r="M73">
        <v>42493</v>
      </c>
      <c r="N73">
        <v>1</v>
      </c>
      <c r="O73" t="s">
        <v>728</v>
      </c>
      <c r="P73">
        <v>1</v>
      </c>
    </row>
    <row r="74" spans="1:16">
      <c r="A74" t="s">
        <v>544</v>
      </c>
      <c r="B74" t="s">
        <v>545</v>
      </c>
      <c r="C74">
        <v>2</v>
      </c>
      <c r="D74" t="s">
        <v>227</v>
      </c>
      <c r="E74" t="s">
        <v>546</v>
      </c>
      <c r="F74">
        <v>1</v>
      </c>
      <c r="G74">
        <v>73</v>
      </c>
      <c r="I74" t="s">
        <v>347</v>
      </c>
      <c r="J74" t="s">
        <v>348</v>
      </c>
      <c r="K74" t="s">
        <v>339</v>
      </c>
      <c r="L74" t="s">
        <v>349</v>
      </c>
      <c r="M74">
        <v>10468</v>
      </c>
      <c r="N74">
        <v>3</v>
      </c>
      <c r="O74" t="s">
        <v>729</v>
      </c>
      <c r="P74">
        <v>3</v>
      </c>
    </row>
    <row r="75" spans="1:16">
      <c r="A75" t="s">
        <v>544</v>
      </c>
      <c r="B75" t="s">
        <v>545</v>
      </c>
      <c r="C75">
        <v>2</v>
      </c>
      <c r="D75" t="s">
        <v>227</v>
      </c>
      <c r="E75" t="s">
        <v>546</v>
      </c>
      <c r="F75">
        <v>1</v>
      </c>
      <c r="G75">
        <v>74</v>
      </c>
      <c r="I75" t="s">
        <v>730</v>
      </c>
      <c r="J75" t="s">
        <v>731</v>
      </c>
      <c r="K75" t="s">
        <v>324</v>
      </c>
      <c r="L75" t="s">
        <v>732</v>
      </c>
      <c r="M75">
        <v>42358</v>
      </c>
      <c r="N75">
        <v>4</v>
      </c>
      <c r="O75" t="s">
        <v>733</v>
      </c>
      <c r="P75">
        <v>4</v>
      </c>
    </row>
    <row r="76" spans="1:16">
      <c r="A76" t="s">
        <v>544</v>
      </c>
      <c r="B76" t="s">
        <v>545</v>
      </c>
      <c r="C76">
        <v>2</v>
      </c>
      <c r="D76" t="s">
        <v>227</v>
      </c>
      <c r="E76" t="s">
        <v>546</v>
      </c>
      <c r="F76">
        <v>1</v>
      </c>
      <c r="G76">
        <v>75</v>
      </c>
      <c r="I76" t="s">
        <v>360</v>
      </c>
      <c r="J76" t="s">
        <v>361</v>
      </c>
      <c r="K76" t="s">
        <v>362</v>
      </c>
      <c r="L76" t="s">
        <v>363</v>
      </c>
      <c r="M76">
        <v>42347</v>
      </c>
      <c r="N76">
        <v>2</v>
      </c>
      <c r="O76" t="s">
        <v>734</v>
      </c>
      <c r="P76">
        <v>2</v>
      </c>
    </row>
    <row r="77" spans="1:16">
      <c r="A77" t="s">
        <v>544</v>
      </c>
      <c r="B77" t="s">
        <v>545</v>
      </c>
      <c r="C77">
        <v>2</v>
      </c>
      <c r="D77" t="s">
        <v>227</v>
      </c>
      <c r="E77" t="s">
        <v>546</v>
      </c>
      <c r="F77">
        <v>1</v>
      </c>
      <c r="G77">
        <v>76</v>
      </c>
      <c r="I77" t="s">
        <v>735</v>
      </c>
      <c r="J77" t="s">
        <v>736</v>
      </c>
      <c r="K77" t="s">
        <v>499</v>
      </c>
      <c r="L77" t="s">
        <v>737</v>
      </c>
      <c r="M77">
        <v>42332</v>
      </c>
      <c r="N77">
        <v>1</v>
      </c>
      <c r="O77" t="s">
        <v>738</v>
      </c>
      <c r="P77">
        <v>1</v>
      </c>
    </row>
    <row r="78" spans="1:16">
      <c r="A78" t="s">
        <v>544</v>
      </c>
      <c r="B78" t="s">
        <v>545</v>
      </c>
      <c r="C78">
        <v>2</v>
      </c>
      <c r="D78" t="s">
        <v>227</v>
      </c>
      <c r="E78" t="s">
        <v>546</v>
      </c>
      <c r="F78">
        <v>1</v>
      </c>
      <c r="G78">
        <v>77</v>
      </c>
      <c r="I78" t="s">
        <v>387</v>
      </c>
      <c r="J78" t="s">
        <v>388</v>
      </c>
      <c r="K78" t="s">
        <v>339</v>
      </c>
      <c r="L78" t="s">
        <v>389</v>
      </c>
      <c r="M78">
        <v>42554</v>
      </c>
      <c r="N78">
        <v>2</v>
      </c>
      <c r="O78" t="s">
        <v>739</v>
      </c>
      <c r="P78">
        <v>2</v>
      </c>
    </row>
    <row r="79" spans="1:16">
      <c r="A79" t="s">
        <v>544</v>
      </c>
      <c r="B79" t="s">
        <v>545</v>
      </c>
      <c r="C79">
        <v>2</v>
      </c>
      <c r="D79" t="s">
        <v>227</v>
      </c>
      <c r="E79" t="s">
        <v>546</v>
      </c>
      <c r="F79">
        <v>1</v>
      </c>
      <c r="G79">
        <v>78</v>
      </c>
      <c r="I79" t="s">
        <v>740</v>
      </c>
      <c r="J79" t="s">
        <v>741</v>
      </c>
      <c r="K79" t="s">
        <v>324</v>
      </c>
      <c r="L79" t="s">
        <v>742</v>
      </c>
      <c r="M79">
        <v>42549</v>
      </c>
      <c r="N79">
        <v>1</v>
      </c>
      <c r="O79" t="s">
        <v>743</v>
      </c>
      <c r="P79">
        <v>1</v>
      </c>
    </row>
    <row r="80" spans="1:16">
      <c r="A80" t="s">
        <v>544</v>
      </c>
      <c r="B80" t="s">
        <v>545</v>
      </c>
      <c r="C80">
        <v>2</v>
      </c>
      <c r="D80" t="s">
        <v>227</v>
      </c>
      <c r="E80" t="s">
        <v>546</v>
      </c>
      <c r="F80">
        <v>1</v>
      </c>
      <c r="G80">
        <v>79</v>
      </c>
      <c r="I80" t="s">
        <v>376</v>
      </c>
      <c r="J80" t="s">
        <v>377</v>
      </c>
      <c r="K80" t="s">
        <v>339</v>
      </c>
      <c r="L80" t="s">
        <v>378</v>
      </c>
      <c r="M80">
        <v>42468</v>
      </c>
      <c r="N80">
        <v>3</v>
      </c>
      <c r="O80" t="s">
        <v>744</v>
      </c>
      <c r="P80">
        <v>3</v>
      </c>
    </row>
    <row r="81" spans="1:16">
      <c r="A81" t="s">
        <v>544</v>
      </c>
      <c r="B81" t="s">
        <v>545</v>
      </c>
      <c r="C81">
        <v>2</v>
      </c>
      <c r="D81" t="s">
        <v>227</v>
      </c>
      <c r="E81" t="s">
        <v>546</v>
      </c>
      <c r="F81">
        <v>1</v>
      </c>
      <c r="G81">
        <v>80</v>
      </c>
      <c r="I81" t="s">
        <v>745</v>
      </c>
      <c r="J81" t="s">
        <v>746</v>
      </c>
      <c r="K81" t="s">
        <v>122</v>
      </c>
      <c r="L81" t="s">
        <v>747</v>
      </c>
      <c r="M81">
        <v>33916</v>
      </c>
      <c r="N81">
        <v>1</v>
      </c>
      <c r="O81" t="s">
        <v>748</v>
      </c>
      <c r="P81">
        <v>1</v>
      </c>
    </row>
    <row r="82" spans="1:16">
      <c r="A82" t="s">
        <v>544</v>
      </c>
      <c r="B82" t="s">
        <v>545</v>
      </c>
      <c r="C82">
        <v>2</v>
      </c>
      <c r="D82" t="s">
        <v>227</v>
      </c>
      <c r="E82" t="s">
        <v>546</v>
      </c>
      <c r="F82">
        <v>1</v>
      </c>
      <c r="G82">
        <v>81</v>
      </c>
      <c r="I82" t="s">
        <v>344</v>
      </c>
      <c r="J82" t="s">
        <v>345</v>
      </c>
      <c r="K82" t="s">
        <v>324</v>
      </c>
      <c r="L82" t="s">
        <v>346</v>
      </c>
      <c r="M82">
        <v>33884</v>
      </c>
      <c r="N82">
        <v>3</v>
      </c>
      <c r="O82" t="s">
        <v>749</v>
      </c>
      <c r="P82">
        <v>3</v>
      </c>
    </row>
    <row r="83" spans="1:16">
      <c r="A83" t="s">
        <v>544</v>
      </c>
      <c r="B83" t="s">
        <v>545</v>
      </c>
      <c r="C83">
        <v>2</v>
      </c>
      <c r="D83" t="s">
        <v>227</v>
      </c>
      <c r="E83" t="s">
        <v>546</v>
      </c>
      <c r="F83">
        <v>1</v>
      </c>
      <c r="G83">
        <v>82</v>
      </c>
      <c r="I83" t="s">
        <v>750</v>
      </c>
      <c r="J83" t="s">
        <v>751</v>
      </c>
      <c r="K83" t="s">
        <v>324</v>
      </c>
      <c r="L83" t="s">
        <v>752</v>
      </c>
      <c r="M83">
        <v>33926</v>
      </c>
      <c r="N83">
        <v>1</v>
      </c>
      <c r="O83" t="s">
        <v>753</v>
      </c>
      <c r="P83">
        <v>1</v>
      </c>
    </row>
    <row r="84" spans="1:16">
      <c r="A84" t="s">
        <v>544</v>
      </c>
      <c r="B84" t="s">
        <v>545</v>
      </c>
      <c r="C84">
        <v>2</v>
      </c>
      <c r="D84" t="s">
        <v>227</v>
      </c>
      <c r="E84" t="s">
        <v>546</v>
      </c>
      <c r="F84">
        <v>1</v>
      </c>
      <c r="G84">
        <v>83</v>
      </c>
      <c r="I84" t="s">
        <v>754</v>
      </c>
      <c r="J84" t="s">
        <v>755</v>
      </c>
      <c r="K84" t="s">
        <v>756</v>
      </c>
      <c r="L84" t="s">
        <v>757</v>
      </c>
      <c r="M84">
        <v>33780</v>
      </c>
      <c r="N84">
        <v>1</v>
      </c>
      <c r="O84" t="s">
        <v>758</v>
      </c>
      <c r="P84">
        <v>1</v>
      </c>
    </row>
    <row r="85" spans="1:16">
      <c r="A85" t="s">
        <v>544</v>
      </c>
      <c r="B85" t="s">
        <v>545</v>
      </c>
      <c r="C85">
        <v>2</v>
      </c>
      <c r="D85" t="s">
        <v>227</v>
      </c>
      <c r="E85" t="s">
        <v>546</v>
      </c>
      <c r="F85">
        <v>1</v>
      </c>
      <c r="G85">
        <v>84</v>
      </c>
      <c r="I85" t="s">
        <v>759</v>
      </c>
      <c r="J85" t="s">
        <v>760</v>
      </c>
      <c r="K85" t="s">
        <v>761</v>
      </c>
      <c r="L85" t="s">
        <v>762</v>
      </c>
      <c r="M85">
        <v>10475</v>
      </c>
      <c r="N85">
        <v>1</v>
      </c>
      <c r="O85" t="s">
        <v>763</v>
      </c>
      <c r="P85">
        <v>1</v>
      </c>
    </row>
    <row r="86" spans="1:16">
      <c r="A86" t="s">
        <v>544</v>
      </c>
      <c r="B86" t="s">
        <v>545</v>
      </c>
      <c r="C86">
        <v>2</v>
      </c>
      <c r="D86" t="s">
        <v>227</v>
      </c>
      <c r="E86" t="s">
        <v>546</v>
      </c>
      <c r="F86">
        <v>1</v>
      </c>
      <c r="G86">
        <v>85</v>
      </c>
      <c r="I86" t="s">
        <v>764</v>
      </c>
      <c r="J86" t="s">
        <v>765</v>
      </c>
      <c r="K86" t="s">
        <v>761</v>
      </c>
      <c r="L86" t="s">
        <v>766</v>
      </c>
      <c r="M86">
        <v>33831</v>
      </c>
      <c r="N86">
        <v>2</v>
      </c>
      <c r="O86" t="s">
        <v>767</v>
      </c>
      <c r="P86">
        <v>2</v>
      </c>
    </row>
    <row r="87" spans="1:16">
      <c r="A87" t="s">
        <v>544</v>
      </c>
      <c r="B87" t="s">
        <v>545</v>
      </c>
      <c r="C87">
        <v>2</v>
      </c>
      <c r="D87" t="s">
        <v>227</v>
      </c>
      <c r="E87" t="s">
        <v>546</v>
      </c>
      <c r="F87">
        <v>1</v>
      </c>
      <c r="G87">
        <v>86</v>
      </c>
      <c r="I87" t="s">
        <v>768</v>
      </c>
      <c r="J87" t="s">
        <v>769</v>
      </c>
      <c r="K87" t="s">
        <v>761</v>
      </c>
      <c r="L87" t="s">
        <v>770</v>
      </c>
      <c r="M87">
        <v>42599</v>
      </c>
      <c r="N87">
        <v>1</v>
      </c>
      <c r="O87" t="s">
        <v>771</v>
      </c>
      <c r="P87">
        <v>1</v>
      </c>
    </row>
    <row r="88" spans="1:16">
      <c r="A88" t="s">
        <v>544</v>
      </c>
      <c r="B88" t="s">
        <v>545</v>
      </c>
      <c r="C88">
        <v>2</v>
      </c>
      <c r="D88" t="s">
        <v>227</v>
      </c>
      <c r="E88" t="s">
        <v>546</v>
      </c>
      <c r="F88">
        <v>1</v>
      </c>
      <c r="G88">
        <v>87</v>
      </c>
      <c r="I88" t="s">
        <v>772</v>
      </c>
      <c r="J88" t="s">
        <v>773</v>
      </c>
      <c r="K88" t="s">
        <v>774</v>
      </c>
      <c r="L88" t="s">
        <v>775</v>
      </c>
      <c r="M88">
        <v>42427</v>
      </c>
      <c r="N88">
        <v>2</v>
      </c>
      <c r="O88" t="s">
        <v>776</v>
      </c>
      <c r="P88">
        <v>2</v>
      </c>
    </row>
    <row r="89" spans="1:16">
      <c r="A89" t="s">
        <v>544</v>
      </c>
      <c r="B89" t="s">
        <v>545</v>
      </c>
      <c r="C89">
        <v>2</v>
      </c>
      <c r="D89" t="s">
        <v>227</v>
      </c>
      <c r="E89" t="s">
        <v>546</v>
      </c>
      <c r="F89">
        <v>1</v>
      </c>
      <c r="G89">
        <v>88</v>
      </c>
      <c r="I89" t="s">
        <v>777</v>
      </c>
      <c r="J89" t="s">
        <v>778</v>
      </c>
      <c r="K89" t="s">
        <v>18</v>
      </c>
      <c r="L89" t="s">
        <v>779</v>
      </c>
      <c r="M89">
        <v>10323</v>
      </c>
      <c r="N89">
        <v>1</v>
      </c>
      <c r="O89" t="s">
        <v>780</v>
      </c>
      <c r="P89">
        <v>1</v>
      </c>
    </row>
    <row r="90" spans="1:16">
      <c r="A90" t="s">
        <v>544</v>
      </c>
      <c r="B90" t="s">
        <v>545</v>
      </c>
      <c r="C90">
        <v>2</v>
      </c>
      <c r="D90" t="s">
        <v>227</v>
      </c>
      <c r="E90" t="s">
        <v>546</v>
      </c>
      <c r="F90">
        <v>1</v>
      </c>
      <c r="G90">
        <v>89</v>
      </c>
      <c r="I90" t="s">
        <v>781</v>
      </c>
      <c r="J90" t="s">
        <v>782</v>
      </c>
      <c r="K90" t="s">
        <v>18</v>
      </c>
      <c r="L90" t="s">
        <v>783</v>
      </c>
      <c r="M90">
        <v>10386</v>
      </c>
      <c r="N90">
        <v>1</v>
      </c>
      <c r="O90" t="s">
        <v>784</v>
      </c>
      <c r="P90">
        <v>1</v>
      </c>
    </row>
    <row r="91" spans="1:16">
      <c r="A91" t="s">
        <v>544</v>
      </c>
      <c r="B91" t="s">
        <v>545</v>
      </c>
      <c r="C91">
        <v>2</v>
      </c>
      <c r="D91" t="s">
        <v>227</v>
      </c>
      <c r="E91" t="s">
        <v>546</v>
      </c>
      <c r="F91">
        <v>1</v>
      </c>
      <c r="G91">
        <v>90</v>
      </c>
      <c r="I91" t="s">
        <v>395</v>
      </c>
      <c r="J91" t="s">
        <v>396</v>
      </c>
      <c r="K91" t="s">
        <v>392</v>
      </c>
      <c r="L91" t="s">
        <v>397</v>
      </c>
      <c r="M91">
        <v>42516</v>
      </c>
      <c r="N91">
        <v>3</v>
      </c>
      <c r="O91" t="s">
        <v>785</v>
      </c>
      <c r="P91">
        <v>3</v>
      </c>
    </row>
    <row r="92" spans="1:16">
      <c r="A92" t="s">
        <v>544</v>
      </c>
      <c r="B92" t="s">
        <v>545</v>
      </c>
      <c r="C92">
        <v>2</v>
      </c>
      <c r="D92" t="s">
        <v>227</v>
      </c>
      <c r="E92" t="s">
        <v>546</v>
      </c>
      <c r="F92">
        <v>1</v>
      </c>
      <c r="G92">
        <v>91</v>
      </c>
      <c r="I92" t="s">
        <v>411</v>
      </c>
      <c r="J92" t="s">
        <v>786</v>
      </c>
      <c r="K92" t="s">
        <v>32</v>
      </c>
      <c r="L92" t="s">
        <v>787</v>
      </c>
      <c r="M92">
        <v>42481</v>
      </c>
      <c r="N92">
        <v>9</v>
      </c>
      <c r="O92" t="s">
        <v>788</v>
      </c>
      <c r="P92">
        <v>9</v>
      </c>
    </row>
    <row r="93" spans="1:16">
      <c r="A93" t="s">
        <v>544</v>
      </c>
      <c r="B93" t="s">
        <v>545</v>
      </c>
      <c r="C93">
        <v>2</v>
      </c>
      <c r="D93" t="s">
        <v>227</v>
      </c>
      <c r="E93" t="s">
        <v>546</v>
      </c>
      <c r="F93">
        <v>1</v>
      </c>
      <c r="G93">
        <v>92</v>
      </c>
      <c r="I93" t="s">
        <v>403</v>
      </c>
      <c r="J93" t="s">
        <v>789</v>
      </c>
      <c r="K93" t="s">
        <v>32</v>
      </c>
      <c r="L93" t="s">
        <v>1672</v>
      </c>
      <c r="M93">
        <v>10520</v>
      </c>
      <c r="N93">
        <v>8</v>
      </c>
      <c r="O93" t="s">
        <v>791</v>
      </c>
      <c r="P93">
        <v>8</v>
      </c>
    </row>
    <row r="94" spans="1:16">
      <c r="A94" t="s">
        <v>544</v>
      </c>
      <c r="B94" t="s">
        <v>545</v>
      </c>
      <c r="C94">
        <v>2</v>
      </c>
      <c r="D94" t="s">
        <v>227</v>
      </c>
      <c r="E94" t="s">
        <v>546</v>
      </c>
      <c r="F94">
        <v>1</v>
      </c>
      <c r="G94">
        <v>93</v>
      </c>
      <c r="I94" t="s">
        <v>792</v>
      </c>
      <c r="J94" t="s">
        <v>793</v>
      </c>
      <c r="K94" t="s">
        <v>32</v>
      </c>
      <c r="L94" t="s">
        <v>794</v>
      </c>
      <c r="M94">
        <v>33902</v>
      </c>
      <c r="N94">
        <v>1</v>
      </c>
      <c r="O94" t="s">
        <v>795</v>
      </c>
      <c r="P94">
        <v>1</v>
      </c>
    </row>
    <row r="95" spans="1:16">
      <c r="A95" t="s">
        <v>544</v>
      </c>
      <c r="B95" t="s">
        <v>545</v>
      </c>
      <c r="C95">
        <v>2</v>
      </c>
      <c r="D95" t="s">
        <v>227</v>
      </c>
      <c r="E95" t="s">
        <v>546</v>
      </c>
      <c r="F95">
        <v>1</v>
      </c>
      <c r="G95">
        <v>94</v>
      </c>
      <c r="I95" t="s">
        <v>75</v>
      </c>
      <c r="J95" t="s">
        <v>76</v>
      </c>
      <c r="K95" t="s">
        <v>32</v>
      </c>
      <c r="L95" t="s">
        <v>189</v>
      </c>
      <c r="M95">
        <v>10522</v>
      </c>
      <c r="N95">
        <v>4</v>
      </c>
      <c r="O95" t="s">
        <v>796</v>
      </c>
      <c r="P95">
        <v>4</v>
      </c>
    </row>
    <row r="96" spans="1:16">
      <c r="A96" t="s">
        <v>544</v>
      </c>
      <c r="B96" t="s">
        <v>545</v>
      </c>
      <c r="C96">
        <v>2</v>
      </c>
      <c r="D96" t="s">
        <v>227</v>
      </c>
      <c r="E96" t="s">
        <v>546</v>
      </c>
      <c r="F96">
        <v>1</v>
      </c>
      <c r="G96">
        <v>95</v>
      </c>
      <c r="I96" t="s">
        <v>797</v>
      </c>
      <c r="J96" t="s">
        <v>798</v>
      </c>
      <c r="K96" t="s">
        <v>401</v>
      </c>
      <c r="L96" t="s">
        <v>799</v>
      </c>
      <c r="M96">
        <v>33868</v>
      </c>
      <c r="N96">
        <v>3</v>
      </c>
      <c r="O96" t="s">
        <v>800</v>
      </c>
      <c r="P96">
        <v>3</v>
      </c>
    </row>
    <row r="97" spans="1:16">
      <c r="A97" t="s">
        <v>544</v>
      </c>
      <c r="B97" t="s">
        <v>545</v>
      </c>
      <c r="C97">
        <v>2</v>
      </c>
      <c r="D97" t="s">
        <v>227</v>
      </c>
      <c r="E97" t="s">
        <v>546</v>
      </c>
      <c r="F97">
        <v>1</v>
      </c>
      <c r="G97">
        <v>96</v>
      </c>
      <c r="I97" t="s">
        <v>801</v>
      </c>
      <c r="J97" t="s">
        <v>802</v>
      </c>
      <c r="K97" t="s">
        <v>151</v>
      </c>
      <c r="L97" t="s">
        <v>803</v>
      </c>
      <c r="M97">
        <v>42432</v>
      </c>
      <c r="N97">
        <v>2</v>
      </c>
      <c r="O97" t="s">
        <v>804</v>
      </c>
      <c r="P97">
        <v>2</v>
      </c>
    </row>
    <row r="98" spans="1:16">
      <c r="A98" t="s">
        <v>544</v>
      </c>
      <c r="B98" t="s">
        <v>545</v>
      </c>
      <c r="C98">
        <v>2</v>
      </c>
      <c r="D98" t="s">
        <v>227</v>
      </c>
      <c r="E98" t="s">
        <v>546</v>
      </c>
      <c r="F98">
        <v>1</v>
      </c>
      <c r="G98">
        <v>97</v>
      </c>
      <c r="I98" t="s">
        <v>405</v>
      </c>
      <c r="J98" t="s">
        <v>406</v>
      </c>
      <c r="K98" t="s">
        <v>32</v>
      </c>
      <c r="L98" t="s">
        <v>407</v>
      </c>
      <c r="M98">
        <v>33933</v>
      </c>
      <c r="N98">
        <v>23</v>
      </c>
      <c r="O98" t="s">
        <v>805</v>
      </c>
      <c r="P98">
        <v>23</v>
      </c>
    </row>
    <row r="99" spans="1:16">
      <c r="A99" t="s">
        <v>544</v>
      </c>
      <c r="B99" t="s">
        <v>545</v>
      </c>
      <c r="C99">
        <v>2</v>
      </c>
      <c r="D99" t="s">
        <v>227</v>
      </c>
      <c r="E99" t="s">
        <v>546</v>
      </c>
      <c r="F99">
        <v>1</v>
      </c>
      <c r="G99">
        <v>98</v>
      </c>
      <c r="I99" t="s">
        <v>390</v>
      </c>
      <c r="J99" t="s">
        <v>391</v>
      </c>
      <c r="K99" t="s">
        <v>392</v>
      </c>
      <c r="L99" t="s">
        <v>393</v>
      </c>
      <c r="M99">
        <v>42515</v>
      </c>
      <c r="N99">
        <v>12</v>
      </c>
      <c r="O99" t="s">
        <v>806</v>
      </c>
      <c r="P99">
        <v>12</v>
      </c>
    </row>
    <row r="100" spans="1:16">
      <c r="A100" t="s">
        <v>544</v>
      </c>
      <c r="B100" t="s">
        <v>545</v>
      </c>
      <c r="C100">
        <v>2</v>
      </c>
      <c r="D100" t="s">
        <v>227</v>
      </c>
      <c r="E100" t="s">
        <v>546</v>
      </c>
      <c r="F100">
        <v>1</v>
      </c>
      <c r="G100">
        <v>99</v>
      </c>
      <c r="I100" t="s">
        <v>399</v>
      </c>
      <c r="J100" t="s">
        <v>400</v>
      </c>
      <c r="K100" t="s">
        <v>401</v>
      </c>
      <c r="L100" t="s">
        <v>402</v>
      </c>
      <c r="M100">
        <v>42525</v>
      </c>
      <c r="N100">
        <v>1</v>
      </c>
      <c r="O100" t="s">
        <v>807</v>
      </c>
      <c r="P100">
        <v>1</v>
      </c>
    </row>
    <row r="101" spans="1:16">
      <c r="A101" t="s">
        <v>544</v>
      </c>
      <c r="B101" t="s">
        <v>545</v>
      </c>
      <c r="C101">
        <v>2</v>
      </c>
      <c r="D101" t="s">
        <v>227</v>
      </c>
      <c r="E101" t="s">
        <v>546</v>
      </c>
      <c r="F101">
        <v>1</v>
      </c>
      <c r="G101">
        <v>100</v>
      </c>
      <c r="I101" t="s">
        <v>808</v>
      </c>
      <c r="J101" t="s">
        <v>809</v>
      </c>
      <c r="K101" t="s">
        <v>32</v>
      </c>
      <c r="L101" t="s">
        <v>810</v>
      </c>
      <c r="M101">
        <v>42527</v>
      </c>
      <c r="N101">
        <v>1</v>
      </c>
      <c r="O101" t="s">
        <v>811</v>
      </c>
      <c r="P101">
        <v>1</v>
      </c>
    </row>
    <row r="102" spans="1:16">
      <c r="A102" t="s">
        <v>544</v>
      </c>
      <c r="B102" t="s">
        <v>545</v>
      </c>
      <c r="C102">
        <v>2</v>
      </c>
      <c r="D102" t="s">
        <v>227</v>
      </c>
      <c r="E102" t="s">
        <v>546</v>
      </c>
      <c r="F102">
        <v>1</v>
      </c>
      <c r="G102">
        <v>101</v>
      </c>
      <c r="I102" t="s">
        <v>812</v>
      </c>
      <c r="J102" t="s">
        <v>813</v>
      </c>
      <c r="K102" t="s">
        <v>451</v>
      </c>
      <c r="L102" t="s">
        <v>814</v>
      </c>
      <c r="M102">
        <v>42604</v>
      </c>
      <c r="N102">
        <v>1</v>
      </c>
      <c r="O102" t="s">
        <v>815</v>
      </c>
      <c r="P102">
        <v>1</v>
      </c>
    </row>
    <row r="103" spans="1:16">
      <c r="A103" t="s">
        <v>544</v>
      </c>
      <c r="B103" t="s">
        <v>545</v>
      </c>
      <c r="C103">
        <v>2</v>
      </c>
      <c r="D103" t="s">
        <v>227</v>
      </c>
      <c r="E103" t="s">
        <v>546</v>
      </c>
      <c r="F103">
        <v>1</v>
      </c>
      <c r="G103">
        <v>102</v>
      </c>
      <c r="I103" t="s">
        <v>444</v>
      </c>
      <c r="J103" t="s">
        <v>816</v>
      </c>
      <c r="K103" t="s">
        <v>48</v>
      </c>
      <c r="L103" t="s">
        <v>817</v>
      </c>
      <c r="M103">
        <v>12712</v>
      </c>
      <c r="N103">
        <v>59</v>
      </c>
      <c r="O103" t="s">
        <v>818</v>
      </c>
      <c r="P103">
        <v>59</v>
      </c>
    </row>
    <row r="104" spans="1:16">
      <c r="A104" t="s">
        <v>544</v>
      </c>
      <c r="B104" t="s">
        <v>545</v>
      </c>
      <c r="C104">
        <v>2</v>
      </c>
      <c r="D104" t="s">
        <v>227</v>
      </c>
      <c r="E104" t="s">
        <v>546</v>
      </c>
      <c r="F104">
        <v>1</v>
      </c>
      <c r="G104">
        <v>103</v>
      </c>
      <c r="I104" t="s">
        <v>412</v>
      </c>
      <c r="J104" t="s">
        <v>413</v>
      </c>
      <c r="K104" t="s">
        <v>48</v>
      </c>
      <c r="L104" t="s">
        <v>414</v>
      </c>
      <c r="M104">
        <v>37742</v>
      </c>
      <c r="N104">
        <v>80</v>
      </c>
      <c r="O104" t="s">
        <v>819</v>
      </c>
      <c r="P104">
        <v>80</v>
      </c>
    </row>
    <row r="105" spans="1:16">
      <c r="A105" t="s">
        <v>544</v>
      </c>
      <c r="B105" t="s">
        <v>545</v>
      </c>
      <c r="C105">
        <v>2</v>
      </c>
      <c r="D105" t="s">
        <v>227</v>
      </c>
      <c r="E105" t="s">
        <v>546</v>
      </c>
      <c r="F105">
        <v>1</v>
      </c>
      <c r="G105">
        <v>104</v>
      </c>
      <c r="I105" t="s">
        <v>820</v>
      </c>
      <c r="J105" t="s">
        <v>821</v>
      </c>
      <c r="K105" t="s">
        <v>48</v>
      </c>
      <c r="L105" t="s">
        <v>822</v>
      </c>
      <c r="M105">
        <v>12448</v>
      </c>
      <c r="N105">
        <v>12</v>
      </c>
      <c r="O105" t="s">
        <v>823</v>
      </c>
      <c r="P105">
        <v>12</v>
      </c>
    </row>
    <row r="106" spans="1:16">
      <c r="A106" t="s">
        <v>544</v>
      </c>
      <c r="B106" t="s">
        <v>545</v>
      </c>
      <c r="C106">
        <v>2</v>
      </c>
      <c r="D106" t="s">
        <v>227</v>
      </c>
      <c r="E106" t="s">
        <v>546</v>
      </c>
      <c r="F106">
        <v>1</v>
      </c>
      <c r="G106">
        <v>105</v>
      </c>
      <c r="I106" t="s">
        <v>412</v>
      </c>
      <c r="J106" t="s">
        <v>418</v>
      </c>
      <c r="K106" t="s">
        <v>48</v>
      </c>
      <c r="L106" t="s">
        <v>419</v>
      </c>
      <c r="M106">
        <v>12197</v>
      </c>
      <c r="N106">
        <v>54</v>
      </c>
      <c r="O106" t="s">
        <v>824</v>
      </c>
      <c r="P106">
        <v>54</v>
      </c>
    </row>
    <row r="107" spans="1:16">
      <c r="A107" t="s">
        <v>544</v>
      </c>
      <c r="B107" t="s">
        <v>545</v>
      </c>
      <c r="C107">
        <v>2</v>
      </c>
      <c r="D107" t="s">
        <v>227</v>
      </c>
      <c r="E107" t="s">
        <v>546</v>
      </c>
      <c r="F107">
        <v>1</v>
      </c>
      <c r="G107">
        <v>106</v>
      </c>
      <c r="I107" t="s">
        <v>825</v>
      </c>
      <c r="J107" t="s">
        <v>826</v>
      </c>
      <c r="K107" t="s">
        <v>48</v>
      </c>
      <c r="L107" t="s">
        <v>827</v>
      </c>
      <c r="M107">
        <v>12412</v>
      </c>
      <c r="N107">
        <v>1</v>
      </c>
      <c r="O107" t="s">
        <v>828</v>
      </c>
      <c r="P107">
        <v>1</v>
      </c>
    </row>
    <row r="108" spans="1:16">
      <c r="A108" t="s">
        <v>544</v>
      </c>
      <c r="B108" t="s">
        <v>545</v>
      </c>
      <c r="C108">
        <v>2</v>
      </c>
      <c r="D108" t="s">
        <v>227</v>
      </c>
      <c r="E108" t="s">
        <v>546</v>
      </c>
      <c r="F108">
        <v>1</v>
      </c>
      <c r="G108">
        <v>107</v>
      </c>
      <c r="I108" t="s">
        <v>829</v>
      </c>
      <c r="J108" t="s">
        <v>3047</v>
      </c>
      <c r="K108" t="s">
        <v>48</v>
      </c>
      <c r="L108" t="s">
        <v>831</v>
      </c>
      <c r="M108">
        <v>12185</v>
      </c>
      <c r="N108">
        <v>1</v>
      </c>
      <c r="O108" t="s">
        <v>832</v>
      </c>
      <c r="P108">
        <v>1</v>
      </c>
    </row>
    <row r="109" spans="1:16">
      <c r="A109" t="s">
        <v>544</v>
      </c>
      <c r="B109" t="s">
        <v>545</v>
      </c>
      <c r="C109">
        <v>2</v>
      </c>
      <c r="D109" t="s">
        <v>227</v>
      </c>
      <c r="E109" t="s">
        <v>546</v>
      </c>
      <c r="F109">
        <v>1</v>
      </c>
      <c r="G109">
        <v>108</v>
      </c>
      <c r="I109" t="s">
        <v>449</v>
      </c>
      <c r="J109" t="s">
        <v>450</v>
      </c>
      <c r="K109" t="s">
        <v>451</v>
      </c>
      <c r="L109" t="s">
        <v>452</v>
      </c>
      <c r="M109">
        <v>42609</v>
      </c>
      <c r="N109">
        <v>1</v>
      </c>
      <c r="O109" t="s">
        <v>833</v>
      </c>
      <c r="P109">
        <v>1</v>
      </c>
    </row>
    <row r="110" spans="1:16">
      <c r="A110" t="s">
        <v>544</v>
      </c>
      <c r="B110" t="s">
        <v>545</v>
      </c>
      <c r="C110">
        <v>2</v>
      </c>
      <c r="D110" t="s">
        <v>227</v>
      </c>
      <c r="E110" t="s">
        <v>546</v>
      </c>
      <c r="F110">
        <v>1</v>
      </c>
      <c r="G110">
        <v>109</v>
      </c>
      <c r="I110" t="s">
        <v>428</v>
      </c>
      <c r="J110" t="s">
        <v>429</v>
      </c>
      <c r="K110" t="s">
        <v>48</v>
      </c>
      <c r="L110" t="s">
        <v>430</v>
      </c>
      <c r="M110">
        <v>37731</v>
      </c>
      <c r="N110">
        <v>34</v>
      </c>
      <c r="O110" t="s">
        <v>834</v>
      </c>
      <c r="P110">
        <v>34</v>
      </c>
    </row>
    <row r="111" spans="1:16">
      <c r="A111" t="s">
        <v>544</v>
      </c>
      <c r="B111" t="s">
        <v>545</v>
      </c>
      <c r="C111">
        <v>2</v>
      </c>
      <c r="D111" t="s">
        <v>227</v>
      </c>
      <c r="E111" t="s">
        <v>546</v>
      </c>
      <c r="F111">
        <v>1</v>
      </c>
      <c r="G111">
        <v>110</v>
      </c>
      <c r="I111" t="s">
        <v>472</v>
      </c>
      <c r="J111" t="s">
        <v>473</v>
      </c>
      <c r="K111" t="s">
        <v>48</v>
      </c>
      <c r="L111" t="s">
        <v>474</v>
      </c>
      <c r="M111">
        <v>38613</v>
      </c>
      <c r="N111">
        <v>2</v>
      </c>
      <c r="O111" t="s">
        <v>835</v>
      </c>
      <c r="P111">
        <v>2</v>
      </c>
    </row>
    <row r="112" spans="1:16">
      <c r="A112" t="s">
        <v>544</v>
      </c>
      <c r="B112" t="s">
        <v>545</v>
      </c>
      <c r="C112">
        <v>2</v>
      </c>
      <c r="D112" t="s">
        <v>227</v>
      </c>
      <c r="E112" t="s">
        <v>546</v>
      </c>
      <c r="F112">
        <v>1</v>
      </c>
      <c r="G112">
        <v>111</v>
      </c>
      <c r="I112" t="s">
        <v>836</v>
      </c>
      <c r="J112" t="s">
        <v>837</v>
      </c>
      <c r="K112" t="s">
        <v>48</v>
      </c>
      <c r="L112" t="s">
        <v>838</v>
      </c>
      <c r="M112">
        <v>38605</v>
      </c>
      <c r="N112">
        <v>2</v>
      </c>
      <c r="O112" t="s">
        <v>839</v>
      </c>
      <c r="P112">
        <v>2</v>
      </c>
    </row>
    <row r="113" spans="1:16">
      <c r="A113" t="s">
        <v>544</v>
      </c>
      <c r="B113" t="s">
        <v>545</v>
      </c>
      <c r="C113">
        <v>2</v>
      </c>
      <c r="D113" t="s">
        <v>227</v>
      </c>
      <c r="E113" t="s">
        <v>546</v>
      </c>
      <c r="F113">
        <v>1</v>
      </c>
      <c r="G113">
        <v>112</v>
      </c>
      <c r="I113" t="s">
        <v>428</v>
      </c>
      <c r="J113" t="s">
        <v>840</v>
      </c>
      <c r="K113" t="s">
        <v>48</v>
      </c>
      <c r="L113" t="s">
        <v>841</v>
      </c>
      <c r="M113">
        <v>12186</v>
      </c>
      <c r="N113">
        <v>50</v>
      </c>
      <c r="O113" t="s">
        <v>842</v>
      </c>
      <c r="P113">
        <v>50</v>
      </c>
    </row>
    <row r="114" spans="1:16">
      <c r="A114" t="s">
        <v>544</v>
      </c>
      <c r="B114" t="s">
        <v>545</v>
      </c>
      <c r="C114">
        <v>2</v>
      </c>
      <c r="D114" t="s">
        <v>227</v>
      </c>
      <c r="E114" t="s">
        <v>546</v>
      </c>
      <c r="F114">
        <v>1</v>
      </c>
      <c r="G114">
        <v>113</v>
      </c>
      <c r="I114" t="s">
        <v>431</v>
      </c>
      <c r="J114" t="s">
        <v>436</v>
      </c>
      <c r="K114" t="s">
        <v>48</v>
      </c>
      <c r="L114" t="s">
        <v>437</v>
      </c>
      <c r="M114">
        <v>12346</v>
      </c>
      <c r="N114">
        <v>16</v>
      </c>
      <c r="O114" t="s">
        <v>843</v>
      </c>
      <c r="P114">
        <v>16</v>
      </c>
    </row>
    <row r="115" spans="1:16">
      <c r="A115" t="s">
        <v>544</v>
      </c>
      <c r="B115" t="s">
        <v>545</v>
      </c>
      <c r="C115">
        <v>2</v>
      </c>
      <c r="D115" t="s">
        <v>227</v>
      </c>
      <c r="E115" t="s">
        <v>546</v>
      </c>
      <c r="F115">
        <v>1</v>
      </c>
      <c r="G115">
        <v>114</v>
      </c>
      <c r="I115" t="s">
        <v>844</v>
      </c>
      <c r="J115" t="s">
        <v>845</v>
      </c>
      <c r="K115" t="s">
        <v>48</v>
      </c>
      <c r="L115" t="s">
        <v>846</v>
      </c>
      <c r="M115">
        <v>12335</v>
      </c>
      <c r="N115">
        <v>2</v>
      </c>
      <c r="O115" t="s">
        <v>847</v>
      </c>
      <c r="P115">
        <v>2</v>
      </c>
    </row>
    <row r="116" spans="1:16">
      <c r="A116" t="s">
        <v>544</v>
      </c>
      <c r="B116" t="s">
        <v>545</v>
      </c>
      <c r="C116">
        <v>2</v>
      </c>
      <c r="D116" t="s">
        <v>227</v>
      </c>
      <c r="E116" t="s">
        <v>546</v>
      </c>
      <c r="F116">
        <v>1</v>
      </c>
      <c r="G116">
        <v>115</v>
      </c>
      <c r="I116" t="s">
        <v>848</v>
      </c>
      <c r="J116" t="s">
        <v>849</v>
      </c>
      <c r="K116" t="s">
        <v>48</v>
      </c>
      <c r="L116" t="s">
        <v>850</v>
      </c>
      <c r="M116">
        <v>12496</v>
      </c>
      <c r="N116">
        <v>10</v>
      </c>
      <c r="O116" t="s">
        <v>851</v>
      </c>
      <c r="P116">
        <v>10</v>
      </c>
    </row>
    <row r="117" spans="1:16">
      <c r="A117" t="s">
        <v>544</v>
      </c>
      <c r="B117" t="s">
        <v>545</v>
      </c>
      <c r="C117">
        <v>2</v>
      </c>
      <c r="D117" t="s">
        <v>227</v>
      </c>
      <c r="E117" t="s">
        <v>546</v>
      </c>
      <c r="F117">
        <v>1</v>
      </c>
      <c r="G117">
        <v>116</v>
      </c>
      <c r="I117" t="s">
        <v>480</v>
      </c>
      <c r="J117" t="s">
        <v>481</v>
      </c>
      <c r="K117" t="s">
        <v>48</v>
      </c>
      <c r="L117" t="s">
        <v>482</v>
      </c>
      <c r="M117">
        <v>38104</v>
      </c>
      <c r="N117">
        <v>5</v>
      </c>
      <c r="O117" t="s">
        <v>852</v>
      </c>
      <c r="P117">
        <v>5</v>
      </c>
    </row>
    <row r="118" spans="1:16">
      <c r="A118" t="s">
        <v>544</v>
      </c>
      <c r="B118" t="s">
        <v>545</v>
      </c>
      <c r="C118">
        <v>2</v>
      </c>
      <c r="D118" t="s">
        <v>227</v>
      </c>
      <c r="E118" t="s">
        <v>546</v>
      </c>
      <c r="F118">
        <v>1</v>
      </c>
      <c r="G118">
        <v>117</v>
      </c>
      <c r="I118" t="s">
        <v>825</v>
      </c>
      <c r="J118" t="s">
        <v>853</v>
      </c>
      <c r="K118" t="s">
        <v>48</v>
      </c>
      <c r="L118" t="s">
        <v>854</v>
      </c>
      <c r="M118">
        <v>37957</v>
      </c>
      <c r="N118">
        <v>5</v>
      </c>
      <c r="O118" t="s">
        <v>855</v>
      </c>
      <c r="P118">
        <v>5</v>
      </c>
    </row>
    <row r="119" spans="1:16">
      <c r="A119" t="s">
        <v>544</v>
      </c>
      <c r="B119" t="s">
        <v>545</v>
      </c>
      <c r="C119">
        <v>2</v>
      </c>
      <c r="D119" t="s">
        <v>227</v>
      </c>
      <c r="E119" t="s">
        <v>546</v>
      </c>
      <c r="F119">
        <v>1</v>
      </c>
      <c r="G119">
        <v>118</v>
      </c>
      <c r="I119" t="s">
        <v>848</v>
      </c>
      <c r="J119" t="s">
        <v>856</v>
      </c>
      <c r="K119" t="s">
        <v>48</v>
      </c>
      <c r="L119" t="s">
        <v>857</v>
      </c>
      <c r="M119">
        <v>38041</v>
      </c>
      <c r="N119">
        <v>22</v>
      </c>
      <c r="O119" t="s">
        <v>858</v>
      </c>
      <c r="P119">
        <v>22</v>
      </c>
    </row>
    <row r="120" spans="1:16">
      <c r="A120" t="s">
        <v>544</v>
      </c>
      <c r="B120" t="s">
        <v>545</v>
      </c>
      <c r="C120">
        <v>2</v>
      </c>
      <c r="D120" t="s">
        <v>227</v>
      </c>
      <c r="E120" t="s">
        <v>546</v>
      </c>
      <c r="F120">
        <v>1</v>
      </c>
      <c r="G120">
        <v>119</v>
      </c>
      <c r="I120" t="s">
        <v>440</v>
      </c>
      <c r="J120" t="s">
        <v>441</v>
      </c>
      <c r="K120" t="s">
        <v>48</v>
      </c>
      <c r="L120" t="s">
        <v>442</v>
      </c>
      <c r="M120">
        <v>38266</v>
      </c>
      <c r="N120">
        <v>16</v>
      </c>
      <c r="O120" t="s">
        <v>859</v>
      </c>
      <c r="P120">
        <v>16</v>
      </c>
    </row>
    <row r="121" spans="1:16">
      <c r="A121" t="s">
        <v>544</v>
      </c>
      <c r="B121" t="s">
        <v>545</v>
      </c>
      <c r="C121">
        <v>2</v>
      </c>
      <c r="D121" t="s">
        <v>227</v>
      </c>
      <c r="E121" t="s">
        <v>546</v>
      </c>
      <c r="F121">
        <v>1</v>
      </c>
      <c r="G121">
        <v>120</v>
      </c>
      <c r="I121" t="s">
        <v>860</v>
      </c>
      <c r="J121" t="s">
        <v>861</v>
      </c>
      <c r="K121" t="s">
        <v>48</v>
      </c>
      <c r="L121" t="s">
        <v>862</v>
      </c>
      <c r="M121">
        <v>38294</v>
      </c>
      <c r="N121">
        <v>5</v>
      </c>
      <c r="O121" t="s">
        <v>863</v>
      </c>
      <c r="P121">
        <v>5</v>
      </c>
    </row>
    <row r="122" spans="1:16">
      <c r="A122" t="s">
        <v>544</v>
      </c>
      <c r="B122" t="s">
        <v>545</v>
      </c>
      <c r="C122">
        <v>2</v>
      </c>
      <c r="D122" t="s">
        <v>227</v>
      </c>
      <c r="E122" t="s">
        <v>546</v>
      </c>
      <c r="F122">
        <v>1</v>
      </c>
      <c r="G122">
        <v>121</v>
      </c>
      <c r="I122" t="s">
        <v>864</v>
      </c>
      <c r="J122" t="s">
        <v>865</v>
      </c>
      <c r="K122" t="s">
        <v>48</v>
      </c>
      <c r="L122" t="s">
        <v>866</v>
      </c>
      <c r="M122">
        <v>12711</v>
      </c>
      <c r="N122">
        <v>1</v>
      </c>
      <c r="O122" t="s">
        <v>867</v>
      </c>
      <c r="P122">
        <v>1</v>
      </c>
    </row>
    <row r="123" spans="1:16">
      <c r="A123" t="s">
        <v>544</v>
      </c>
      <c r="B123" t="s">
        <v>545</v>
      </c>
      <c r="C123">
        <v>2</v>
      </c>
      <c r="D123" t="s">
        <v>227</v>
      </c>
      <c r="E123" t="s">
        <v>546</v>
      </c>
      <c r="F123">
        <v>1</v>
      </c>
      <c r="G123">
        <v>122</v>
      </c>
      <c r="I123" t="s">
        <v>434</v>
      </c>
      <c r="J123" t="s">
        <v>868</v>
      </c>
      <c r="K123" t="s">
        <v>48</v>
      </c>
      <c r="L123" t="s">
        <v>869</v>
      </c>
      <c r="M123">
        <v>15179</v>
      </c>
      <c r="N123">
        <v>1</v>
      </c>
      <c r="O123" t="s">
        <v>870</v>
      </c>
      <c r="P123">
        <v>1</v>
      </c>
    </row>
    <row r="124" spans="1:16">
      <c r="A124" t="s">
        <v>544</v>
      </c>
      <c r="B124" t="s">
        <v>545</v>
      </c>
      <c r="C124">
        <v>2</v>
      </c>
      <c r="D124" t="s">
        <v>227</v>
      </c>
      <c r="E124" t="s">
        <v>546</v>
      </c>
      <c r="F124">
        <v>1</v>
      </c>
      <c r="G124">
        <v>123</v>
      </c>
      <c r="I124" t="s">
        <v>431</v>
      </c>
      <c r="J124" t="s">
        <v>432</v>
      </c>
      <c r="K124" t="s">
        <v>48</v>
      </c>
      <c r="L124" t="s">
        <v>433</v>
      </c>
      <c r="M124">
        <v>37891</v>
      </c>
      <c r="N124">
        <v>10</v>
      </c>
      <c r="O124" t="s">
        <v>871</v>
      </c>
      <c r="P124">
        <v>10</v>
      </c>
    </row>
    <row r="125" spans="1:16">
      <c r="A125" t="s">
        <v>544</v>
      </c>
      <c r="B125" t="s">
        <v>545</v>
      </c>
      <c r="C125">
        <v>2</v>
      </c>
      <c r="D125" t="s">
        <v>227</v>
      </c>
      <c r="E125" t="s">
        <v>546</v>
      </c>
      <c r="F125">
        <v>1</v>
      </c>
      <c r="G125">
        <v>124</v>
      </c>
      <c r="I125" t="s">
        <v>872</v>
      </c>
      <c r="J125" t="s">
        <v>873</v>
      </c>
      <c r="K125" t="s">
        <v>48</v>
      </c>
      <c r="L125" t="s">
        <v>874</v>
      </c>
      <c r="M125">
        <v>39527</v>
      </c>
      <c r="N125">
        <v>1</v>
      </c>
      <c r="O125" t="s">
        <v>875</v>
      </c>
      <c r="P125">
        <v>1</v>
      </c>
    </row>
    <row r="126" spans="1:16">
      <c r="A126" t="s">
        <v>544</v>
      </c>
      <c r="B126" t="s">
        <v>545</v>
      </c>
      <c r="C126">
        <v>2</v>
      </c>
      <c r="D126" t="s">
        <v>227</v>
      </c>
      <c r="E126" t="s">
        <v>546</v>
      </c>
      <c r="F126">
        <v>1</v>
      </c>
      <c r="G126">
        <v>125</v>
      </c>
      <c r="I126" t="s">
        <v>469</v>
      </c>
      <c r="J126" t="s">
        <v>470</v>
      </c>
      <c r="K126" t="s">
        <v>48</v>
      </c>
      <c r="L126" t="s">
        <v>471</v>
      </c>
      <c r="M126">
        <v>37983</v>
      </c>
      <c r="N126">
        <v>17</v>
      </c>
      <c r="O126" t="s">
        <v>876</v>
      </c>
      <c r="P126">
        <v>17</v>
      </c>
    </row>
    <row r="127" spans="1:16">
      <c r="A127" t="s">
        <v>544</v>
      </c>
      <c r="B127" t="s">
        <v>545</v>
      </c>
      <c r="C127">
        <v>2</v>
      </c>
      <c r="D127" t="s">
        <v>227</v>
      </c>
      <c r="E127" t="s">
        <v>546</v>
      </c>
      <c r="F127">
        <v>1</v>
      </c>
      <c r="G127">
        <v>126</v>
      </c>
      <c r="I127" t="s">
        <v>877</v>
      </c>
      <c r="J127" t="s">
        <v>878</v>
      </c>
      <c r="K127" t="s">
        <v>48</v>
      </c>
      <c r="L127" t="s">
        <v>879</v>
      </c>
      <c r="M127">
        <v>38233</v>
      </c>
      <c r="N127">
        <v>2</v>
      </c>
      <c r="O127" t="s">
        <v>880</v>
      </c>
      <c r="P127">
        <v>2</v>
      </c>
    </row>
    <row r="128" spans="1:16">
      <c r="A128" t="s">
        <v>544</v>
      </c>
      <c r="B128" t="s">
        <v>545</v>
      </c>
      <c r="C128">
        <v>2</v>
      </c>
      <c r="D128" t="s">
        <v>227</v>
      </c>
      <c r="E128" t="s">
        <v>546</v>
      </c>
      <c r="F128">
        <v>1</v>
      </c>
      <c r="G128">
        <v>127</v>
      </c>
      <c r="I128" t="s">
        <v>457</v>
      </c>
      <c r="J128" t="s">
        <v>458</v>
      </c>
      <c r="K128" t="s">
        <v>48</v>
      </c>
      <c r="L128" t="s">
        <v>459</v>
      </c>
      <c r="M128">
        <v>38114</v>
      </c>
      <c r="N128">
        <v>1</v>
      </c>
      <c r="O128" t="s">
        <v>881</v>
      </c>
      <c r="P128">
        <v>1</v>
      </c>
    </row>
    <row r="129" spans="1:16">
      <c r="A129" t="s">
        <v>544</v>
      </c>
      <c r="B129" t="s">
        <v>545</v>
      </c>
      <c r="C129">
        <v>2</v>
      </c>
      <c r="D129" t="s">
        <v>227</v>
      </c>
      <c r="E129" t="s">
        <v>546</v>
      </c>
      <c r="F129">
        <v>1</v>
      </c>
      <c r="G129">
        <v>128</v>
      </c>
      <c r="I129" t="s">
        <v>455</v>
      </c>
      <c r="J129" t="s">
        <v>882</v>
      </c>
      <c r="K129" t="s">
        <v>48</v>
      </c>
      <c r="L129" t="s">
        <v>883</v>
      </c>
      <c r="M129">
        <v>12295</v>
      </c>
      <c r="N129">
        <v>3</v>
      </c>
      <c r="O129" t="s">
        <v>884</v>
      </c>
      <c r="P129">
        <v>3</v>
      </c>
    </row>
    <row r="130" spans="1:16">
      <c r="A130" t="s">
        <v>544</v>
      </c>
      <c r="B130" t="s">
        <v>545</v>
      </c>
      <c r="C130">
        <v>2</v>
      </c>
      <c r="D130" t="s">
        <v>227</v>
      </c>
      <c r="E130" t="s">
        <v>546</v>
      </c>
      <c r="F130">
        <v>1</v>
      </c>
      <c r="G130">
        <v>129</v>
      </c>
      <c r="I130" t="s">
        <v>453</v>
      </c>
      <c r="J130" t="s">
        <v>885</v>
      </c>
      <c r="K130" t="s">
        <v>48</v>
      </c>
      <c r="L130" t="s">
        <v>886</v>
      </c>
      <c r="M130">
        <v>12755</v>
      </c>
      <c r="N130">
        <v>3</v>
      </c>
      <c r="O130" t="s">
        <v>887</v>
      </c>
      <c r="P130">
        <v>3</v>
      </c>
    </row>
    <row r="131" spans="1:16">
      <c r="A131" t="s">
        <v>544</v>
      </c>
      <c r="B131" t="s">
        <v>545</v>
      </c>
      <c r="C131">
        <v>2</v>
      </c>
      <c r="D131" t="s">
        <v>227</v>
      </c>
      <c r="E131" t="s">
        <v>546</v>
      </c>
      <c r="F131">
        <v>1</v>
      </c>
      <c r="G131">
        <v>130</v>
      </c>
      <c r="I131" t="s">
        <v>860</v>
      </c>
      <c r="J131" t="s">
        <v>888</v>
      </c>
      <c r="K131" t="s">
        <v>48</v>
      </c>
      <c r="L131" t="s">
        <v>889</v>
      </c>
      <c r="M131">
        <v>12751</v>
      </c>
      <c r="N131">
        <v>1</v>
      </c>
      <c r="O131" t="s">
        <v>890</v>
      </c>
      <c r="P131">
        <v>1</v>
      </c>
    </row>
    <row r="132" spans="1:16">
      <c r="A132" t="s">
        <v>544</v>
      </c>
      <c r="B132" t="s">
        <v>545</v>
      </c>
      <c r="C132">
        <v>2</v>
      </c>
      <c r="D132" t="s">
        <v>227</v>
      </c>
      <c r="E132" t="s">
        <v>546</v>
      </c>
      <c r="F132">
        <v>1</v>
      </c>
      <c r="G132">
        <v>131</v>
      </c>
      <c r="I132" t="s">
        <v>891</v>
      </c>
      <c r="J132" t="s">
        <v>892</v>
      </c>
      <c r="K132" t="s">
        <v>48</v>
      </c>
      <c r="L132" t="s">
        <v>893</v>
      </c>
      <c r="M132">
        <v>37961</v>
      </c>
      <c r="N132">
        <v>11</v>
      </c>
      <c r="O132" t="s">
        <v>894</v>
      </c>
      <c r="P132">
        <v>11</v>
      </c>
    </row>
    <row r="133" spans="1:16">
      <c r="A133" t="s">
        <v>544</v>
      </c>
      <c r="B133" t="s">
        <v>545</v>
      </c>
      <c r="C133">
        <v>2</v>
      </c>
      <c r="D133" t="s">
        <v>227</v>
      </c>
      <c r="E133" t="s">
        <v>546</v>
      </c>
      <c r="F133">
        <v>1</v>
      </c>
      <c r="G133">
        <v>132</v>
      </c>
      <c r="I133" t="s">
        <v>440</v>
      </c>
      <c r="J133" t="s">
        <v>895</v>
      </c>
      <c r="K133" t="s">
        <v>48</v>
      </c>
      <c r="L133" t="s">
        <v>896</v>
      </c>
      <c r="M133">
        <v>12723</v>
      </c>
      <c r="N133">
        <v>5</v>
      </c>
      <c r="O133" t="s">
        <v>897</v>
      </c>
      <c r="P133">
        <v>5</v>
      </c>
    </row>
    <row r="134" spans="1:16">
      <c r="A134" t="s">
        <v>544</v>
      </c>
      <c r="B134" t="s">
        <v>545</v>
      </c>
      <c r="C134">
        <v>2</v>
      </c>
      <c r="D134" t="s">
        <v>227</v>
      </c>
      <c r="E134" t="s">
        <v>546</v>
      </c>
      <c r="F134">
        <v>1</v>
      </c>
      <c r="G134">
        <v>133</v>
      </c>
      <c r="I134" t="s">
        <v>423</v>
      </c>
      <c r="J134" t="s">
        <v>898</v>
      </c>
      <c r="K134" t="s">
        <v>48</v>
      </c>
      <c r="L134" t="s">
        <v>899</v>
      </c>
      <c r="M134">
        <v>13006</v>
      </c>
      <c r="N134">
        <v>5</v>
      </c>
      <c r="O134" t="s">
        <v>900</v>
      </c>
      <c r="P134">
        <v>5</v>
      </c>
    </row>
    <row r="135" spans="1:16">
      <c r="A135" t="s">
        <v>544</v>
      </c>
      <c r="B135" t="s">
        <v>545</v>
      </c>
      <c r="C135">
        <v>2</v>
      </c>
      <c r="D135" t="s">
        <v>227</v>
      </c>
      <c r="E135" t="s">
        <v>546</v>
      </c>
      <c r="F135">
        <v>1</v>
      </c>
      <c r="G135">
        <v>134</v>
      </c>
      <c r="I135" t="s">
        <v>423</v>
      </c>
      <c r="J135" t="s">
        <v>424</v>
      </c>
      <c r="K135" t="s">
        <v>48</v>
      </c>
      <c r="L135" t="s">
        <v>425</v>
      </c>
      <c r="M135">
        <v>38555</v>
      </c>
      <c r="N135">
        <v>15</v>
      </c>
      <c r="O135" t="s">
        <v>901</v>
      </c>
      <c r="P135">
        <v>15</v>
      </c>
    </row>
    <row r="136" spans="1:16">
      <c r="A136" t="s">
        <v>544</v>
      </c>
      <c r="B136" t="s">
        <v>545</v>
      </c>
      <c r="C136">
        <v>2</v>
      </c>
      <c r="D136" t="s">
        <v>227</v>
      </c>
      <c r="E136" t="s">
        <v>546</v>
      </c>
      <c r="F136">
        <v>1</v>
      </c>
      <c r="G136">
        <v>135</v>
      </c>
      <c r="I136" t="s">
        <v>446</v>
      </c>
      <c r="J136" t="s">
        <v>447</v>
      </c>
      <c r="K136" t="s">
        <v>48</v>
      </c>
      <c r="L136" t="s">
        <v>448</v>
      </c>
      <c r="M136">
        <v>38441</v>
      </c>
      <c r="N136">
        <v>2</v>
      </c>
      <c r="O136" t="s">
        <v>902</v>
      </c>
      <c r="P136">
        <v>2</v>
      </c>
    </row>
    <row r="137" spans="1:16">
      <c r="A137" t="s">
        <v>544</v>
      </c>
      <c r="B137" t="s">
        <v>545</v>
      </c>
      <c r="C137">
        <v>2</v>
      </c>
      <c r="D137" t="s">
        <v>227</v>
      </c>
      <c r="E137" t="s">
        <v>546</v>
      </c>
      <c r="F137">
        <v>1</v>
      </c>
      <c r="G137">
        <v>136</v>
      </c>
      <c r="I137" t="s">
        <v>903</v>
      </c>
      <c r="J137" t="s">
        <v>904</v>
      </c>
      <c r="K137" t="s">
        <v>48</v>
      </c>
      <c r="L137" t="s">
        <v>905</v>
      </c>
      <c r="M137">
        <v>13010</v>
      </c>
      <c r="N137">
        <v>1</v>
      </c>
      <c r="O137" t="s">
        <v>906</v>
      </c>
      <c r="P137">
        <v>1</v>
      </c>
    </row>
    <row r="138" spans="1:16">
      <c r="A138" t="s">
        <v>544</v>
      </c>
      <c r="B138" t="s">
        <v>545</v>
      </c>
      <c r="C138">
        <v>2</v>
      </c>
      <c r="D138" t="s">
        <v>227</v>
      </c>
      <c r="E138" t="s">
        <v>546</v>
      </c>
      <c r="F138">
        <v>1</v>
      </c>
      <c r="G138">
        <v>137</v>
      </c>
      <c r="I138" t="s">
        <v>907</v>
      </c>
      <c r="J138" t="s">
        <v>908</v>
      </c>
      <c r="K138" t="s">
        <v>48</v>
      </c>
      <c r="L138" t="s">
        <v>909</v>
      </c>
      <c r="M138">
        <v>12579</v>
      </c>
      <c r="N138">
        <v>1</v>
      </c>
      <c r="O138" t="s">
        <v>910</v>
      </c>
      <c r="P138">
        <v>1</v>
      </c>
    </row>
    <row r="139" spans="1:16">
      <c r="A139" t="s">
        <v>544</v>
      </c>
      <c r="B139" t="s">
        <v>545</v>
      </c>
      <c r="C139">
        <v>2</v>
      </c>
      <c r="D139" t="s">
        <v>227</v>
      </c>
      <c r="E139" t="s">
        <v>546</v>
      </c>
      <c r="F139">
        <v>1</v>
      </c>
      <c r="G139">
        <v>138</v>
      </c>
      <c r="I139" t="s">
        <v>92</v>
      </c>
      <c r="J139" t="s">
        <v>911</v>
      </c>
      <c r="K139" t="s">
        <v>48</v>
      </c>
      <c r="L139" t="s">
        <v>912</v>
      </c>
      <c r="M139">
        <v>14916</v>
      </c>
      <c r="N139">
        <v>1</v>
      </c>
      <c r="O139" t="s">
        <v>913</v>
      </c>
      <c r="P139">
        <v>1</v>
      </c>
    </row>
    <row r="140" spans="1:16">
      <c r="A140" t="s">
        <v>544</v>
      </c>
      <c r="B140" t="s">
        <v>545</v>
      </c>
      <c r="C140">
        <v>2</v>
      </c>
      <c r="D140" t="s">
        <v>227</v>
      </c>
      <c r="E140" t="s">
        <v>546</v>
      </c>
      <c r="F140">
        <v>1</v>
      </c>
      <c r="G140">
        <v>139</v>
      </c>
      <c r="I140" t="s">
        <v>914</v>
      </c>
      <c r="J140" t="s">
        <v>915</v>
      </c>
      <c r="K140" t="s">
        <v>48</v>
      </c>
      <c r="L140" t="s">
        <v>916</v>
      </c>
      <c r="M140">
        <v>39517</v>
      </c>
      <c r="N140">
        <v>4</v>
      </c>
      <c r="O140" t="s">
        <v>917</v>
      </c>
      <c r="P140">
        <v>4</v>
      </c>
    </row>
    <row r="141" spans="1:16">
      <c r="A141" t="s">
        <v>544</v>
      </c>
      <c r="B141" t="s">
        <v>545</v>
      </c>
      <c r="C141">
        <v>2</v>
      </c>
      <c r="D141" t="s">
        <v>227</v>
      </c>
      <c r="E141" t="s">
        <v>546</v>
      </c>
      <c r="F141">
        <v>1</v>
      </c>
      <c r="G141">
        <v>140</v>
      </c>
      <c r="I141" t="s">
        <v>918</v>
      </c>
      <c r="J141" t="s">
        <v>919</v>
      </c>
      <c r="K141" t="s">
        <v>48</v>
      </c>
      <c r="L141" t="s">
        <v>920</v>
      </c>
      <c r="M141">
        <v>40119</v>
      </c>
      <c r="N141">
        <v>1</v>
      </c>
      <c r="O141" t="s">
        <v>921</v>
      </c>
      <c r="P141">
        <v>1</v>
      </c>
    </row>
    <row r="142" spans="1:16">
      <c r="A142" t="s">
        <v>544</v>
      </c>
      <c r="B142" t="s">
        <v>545</v>
      </c>
      <c r="C142">
        <v>2</v>
      </c>
      <c r="D142" t="s">
        <v>227</v>
      </c>
      <c r="E142" t="s">
        <v>546</v>
      </c>
      <c r="F142">
        <v>1</v>
      </c>
      <c r="G142">
        <v>141</v>
      </c>
      <c r="I142" t="s">
        <v>922</v>
      </c>
      <c r="J142" t="s">
        <v>923</v>
      </c>
      <c r="K142" t="s">
        <v>48</v>
      </c>
      <c r="L142" t="s">
        <v>924</v>
      </c>
      <c r="M142">
        <v>40276</v>
      </c>
      <c r="N142">
        <v>1</v>
      </c>
      <c r="O142" t="s">
        <v>925</v>
      </c>
      <c r="P142">
        <v>1</v>
      </c>
    </row>
    <row r="143" spans="1:16">
      <c r="A143" t="s">
        <v>544</v>
      </c>
      <c r="B143" t="s">
        <v>545</v>
      </c>
      <c r="C143">
        <v>2</v>
      </c>
      <c r="D143" t="s">
        <v>227</v>
      </c>
      <c r="E143" t="s">
        <v>546</v>
      </c>
      <c r="F143">
        <v>1</v>
      </c>
      <c r="G143">
        <v>142</v>
      </c>
      <c r="I143" t="s">
        <v>94</v>
      </c>
      <c r="J143" t="s">
        <v>95</v>
      </c>
      <c r="K143" t="s">
        <v>48</v>
      </c>
      <c r="L143" t="s">
        <v>96</v>
      </c>
      <c r="M143">
        <v>16369</v>
      </c>
      <c r="N143">
        <v>5</v>
      </c>
      <c r="O143" t="s">
        <v>926</v>
      </c>
      <c r="P143">
        <v>5</v>
      </c>
    </row>
    <row r="144" spans="1:16">
      <c r="A144" t="s">
        <v>544</v>
      </c>
      <c r="B144" t="s">
        <v>545</v>
      </c>
      <c r="C144">
        <v>2</v>
      </c>
      <c r="D144" t="s">
        <v>227</v>
      </c>
      <c r="E144" t="s">
        <v>546</v>
      </c>
      <c r="F144">
        <v>1</v>
      </c>
      <c r="G144">
        <v>143</v>
      </c>
      <c r="I144" t="s">
        <v>469</v>
      </c>
      <c r="J144" t="s">
        <v>927</v>
      </c>
      <c r="K144" t="s">
        <v>48</v>
      </c>
      <c r="L144" t="s">
        <v>928</v>
      </c>
      <c r="M144">
        <v>12438</v>
      </c>
      <c r="N144">
        <v>6</v>
      </c>
      <c r="O144" t="s">
        <v>929</v>
      </c>
      <c r="P144">
        <v>6</v>
      </c>
    </row>
    <row r="145" spans="1:16">
      <c r="A145" t="s">
        <v>544</v>
      </c>
      <c r="B145" t="s">
        <v>545</v>
      </c>
      <c r="C145">
        <v>2</v>
      </c>
      <c r="D145" t="s">
        <v>227</v>
      </c>
      <c r="E145" t="s">
        <v>546</v>
      </c>
      <c r="F145">
        <v>1</v>
      </c>
      <c r="G145">
        <v>144</v>
      </c>
      <c r="I145" t="s">
        <v>930</v>
      </c>
      <c r="J145" t="s">
        <v>931</v>
      </c>
      <c r="K145" t="s">
        <v>48</v>
      </c>
      <c r="L145" t="s">
        <v>932</v>
      </c>
      <c r="M145">
        <v>38138</v>
      </c>
      <c r="N145">
        <v>1</v>
      </c>
      <c r="O145" t="s">
        <v>933</v>
      </c>
      <c r="P145">
        <v>1</v>
      </c>
    </row>
    <row r="146" spans="1:16">
      <c r="A146" t="s">
        <v>544</v>
      </c>
      <c r="B146" t="s">
        <v>545</v>
      </c>
      <c r="C146">
        <v>2</v>
      </c>
      <c r="D146" t="s">
        <v>227</v>
      </c>
      <c r="E146" t="s">
        <v>546</v>
      </c>
      <c r="F146">
        <v>1</v>
      </c>
      <c r="G146">
        <v>145</v>
      </c>
      <c r="I146" t="s">
        <v>934</v>
      </c>
      <c r="J146" t="s">
        <v>935</v>
      </c>
      <c r="K146" t="s">
        <v>48</v>
      </c>
      <c r="L146" t="s">
        <v>936</v>
      </c>
      <c r="M146">
        <v>40679</v>
      </c>
      <c r="N146">
        <v>1</v>
      </c>
      <c r="O146" t="s">
        <v>937</v>
      </c>
      <c r="P146">
        <v>1</v>
      </c>
    </row>
    <row r="147" spans="1:16">
      <c r="A147" t="s">
        <v>544</v>
      </c>
      <c r="B147" t="s">
        <v>545</v>
      </c>
      <c r="C147">
        <v>2</v>
      </c>
      <c r="D147" t="s">
        <v>227</v>
      </c>
      <c r="E147" t="s">
        <v>546</v>
      </c>
      <c r="F147">
        <v>1</v>
      </c>
      <c r="G147">
        <v>146</v>
      </c>
      <c r="I147" t="s">
        <v>426</v>
      </c>
      <c r="J147" t="s">
        <v>938</v>
      </c>
      <c r="K147" t="s">
        <v>48</v>
      </c>
      <c r="L147" t="s">
        <v>939</v>
      </c>
      <c r="M147">
        <v>12227</v>
      </c>
      <c r="N147">
        <v>2</v>
      </c>
      <c r="O147" t="s">
        <v>940</v>
      </c>
      <c r="P147">
        <v>2</v>
      </c>
    </row>
    <row r="148" spans="1:16">
      <c r="A148" t="s">
        <v>544</v>
      </c>
      <c r="B148" t="s">
        <v>545</v>
      </c>
      <c r="C148">
        <v>2</v>
      </c>
      <c r="D148" t="s">
        <v>227</v>
      </c>
      <c r="E148" t="s">
        <v>546</v>
      </c>
      <c r="F148">
        <v>1</v>
      </c>
      <c r="G148">
        <v>147</v>
      </c>
      <c r="I148" t="s">
        <v>460</v>
      </c>
      <c r="J148" t="s">
        <v>461</v>
      </c>
      <c r="K148" t="s">
        <v>48</v>
      </c>
      <c r="L148" t="s">
        <v>462</v>
      </c>
      <c r="M148">
        <v>37923</v>
      </c>
      <c r="N148">
        <v>1</v>
      </c>
      <c r="O148" t="s">
        <v>941</v>
      </c>
      <c r="P148">
        <v>1</v>
      </c>
    </row>
    <row r="149" spans="1:16">
      <c r="A149" t="s">
        <v>544</v>
      </c>
      <c r="B149" t="s">
        <v>545</v>
      </c>
      <c r="C149">
        <v>2</v>
      </c>
      <c r="D149" t="s">
        <v>227</v>
      </c>
      <c r="E149" t="s">
        <v>546</v>
      </c>
      <c r="F149">
        <v>1</v>
      </c>
      <c r="G149">
        <v>148</v>
      </c>
      <c r="I149" t="s">
        <v>942</v>
      </c>
      <c r="J149" t="s">
        <v>943</v>
      </c>
      <c r="K149" t="s">
        <v>48</v>
      </c>
      <c r="L149" t="s">
        <v>944</v>
      </c>
      <c r="M149">
        <v>12187</v>
      </c>
      <c r="N149">
        <v>2</v>
      </c>
      <c r="O149" t="s">
        <v>945</v>
      </c>
      <c r="P149">
        <v>2</v>
      </c>
    </row>
    <row r="150" spans="1:16">
      <c r="A150" t="s">
        <v>544</v>
      </c>
      <c r="B150" t="s">
        <v>545</v>
      </c>
      <c r="C150">
        <v>2</v>
      </c>
      <c r="D150" t="s">
        <v>227</v>
      </c>
      <c r="E150" t="s">
        <v>546</v>
      </c>
      <c r="F150">
        <v>1</v>
      </c>
      <c r="G150">
        <v>149</v>
      </c>
      <c r="I150" t="s">
        <v>942</v>
      </c>
      <c r="J150" t="s">
        <v>946</v>
      </c>
      <c r="K150" t="s">
        <v>48</v>
      </c>
      <c r="L150" t="s">
        <v>947</v>
      </c>
      <c r="M150">
        <v>37732</v>
      </c>
      <c r="N150">
        <v>1</v>
      </c>
      <c r="O150" t="s">
        <v>948</v>
      </c>
      <c r="P150">
        <v>1</v>
      </c>
    </row>
    <row r="151" spans="1:16">
      <c r="A151" t="s">
        <v>544</v>
      </c>
      <c r="B151" t="s">
        <v>545</v>
      </c>
      <c r="C151">
        <v>2</v>
      </c>
      <c r="D151" t="s">
        <v>227</v>
      </c>
      <c r="E151" t="s">
        <v>546</v>
      </c>
      <c r="F151">
        <v>1</v>
      </c>
      <c r="G151">
        <v>150</v>
      </c>
      <c r="I151" t="s">
        <v>949</v>
      </c>
      <c r="J151" t="s">
        <v>950</v>
      </c>
      <c r="K151" t="s">
        <v>48</v>
      </c>
      <c r="L151" t="s">
        <v>951</v>
      </c>
      <c r="M151">
        <v>40638</v>
      </c>
      <c r="N151">
        <v>1</v>
      </c>
      <c r="O151" t="s">
        <v>952</v>
      </c>
      <c r="P151">
        <v>1</v>
      </c>
    </row>
    <row r="152" spans="1:16">
      <c r="A152" t="s">
        <v>544</v>
      </c>
      <c r="B152" t="s">
        <v>545</v>
      </c>
      <c r="C152">
        <v>2</v>
      </c>
      <c r="D152" t="s">
        <v>227</v>
      </c>
      <c r="E152" t="s">
        <v>546</v>
      </c>
      <c r="F152">
        <v>1</v>
      </c>
      <c r="G152">
        <v>151</v>
      </c>
      <c r="I152" t="s">
        <v>953</v>
      </c>
      <c r="J152" t="s">
        <v>954</v>
      </c>
      <c r="K152" t="s">
        <v>48</v>
      </c>
      <c r="L152" t="s">
        <v>955</v>
      </c>
      <c r="M152">
        <v>19035</v>
      </c>
      <c r="N152">
        <v>2</v>
      </c>
      <c r="O152" t="s">
        <v>956</v>
      </c>
      <c r="P152">
        <v>2</v>
      </c>
    </row>
    <row r="153" spans="1:16">
      <c r="A153" t="s">
        <v>544</v>
      </c>
      <c r="B153" t="s">
        <v>545</v>
      </c>
      <c r="C153">
        <v>2</v>
      </c>
      <c r="D153" t="s">
        <v>227</v>
      </c>
      <c r="E153" t="s">
        <v>546</v>
      </c>
      <c r="F153">
        <v>1</v>
      </c>
      <c r="G153">
        <v>152</v>
      </c>
      <c r="I153" t="s">
        <v>420</v>
      </c>
      <c r="J153" t="s">
        <v>957</v>
      </c>
      <c r="K153" t="s">
        <v>48</v>
      </c>
      <c r="L153" t="s">
        <v>958</v>
      </c>
      <c r="M153">
        <v>12696</v>
      </c>
      <c r="N153">
        <v>1</v>
      </c>
      <c r="O153" t="s">
        <v>959</v>
      </c>
      <c r="P153">
        <v>1</v>
      </c>
    </row>
    <row r="154" spans="1:16">
      <c r="A154" t="s">
        <v>544</v>
      </c>
      <c r="B154" t="s">
        <v>545</v>
      </c>
      <c r="C154">
        <v>2</v>
      </c>
      <c r="D154" t="s">
        <v>227</v>
      </c>
      <c r="E154" t="s">
        <v>546</v>
      </c>
      <c r="F154">
        <v>1</v>
      </c>
      <c r="G154">
        <v>153</v>
      </c>
      <c r="I154" t="s">
        <v>480</v>
      </c>
      <c r="J154" t="s">
        <v>960</v>
      </c>
      <c r="K154" t="s">
        <v>48</v>
      </c>
      <c r="L154" t="s">
        <v>961</v>
      </c>
      <c r="M154">
        <v>12560</v>
      </c>
      <c r="N154">
        <v>6</v>
      </c>
      <c r="O154" t="s">
        <v>962</v>
      </c>
      <c r="P154">
        <v>6</v>
      </c>
    </row>
    <row r="155" spans="1:16">
      <c r="A155" t="s">
        <v>544</v>
      </c>
      <c r="B155" t="s">
        <v>545</v>
      </c>
      <c r="C155">
        <v>2</v>
      </c>
      <c r="D155" t="s">
        <v>227</v>
      </c>
      <c r="E155" t="s">
        <v>546</v>
      </c>
      <c r="F155">
        <v>1</v>
      </c>
      <c r="G155">
        <v>154</v>
      </c>
      <c r="I155" t="s">
        <v>963</v>
      </c>
      <c r="J155" t="s">
        <v>964</v>
      </c>
      <c r="K155" t="s">
        <v>270</v>
      </c>
      <c r="L155" t="s">
        <v>965</v>
      </c>
      <c r="M155">
        <v>10471</v>
      </c>
      <c r="N155">
        <v>2</v>
      </c>
      <c r="O155" t="s">
        <v>966</v>
      </c>
      <c r="P155">
        <v>2</v>
      </c>
    </row>
    <row r="156" spans="1:16">
      <c r="A156" t="s">
        <v>544</v>
      </c>
      <c r="B156" t="s">
        <v>545</v>
      </c>
      <c r="C156">
        <v>2</v>
      </c>
      <c r="D156" t="s">
        <v>227</v>
      </c>
      <c r="E156" t="s">
        <v>546</v>
      </c>
      <c r="F156">
        <v>1</v>
      </c>
      <c r="G156">
        <v>155</v>
      </c>
      <c r="I156" t="s">
        <v>967</v>
      </c>
      <c r="J156" t="s">
        <v>968</v>
      </c>
      <c r="K156" t="s">
        <v>48</v>
      </c>
      <c r="L156" t="s">
        <v>969</v>
      </c>
      <c r="M156">
        <v>14869</v>
      </c>
      <c r="N156">
        <v>1</v>
      </c>
      <c r="O156" t="s">
        <v>970</v>
      </c>
      <c r="P156">
        <v>1</v>
      </c>
    </row>
    <row r="157" spans="1:16">
      <c r="A157" t="s">
        <v>544</v>
      </c>
      <c r="B157" t="s">
        <v>545</v>
      </c>
      <c r="C157">
        <v>2</v>
      </c>
      <c r="D157" t="s">
        <v>227</v>
      </c>
      <c r="E157" t="s">
        <v>546</v>
      </c>
      <c r="F157">
        <v>1</v>
      </c>
      <c r="G157">
        <v>156</v>
      </c>
      <c r="I157" t="s">
        <v>971</v>
      </c>
      <c r="J157" t="s">
        <v>972</v>
      </c>
      <c r="K157" t="s">
        <v>48</v>
      </c>
      <c r="L157" t="s">
        <v>973</v>
      </c>
      <c r="M157">
        <v>15156</v>
      </c>
      <c r="N157">
        <v>1</v>
      </c>
      <c r="O157" t="s">
        <v>974</v>
      </c>
      <c r="P157">
        <v>1</v>
      </c>
    </row>
    <row r="158" spans="1:16">
      <c r="A158" t="s">
        <v>544</v>
      </c>
      <c r="B158" t="s">
        <v>545</v>
      </c>
      <c r="C158">
        <v>2</v>
      </c>
      <c r="D158" t="s">
        <v>227</v>
      </c>
      <c r="E158" t="s">
        <v>546</v>
      </c>
      <c r="F158">
        <v>1</v>
      </c>
      <c r="G158">
        <v>157</v>
      </c>
      <c r="I158" t="s">
        <v>975</v>
      </c>
      <c r="J158" t="s">
        <v>976</v>
      </c>
      <c r="K158" t="s">
        <v>48</v>
      </c>
      <c r="L158" t="s">
        <v>977</v>
      </c>
      <c r="M158">
        <v>15557</v>
      </c>
      <c r="N158">
        <v>1</v>
      </c>
      <c r="O158" t="s">
        <v>978</v>
      </c>
      <c r="P158">
        <v>1</v>
      </c>
    </row>
    <row r="159" spans="1:16">
      <c r="A159" t="s">
        <v>544</v>
      </c>
      <c r="B159" t="s">
        <v>545</v>
      </c>
      <c r="C159">
        <v>2</v>
      </c>
      <c r="D159" t="s">
        <v>227</v>
      </c>
      <c r="E159" t="s">
        <v>546</v>
      </c>
      <c r="F159">
        <v>1</v>
      </c>
      <c r="G159">
        <v>158</v>
      </c>
      <c r="I159" t="s">
        <v>979</v>
      </c>
      <c r="J159" t="s">
        <v>980</v>
      </c>
      <c r="K159" t="s">
        <v>48</v>
      </c>
      <c r="L159" t="s">
        <v>981</v>
      </c>
      <c r="M159">
        <v>15192</v>
      </c>
      <c r="N159">
        <v>1</v>
      </c>
      <c r="O159" t="s">
        <v>982</v>
      </c>
      <c r="P159">
        <v>1</v>
      </c>
    </row>
    <row r="160" spans="1:16">
      <c r="A160" t="s">
        <v>544</v>
      </c>
      <c r="B160" t="s">
        <v>545</v>
      </c>
      <c r="C160">
        <v>2</v>
      </c>
      <c r="D160" t="s">
        <v>227</v>
      </c>
      <c r="E160" t="s">
        <v>546</v>
      </c>
      <c r="F160">
        <v>1</v>
      </c>
      <c r="G160">
        <v>159</v>
      </c>
      <c r="I160" t="s">
        <v>983</v>
      </c>
      <c r="J160" t="s">
        <v>984</v>
      </c>
      <c r="K160" t="s">
        <v>48</v>
      </c>
      <c r="L160" t="s">
        <v>985</v>
      </c>
      <c r="M160">
        <v>39917</v>
      </c>
      <c r="N160">
        <v>1</v>
      </c>
      <c r="O160" t="s">
        <v>986</v>
      </c>
      <c r="P160">
        <v>1</v>
      </c>
    </row>
    <row r="161" spans="1:16">
      <c r="A161" t="s">
        <v>544</v>
      </c>
      <c r="B161" t="s">
        <v>545</v>
      </c>
      <c r="C161">
        <v>2</v>
      </c>
      <c r="D161" t="s">
        <v>227</v>
      </c>
      <c r="E161" t="s">
        <v>546</v>
      </c>
      <c r="F161">
        <v>1</v>
      </c>
      <c r="G161">
        <v>160</v>
      </c>
      <c r="I161" t="s">
        <v>987</v>
      </c>
      <c r="J161" t="s">
        <v>988</v>
      </c>
      <c r="K161" t="s">
        <v>48</v>
      </c>
      <c r="L161" t="s">
        <v>989</v>
      </c>
      <c r="M161">
        <v>15378</v>
      </c>
      <c r="N161">
        <v>1</v>
      </c>
      <c r="O161" t="s">
        <v>990</v>
      </c>
      <c r="P161">
        <v>1</v>
      </c>
    </row>
    <row r="162" spans="1:16">
      <c r="A162" t="s">
        <v>544</v>
      </c>
      <c r="B162" t="s">
        <v>545</v>
      </c>
      <c r="C162">
        <v>2</v>
      </c>
      <c r="D162" t="s">
        <v>227</v>
      </c>
      <c r="E162" t="s">
        <v>546</v>
      </c>
      <c r="F162">
        <v>1</v>
      </c>
      <c r="G162">
        <v>161</v>
      </c>
      <c r="I162" t="s">
        <v>991</v>
      </c>
      <c r="J162" t="s">
        <v>992</v>
      </c>
      <c r="K162" t="s">
        <v>48</v>
      </c>
      <c r="L162" t="s">
        <v>993</v>
      </c>
      <c r="M162">
        <v>17647</v>
      </c>
      <c r="N162">
        <v>1</v>
      </c>
      <c r="O162" t="s">
        <v>994</v>
      </c>
      <c r="P162">
        <v>1</v>
      </c>
    </row>
    <row r="163" spans="1:16">
      <c r="A163" t="s">
        <v>544</v>
      </c>
      <c r="B163" t="s">
        <v>545</v>
      </c>
      <c r="C163">
        <v>2</v>
      </c>
      <c r="D163" t="s">
        <v>227</v>
      </c>
      <c r="E163" t="s">
        <v>546</v>
      </c>
      <c r="F163">
        <v>1</v>
      </c>
      <c r="G163">
        <v>162</v>
      </c>
      <c r="I163" t="s">
        <v>995</v>
      </c>
      <c r="J163" t="s">
        <v>996</v>
      </c>
      <c r="K163" t="s">
        <v>48</v>
      </c>
      <c r="L163" t="s">
        <v>997</v>
      </c>
      <c r="M163">
        <v>15214</v>
      </c>
      <c r="N163">
        <v>1</v>
      </c>
      <c r="O163" t="s">
        <v>998</v>
      </c>
      <c r="P163">
        <v>1</v>
      </c>
    </row>
    <row r="164" spans="1:16">
      <c r="A164" t="s">
        <v>544</v>
      </c>
      <c r="B164" t="s">
        <v>545</v>
      </c>
      <c r="C164">
        <v>2</v>
      </c>
      <c r="D164" t="s">
        <v>227</v>
      </c>
      <c r="E164" t="s">
        <v>546</v>
      </c>
      <c r="F164">
        <v>1</v>
      </c>
      <c r="G164">
        <v>163</v>
      </c>
      <c r="I164" t="s">
        <v>999</v>
      </c>
      <c r="J164" t="s">
        <v>1000</v>
      </c>
      <c r="K164" t="s">
        <v>48</v>
      </c>
      <c r="L164" t="s">
        <v>1001</v>
      </c>
      <c r="M164">
        <v>18209</v>
      </c>
      <c r="N164">
        <v>1</v>
      </c>
      <c r="O164" t="s">
        <v>1002</v>
      </c>
      <c r="P164">
        <v>1</v>
      </c>
    </row>
    <row r="165" spans="1:16">
      <c r="A165" t="s">
        <v>544</v>
      </c>
      <c r="B165" t="s">
        <v>545</v>
      </c>
      <c r="C165">
        <v>2</v>
      </c>
      <c r="D165" t="s">
        <v>227</v>
      </c>
      <c r="E165" t="s">
        <v>546</v>
      </c>
      <c r="F165">
        <v>1</v>
      </c>
      <c r="G165">
        <v>164</v>
      </c>
      <c r="I165" t="s">
        <v>1003</v>
      </c>
      <c r="J165" t="s">
        <v>1004</v>
      </c>
      <c r="K165" t="s">
        <v>48</v>
      </c>
      <c r="L165" t="s">
        <v>1005</v>
      </c>
      <c r="M165">
        <v>39777</v>
      </c>
      <c r="N165">
        <v>1</v>
      </c>
      <c r="O165" t="s">
        <v>1006</v>
      </c>
      <c r="P165">
        <v>1</v>
      </c>
    </row>
    <row r="166" spans="1:16">
      <c r="A166" t="s">
        <v>544</v>
      </c>
      <c r="B166" t="s">
        <v>545</v>
      </c>
      <c r="C166">
        <v>2</v>
      </c>
      <c r="D166" t="s">
        <v>227</v>
      </c>
      <c r="E166" t="s">
        <v>546</v>
      </c>
      <c r="F166">
        <v>1</v>
      </c>
      <c r="G166">
        <v>165</v>
      </c>
      <c r="I166" t="s">
        <v>1007</v>
      </c>
      <c r="J166" t="s">
        <v>1008</v>
      </c>
      <c r="K166" t="s">
        <v>48</v>
      </c>
      <c r="L166" t="s">
        <v>1009</v>
      </c>
      <c r="M166">
        <v>39598</v>
      </c>
      <c r="N166">
        <v>2</v>
      </c>
      <c r="O166" t="s">
        <v>1010</v>
      </c>
      <c r="P166">
        <v>2</v>
      </c>
    </row>
    <row r="167" spans="1:16">
      <c r="A167" t="s">
        <v>544</v>
      </c>
      <c r="B167" t="s">
        <v>545</v>
      </c>
      <c r="C167">
        <v>2</v>
      </c>
      <c r="D167" t="s">
        <v>227</v>
      </c>
      <c r="E167" t="s">
        <v>546</v>
      </c>
      <c r="F167">
        <v>1</v>
      </c>
      <c r="G167">
        <v>166</v>
      </c>
      <c r="I167" t="s">
        <v>1011</v>
      </c>
      <c r="J167" t="s">
        <v>1012</v>
      </c>
      <c r="K167" t="s">
        <v>48</v>
      </c>
      <c r="L167" t="s">
        <v>1013</v>
      </c>
      <c r="M167">
        <v>38157</v>
      </c>
      <c r="N167">
        <v>1</v>
      </c>
      <c r="O167" t="s">
        <v>1014</v>
      </c>
      <c r="P167">
        <v>1</v>
      </c>
    </row>
    <row r="168" spans="1:16">
      <c r="A168" t="s">
        <v>544</v>
      </c>
      <c r="B168" t="s">
        <v>545</v>
      </c>
      <c r="C168">
        <v>2</v>
      </c>
      <c r="D168" t="s">
        <v>227</v>
      </c>
      <c r="E168" t="s">
        <v>546</v>
      </c>
      <c r="F168">
        <v>1</v>
      </c>
      <c r="G168">
        <v>167</v>
      </c>
      <c r="I168" t="s">
        <v>491</v>
      </c>
      <c r="J168" t="s">
        <v>492</v>
      </c>
      <c r="K168" t="s">
        <v>48</v>
      </c>
      <c r="L168" t="s">
        <v>493</v>
      </c>
      <c r="M168">
        <v>42543</v>
      </c>
      <c r="N168">
        <v>1</v>
      </c>
      <c r="O168" t="s">
        <v>1015</v>
      </c>
      <c r="P168">
        <v>1</v>
      </c>
    </row>
    <row r="169" spans="1:16">
      <c r="A169" t="s">
        <v>544</v>
      </c>
      <c r="B169" t="s">
        <v>545</v>
      </c>
      <c r="C169">
        <v>2</v>
      </c>
      <c r="D169" t="s">
        <v>227</v>
      </c>
      <c r="E169" t="s">
        <v>546</v>
      </c>
      <c r="F169">
        <v>1</v>
      </c>
      <c r="G169">
        <v>168</v>
      </c>
      <c r="I169" t="s">
        <v>120</v>
      </c>
      <c r="J169" t="s">
        <v>121</v>
      </c>
      <c r="K169" t="s">
        <v>122</v>
      </c>
      <c r="L169" t="s">
        <v>123</v>
      </c>
      <c r="M169">
        <v>10350</v>
      </c>
      <c r="N169">
        <v>7</v>
      </c>
      <c r="O169" t="s">
        <v>1016</v>
      </c>
      <c r="P169">
        <v>7</v>
      </c>
    </row>
    <row r="170" spans="1:16">
      <c r="A170" t="s">
        <v>544</v>
      </c>
      <c r="B170" t="s">
        <v>545</v>
      </c>
      <c r="C170">
        <v>2</v>
      </c>
      <c r="D170" t="s">
        <v>227</v>
      </c>
      <c r="E170" t="s">
        <v>546</v>
      </c>
      <c r="F170">
        <v>1</v>
      </c>
      <c r="G170">
        <v>169</v>
      </c>
      <c r="I170" t="s">
        <v>124</v>
      </c>
      <c r="J170" t="s">
        <v>125</v>
      </c>
      <c r="K170" t="s">
        <v>126</v>
      </c>
      <c r="L170" t="s">
        <v>127</v>
      </c>
      <c r="M170">
        <v>33785</v>
      </c>
      <c r="N170">
        <v>2</v>
      </c>
      <c r="O170" t="s">
        <v>1017</v>
      </c>
      <c r="P170">
        <v>2</v>
      </c>
    </row>
    <row r="171" spans="1:16">
      <c r="A171" t="s">
        <v>544</v>
      </c>
      <c r="B171" t="s">
        <v>545</v>
      </c>
      <c r="C171">
        <v>2</v>
      </c>
      <c r="D171" t="s">
        <v>227</v>
      </c>
      <c r="E171" t="s">
        <v>546</v>
      </c>
      <c r="F171">
        <v>1</v>
      </c>
      <c r="G171">
        <v>170</v>
      </c>
      <c r="I171" t="s">
        <v>1018</v>
      </c>
      <c r="J171" t="s">
        <v>1019</v>
      </c>
      <c r="K171" t="s">
        <v>126</v>
      </c>
      <c r="L171" t="s">
        <v>1020</v>
      </c>
      <c r="M171">
        <v>42602</v>
      </c>
      <c r="N171">
        <v>2</v>
      </c>
      <c r="O171" t="s">
        <v>1021</v>
      </c>
      <c r="P171">
        <v>2</v>
      </c>
    </row>
    <row r="172" spans="1:16">
      <c r="A172" t="s">
        <v>544</v>
      </c>
      <c r="B172" t="s">
        <v>545</v>
      </c>
      <c r="C172">
        <v>2</v>
      </c>
      <c r="D172" t="s">
        <v>227</v>
      </c>
      <c r="E172" t="s">
        <v>546</v>
      </c>
      <c r="F172">
        <v>1</v>
      </c>
      <c r="G172">
        <v>171</v>
      </c>
      <c r="I172" t="s">
        <v>506</v>
      </c>
      <c r="J172" t="s">
        <v>507</v>
      </c>
      <c r="K172" t="s">
        <v>324</v>
      </c>
      <c r="L172" t="s">
        <v>508</v>
      </c>
      <c r="M172">
        <v>42495</v>
      </c>
      <c r="N172">
        <v>11</v>
      </c>
      <c r="O172" t="s">
        <v>1022</v>
      </c>
      <c r="P172">
        <v>11</v>
      </c>
    </row>
    <row r="173" spans="1:16">
      <c r="A173" t="s">
        <v>544</v>
      </c>
      <c r="B173" t="s">
        <v>545</v>
      </c>
      <c r="C173">
        <v>2</v>
      </c>
      <c r="D173" t="s">
        <v>227</v>
      </c>
      <c r="E173" t="s">
        <v>546</v>
      </c>
      <c r="F173">
        <v>1</v>
      </c>
      <c r="G173">
        <v>172</v>
      </c>
      <c r="I173" t="s">
        <v>110</v>
      </c>
      <c r="J173" t="s">
        <v>111</v>
      </c>
      <c r="K173" t="s">
        <v>108</v>
      </c>
      <c r="L173" t="s">
        <v>112</v>
      </c>
      <c r="M173">
        <v>5636</v>
      </c>
      <c r="N173">
        <v>2</v>
      </c>
      <c r="O173" t="s">
        <v>1023</v>
      </c>
      <c r="P173">
        <v>2</v>
      </c>
    </row>
    <row r="174" spans="1:16">
      <c r="A174" t="s">
        <v>544</v>
      </c>
      <c r="B174" t="s">
        <v>545</v>
      </c>
      <c r="C174">
        <v>2</v>
      </c>
      <c r="D174" t="s">
        <v>227</v>
      </c>
      <c r="E174" t="s">
        <v>546</v>
      </c>
      <c r="F174">
        <v>1</v>
      </c>
      <c r="G174">
        <v>173</v>
      </c>
      <c r="I174" t="s">
        <v>497</v>
      </c>
      <c r="J174" t="s">
        <v>498</v>
      </c>
      <c r="K174" t="s">
        <v>499</v>
      </c>
      <c r="L174" t="s">
        <v>500</v>
      </c>
      <c r="M174">
        <v>42606</v>
      </c>
      <c r="N174">
        <v>2</v>
      </c>
      <c r="O174" t="s">
        <v>1024</v>
      </c>
      <c r="P174">
        <v>2</v>
      </c>
    </row>
    <row r="175" spans="1:16">
      <c r="A175" t="s">
        <v>544</v>
      </c>
      <c r="B175" t="s">
        <v>545</v>
      </c>
      <c r="C175">
        <v>2</v>
      </c>
      <c r="D175" t="s">
        <v>227</v>
      </c>
      <c r="E175" t="s">
        <v>546</v>
      </c>
      <c r="F175">
        <v>1</v>
      </c>
      <c r="G175">
        <v>174</v>
      </c>
      <c r="I175" t="s">
        <v>1025</v>
      </c>
      <c r="J175" t="s">
        <v>1026</v>
      </c>
      <c r="K175" t="s">
        <v>1027</v>
      </c>
      <c r="L175" t="s">
        <v>1028</v>
      </c>
      <c r="M175">
        <v>33790</v>
      </c>
      <c r="N175">
        <v>1</v>
      </c>
      <c r="O175" t="s">
        <v>1029</v>
      </c>
      <c r="P175">
        <v>1</v>
      </c>
    </row>
    <row r="176" spans="1:16">
      <c r="A176" t="s">
        <v>544</v>
      </c>
      <c r="B176" t="s">
        <v>545</v>
      </c>
      <c r="C176">
        <v>2</v>
      </c>
      <c r="D176" t="s">
        <v>227</v>
      </c>
      <c r="E176" t="s">
        <v>546</v>
      </c>
      <c r="F176">
        <v>1</v>
      </c>
      <c r="G176">
        <v>175</v>
      </c>
      <c r="I176" t="s">
        <v>1030</v>
      </c>
      <c r="J176" t="s">
        <v>1031</v>
      </c>
      <c r="K176" t="s">
        <v>324</v>
      </c>
      <c r="L176" t="s">
        <v>1032</v>
      </c>
      <c r="M176">
        <v>42528</v>
      </c>
      <c r="N176">
        <v>2</v>
      </c>
      <c r="O176" t="s">
        <v>1033</v>
      </c>
      <c r="P176">
        <v>2</v>
      </c>
    </row>
    <row r="177" spans="1:16">
      <c r="A177" t="s">
        <v>544</v>
      </c>
      <c r="B177" t="s">
        <v>545</v>
      </c>
      <c r="C177">
        <v>2</v>
      </c>
      <c r="D177" t="s">
        <v>227</v>
      </c>
      <c r="E177" t="s">
        <v>546</v>
      </c>
      <c r="F177">
        <v>1</v>
      </c>
      <c r="G177">
        <v>176</v>
      </c>
      <c r="I177" t="s">
        <v>1034</v>
      </c>
      <c r="J177" t="s">
        <v>1035</v>
      </c>
      <c r="K177" t="s">
        <v>499</v>
      </c>
      <c r="L177" t="s">
        <v>1036</v>
      </c>
      <c r="M177">
        <v>33832</v>
      </c>
      <c r="N177">
        <v>2</v>
      </c>
      <c r="O177" t="s">
        <v>1037</v>
      </c>
      <c r="P177">
        <v>2</v>
      </c>
    </row>
    <row r="178" spans="1:16">
      <c r="A178" t="s">
        <v>544</v>
      </c>
      <c r="B178" t="s">
        <v>545</v>
      </c>
      <c r="C178">
        <v>2</v>
      </c>
      <c r="D178" t="s">
        <v>227</v>
      </c>
      <c r="E178" t="s">
        <v>546</v>
      </c>
      <c r="F178">
        <v>1</v>
      </c>
      <c r="G178">
        <v>177</v>
      </c>
      <c r="I178" t="s">
        <v>1038</v>
      </c>
      <c r="J178" t="s">
        <v>1039</v>
      </c>
      <c r="K178" t="s">
        <v>1040</v>
      </c>
      <c r="L178" t="s">
        <v>1041</v>
      </c>
      <c r="M178">
        <v>10387</v>
      </c>
      <c r="N178">
        <v>2</v>
      </c>
      <c r="O178" t="s">
        <v>1042</v>
      </c>
      <c r="P178">
        <v>2</v>
      </c>
    </row>
    <row r="179" spans="1:16">
      <c r="A179" t="s">
        <v>544</v>
      </c>
      <c r="B179" t="s">
        <v>545</v>
      </c>
      <c r="C179">
        <v>2</v>
      </c>
      <c r="D179" t="s">
        <v>227</v>
      </c>
      <c r="E179" t="s">
        <v>546</v>
      </c>
      <c r="F179">
        <v>1</v>
      </c>
      <c r="G179">
        <v>178</v>
      </c>
      <c r="I179" t="s">
        <v>1043</v>
      </c>
      <c r="J179" t="s">
        <v>1044</v>
      </c>
      <c r="K179" t="s">
        <v>122</v>
      </c>
      <c r="L179" t="s">
        <v>1045</v>
      </c>
      <c r="M179">
        <v>10351</v>
      </c>
      <c r="N179">
        <v>4</v>
      </c>
      <c r="O179" t="s">
        <v>1046</v>
      </c>
      <c r="P179">
        <v>4</v>
      </c>
    </row>
    <row r="180" spans="1:16">
      <c r="A180" t="s">
        <v>544</v>
      </c>
      <c r="B180" t="s">
        <v>545</v>
      </c>
      <c r="C180">
        <v>2</v>
      </c>
      <c r="D180" t="s">
        <v>227</v>
      </c>
      <c r="E180" t="s">
        <v>546</v>
      </c>
      <c r="F180">
        <v>1</v>
      </c>
      <c r="G180">
        <v>179</v>
      </c>
      <c r="I180" t="s">
        <v>1047</v>
      </c>
      <c r="J180" t="s">
        <v>1048</v>
      </c>
      <c r="K180" t="s">
        <v>1049</v>
      </c>
      <c r="L180" t="s">
        <v>1050</v>
      </c>
      <c r="M180">
        <v>10464</v>
      </c>
      <c r="N180">
        <v>1</v>
      </c>
      <c r="O180" t="s">
        <v>1051</v>
      </c>
      <c r="P180">
        <v>1</v>
      </c>
    </row>
    <row r="181" spans="1:16">
      <c r="A181" t="s">
        <v>544</v>
      </c>
      <c r="B181" t="s">
        <v>545</v>
      </c>
      <c r="C181">
        <v>2</v>
      </c>
      <c r="D181" t="s">
        <v>227</v>
      </c>
      <c r="E181" t="s">
        <v>546</v>
      </c>
      <c r="F181">
        <v>1</v>
      </c>
      <c r="G181">
        <v>180</v>
      </c>
      <c r="I181" t="s">
        <v>1052</v>
      </c>
      <c r="J181" t="s">
        <v>1053</v>
      </c>
      <c r="K181" t="s">
        <v>1049</v>
      </c>
      <c r="L181" t="s">
        <v>1054</v>
      </c>
      <c r="M181">
        <v>10463</v>
      </c>
      <c r="N181">
        <v>1</v>
      </c>
      <c r="O181" t="s">
        <v>1055</v>
      </c>
      <c r="P181">
        <v>1</v>
      </c>
    </row>
    <row r="182" spans="1:16">
      <c r="A182" t="s">
        <v>544</v>
      </c>
      <c r="B182" t="s">
        <v>545</v>
      </c>
      <c r="C182">
        <v>2</v>
      </c>
      <c r="D182" t="s">
        <v>227</v>
      </c>
      <c r="E182" t="s">
        <v>546</v>
      </c>
      <c r="F182">
        <v>1</v>
      </c>
      <c r="G182">
        <v>181</v>
      </c>
      <c r="I182" t="s">
        <v>1056</v>
      </c>
      <c r="J182" t="s">
        <v>1057</v>
      </c>
      <c r="K182" t="s">
        <v>1049</v>
      </c>
      <c r="L182" t="s">
        <v>1058</v>
      </c>
      <c r="M182">
        <v>42530</v>
      </c>
      <c r="N182">
        <v>1</v>
      </c>
      <c r="O182" t="s">
        <v>1059</v>
      </c>
      <c r="P182">
        <v>1</v>
      </c>
    </row>
    <row r="183" spans="1:16">
      <c r="A183" t="s">
        <v>544</v>
      </c>
      <c r="B183" t="s">
        <v>545</v>
      </c>
      <c r="C183">
        <v>2</v>
      </c>
      <c r="D183" t="s">
        <v>227</v>
      </c>
      <c r="E183" t="s">
        <v>546</v>
      </c>
      <c r="F183">
        <v>1</v>
      </c>
      <c r="G183">
        <v>182</v>
      </c>
      <c r="I183" t="s">
        <v>1060</v>
      </c>
      <c r="J183" t="s">
        <v>1061</v>
      </c>
      <c r="K183" t="s">
        <v>1049</v>
      </c>
      <c r="L183" t="s">
        <v>1062</v>
      </c>
      <c r="M183">
        <v>10476</v>
      </c>
      <c r="N183">
        <v>1</v>
      </c>
      <c r="O183" t="s">
        <v>1063</v>
      </c>
      <c r="P183">
        <v>1</v>
      </c>
    </row>
    <row r="184" spans="1:16">
      <c r="A184" t="s">
        <v>544</v>
      </c>
      <c r="B184" t="s">
        <v>545</v>
      </c>
      <c r="C184">
        <v>2</v>
      </c>
      <c r="D184" t="s">
        <v>227</v>
      </c>
      <c r="E184" t="s">
        <v>546</v>
      </c>
      <c r="F184">
        <v>1</v>
      </c>
      <c r="G184">
        <v>183</v>
      </c>
      <c r="I184" t="s">
        <v>1064</v>
      </c>
      <c r="J184" t="s">
        <v>1065</v>
      </c>
      <c r="K184" t="s">
        <v>514</v>
      </c>
      <c r="L184" t="s">
        <v>1066</v>
      </c>
      <c r="M184">
        <v>42444</v>
      </c>
      <c r="N184">
        <v>1</v>
      </c>
      <c r="O184" t="s">
        <v>516</v>
      </c>
      <c r="P184">
        <v>1</v>
      </c>
    </row>
    <row r="185" spans="1:16">
      <c r="A185" t="s">
        <v>544</v>
      </c>
      <c r="B185" t="s">
        <v>545</v>
      </c>
      <c r="C185">
        <v>2</v>
      </c>
      <c r="D185" t="s">
        <v>227</v>
      </c>
      <c r="E185" t="s">
        <v>546</v>
      </c>
      <c r="F185">
        <v>1</v>
      </c>
      <c r="G185">
        <v>184</v>
      </c>
      <c r="I185" t="s">
        <v>520</v>
      </c>
      <c r="J185" t="s">
        <v>521</v>
      </c>
      <c r="K185" t="s">
        <v>522</v>
      </c>
      <c r="L185" t="s">
        <v>523</v>
      </c>
      <c r="M185">
        <v>42586</v>
      </c>
      <c r="N185">
        <v>1</v>
      </c>
      <c r="O185" t="s">
        <v>1067</v>
      </c>
      <c r="P185">
        <v>1</v>
      </c>
    </row>
    <row r="186" spans="1:16">
      <c r="A186" t="s">
        <v>544</v>
      </c>
      <c r="B186" t="s">
        <v>545</v>
      </c>
      <c r="C186">
        <v>2</v>
      </c>
      <c r="D186" t="s">
        <v>227</v>
      </c>
      <c r="E186" t="s">
        <v>546</v>
      </c>
      <c r="F186">
        <v>1</v>
      </c>
      <c r="G186">
        <v>185</v>
      </c>
      <c r="I186" t="s">
        <v>1068</v>
      </c>
      <c r="J186" t="s">
        <v>1069</v>
      </c>
      <c r="K186" t="s">
        <v>522</v>
      </c>
      <c r="L186" t="s">
        <v>1070</v>
      </c>
      <c r="M186">
        <v>42587</v>
      </c>
      <c r="N186">
        <v>2</v>
      </c>
      <c r="O186" t="s">
        <v>1071</v>
      </c>
      <c r="P186">
        <v>2</v>
      </c>
    </row>
    <row r="187" spans="1:16">
      <c r="A187" t="s">
        <v>544</v>
      </c>
      <c r="B187" t="s">
        <v>545</v>
      </c>
      <c r="C187">
        <v>2</v>
      </c>
      <c r="D187" t="s">
        <v>227</v>
      </c>
      <c r="E187" t="s">
        <v>546</v>
      </c>
      <c r="F187">
        <v>1</v>
      </c>
      <c r="G187">
        <v>186</v>
      </c>
      <c r="I187" t="s">
        <v>532</v>
      </c>
      <c r="J187" t="s">
        <v>533</v>
      </c>
      <c r="K187" t="s">
        <v>527</v>
      </c>
      <c r="L187" t="s">
        <v>534</v>
      </c>
      <c r="M187">
        <v>10412</v>
      </c>
      <c r="N187">
        <v>1</v>
      </c>
      <c r="O187" t="s">
        <v>1072</v>
      </c>
      <c r="P187">
        <v>1</v>
      </c>
    </row>
    <row r="188" spans="1:16">
      <c r="A188" t="s">
        <v>544</v>
      </c>
      <c r="B188" t="s">
        <v>545</v>
      </c>
      <c r="C188">
        <v>2</v>
      </c>
      <c r="D188" t="s">
        <v>227</v>
      </c>
      <c r="E188" t="s">
        <v>546</v>
      </c>
      <c r="F188">
        <v>1</v>
      </c>
      <c r="G188">
        <v>187</v>
      </c>
      <c r="I188" t="s">
        <v>525</v>
      </c>
      <c r="J188" t="s">
        <v>526</v>
      </c>
      <c r="K188" t="s">
        <v>527</v>
      </c>
      <c r="L188" t="s">
        <v>528</v>
      </c>
      <c r="M188">
        <v>10403</v>
      </c>
      <c r="N188">
        <v>1</v>
      </c>
      <c r="O188" t="s">
        <v>1073</v>
      </c>
      <c r="P188">
        <v>1</v>
      </c>
    </row>
    <row r="189" spans="1:16">
      <c r="A189" t="s">
        <v>544</v>
      </c>
      <c r="B189" t="s">
        <v>545</v>
      </c>
      <c r="C189">
        <v>2</v>
      </c>
      <c r="D189" t="s">
        <v>227</v>
      </c>
      <c r="E189" t="s">
        <v>546</v>
      </c>
      <c r="F189">
        <v>1</v>
      </c>
      <c r="G189">
        <v>188</v>
      </c>
      <c r="I189" t="s">
        <v>512</v>
      </c>
      <c r="J189" t="s">
        <v>513</v>
      </c>
      <c r="K189" t="s">
        <v>514</v>
      </c>
      <c r="L189" t="s">
        <v>515</v>
      </c>
      <c r="M189">
        <v>42322</v>
      </c>
      <c r="N189">
        <v>1</v>
      </c>
      <c r="O189" t="s">
        <v>1074</v>
      </c>
      <c r="P189">
        <v>1</v>
      </c>
    </row>
    <row r="190" spans="1:16">
      <c r="A190" t="s">
        <v>544</v>
      </c>
      <c r="B190" t="s">
        <v>545</v>
      </c>
      <c r="C190">
        <v>2</v>
      </c>
      <c r="D190" t="s">
        <v>227</v>
      </c>
      <c r="E190" t="s">
        <v>546</v>
      </c>
      <c r="F190">
        <v>1</v>
      </c>
      <c r="G190">
        <v>189</v>
      </c>
      <c r="I190" t="s">
        <v>536</v>
      </c>
      <c r="J190" t="s">
        <v>537</v>
      </c>
      <c r="K190" t="s">
        <v>514</v>
      </c>
      <c r="L190" t="s">
        <v>538</v>
      </c>
      <c r="M190">
        <v>42405</v>
      </c>
      <c r="N190">
        <v>1</v>
      </c>
      <c r="O190" t="s">
        <v>535</v>
      </c>
      <c r="P190">
        <v>1</v>
      </c>
    </row>
    <row r="191" spans="1:16">
      <c r="A191" t="s">
        <v>544</v>
      </c>
      <c r="B191" t="s">
        <v>545</v>
      </c>
      <c r="C191">
        <v>2</v>
      </c>
      <c r="D191" t="s">
        <v>227</v>
      </c>
      <c r="E191" t="s">
        <v>546</v>
      </c>
      <c r="F191">
        <v>1</v>
      </c>
      <c r="G191">
        <v>190</v>
      </c>
      <c r="I191" t="s">
        <v>1075</v>
      </c>
      <c r="J191" t="s">
        <v>1076</v>
      </c>
      <c r="K191" t="s">
        <v>514</v>
      </c>
      <c r="L191" t="s">
        <v>1077</v>
      </c>
      <c r="M191">
        <v>42437</v>
      </c>
      <c r="N191">
        <v>1</v>
      </c>
      <c r="O191" t="s">
        <v>539</v>
      </c>
      <c r="P191">
        <v>1</v>
      </c>
    </row>
    <row r="192" spans="1:16">
      <c r="A192" t="s">
        <v>544</v>
      </c>
      <c r="B192" t="s">
        <v>545</v>
      </c>
      <c r="C192">
        <v>2</v>
      </c>
      <c r="D192" t="s">
        <v>227</v>
      </c>
      <c r="E192" t="s">
        <v>546</v>
      </c>
      <c r="F192">
        <v>1</v>
      </c>
      <c r="G192">
        <v>191</v>
      </c>
      <c r="I192" t="s">
        <v>1078</v>
      </c>
      <c r="J192" t="s">
        <v>1079</v>
      </c>
      <c r="K192" t="s">
        <v>514</v>
      </c>
      <c r="L192" t="s">
        <v>1080</v>
      </c>
      <c r="M192">
        <v>42411</v>
      </c>
      <c r="N192">
        <v>1</v>
      </c>
      <c r="O192" t="s">
        <v>1081</v>
      </c>
      <c r="P192">
        <v>1</v>
      </c>
    </row>
    <row r="193" spans="1:16">
      <c r="A193" t="s">
        <v>544</v>
      </c>
      <c r="B193" t="s">
        <v>545</v>
      </c>
      <c r="C193">
        <v>2</v>
      </c>
      <c r="D193" t="s">
        <v>227</v>
      </c>
      <c r="E193" t="s">
        <v>546</v>
      </c>
      <c r="F193">
        <v>1</v>
      </c>
      <c r="G193">
        <v>192</v>
      </c>
      <c r="I193" t="s">
        <v>1082</v>
      </c>
      <c r="J193" t="s">
        <v>1083</v>
      </c>
      <c r="K193" t="s">
        <v>514</v>
      </c>
      <c r="L193" t="s">
        <v>1084</v>
      </c>
      <c r="M193">
        <v>42394</v>
      </c>
      <c r="N193">
        <v>1</v>
      </c>
      <c r="O193" t="s">
        <v>1085</v>
      </c>
      <c r="P193">
        <v>1</v>
      </c>
    </row>
    <row r="194" spans="1:16">
      <c r="A194" t="s">
        <v>544</v>
      </c>
      <c r="B194" t="s">
        <v>545</v>
      </c>
      <c r="C194">
        <v>2</v>
      </c>
      <c r="D194" t="s">
        <v>227</v>
      </c>
      <c r="E194" t="s">
        <v>546</v>
      </c>
      <c r="F194">
        <v>1</v>
      </c>
      <c r="G194">
        <v>193</v>
      </c>
      <c r="I194" t="s">
        <v>1086</v>
      </c>
      <c r="J194" t="s">
        <v>1087</v>
      </c>
      <c r="K194" t="s">
        <v>514</v>
      </c>
      <c r="L194" t="s">
        <v>1088</v>
      </c>
      <c r="M194">
        <v>42601</v>
      </c>
      <c r="N194">
        <v>1</v>
      </c>
      <c r="O194" t="s">
        <v>1089</v>
      </c>
      <c r="P194">
        <v>1</v>
      </c>
    </row>
    <row r="195" spans="1:16">
      <c r="A195" t="s">
        <v>544</v>
      </c>
      <c r="B195" t="s">
        <v>545</v>
      </c>
      <c r="C195">
        <v>2</v>
      </c>
      <c r="D195" t="s">
        <v>227</v>
      </c>
      <c r="E195" t="s">
        <v>546</v>
      </c>
      <c r="F195">
        <v>1</v>
      </c>
      <c r="G195">
        <v>194</v>
      </c>
      <c r="M195">
        <v>42590</v>
      </c>
      <c r="N195">
        <v>4</v>
      </c>
      <c r="O195" t="s">
        <v>1090</v>
      </c>
      <c r="P195">
        <v>4</v>
      </c>
    </row>
    <row r="196" spans="1:16">
      <c r="N196" s="32">
        <f>SUM(N2:N195)</f>
        <v>1948</v>
      </c>
      <c r="P196" s="32">
        <f>SUM(P2:P195)</f>
        <v>1948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P55"/>
  <sheetViews>
    <sheetView topLeftCell="A17" workbookViewId="0">
      <selection activeCell="P55" sqref="P55"/>
    </sheetView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 s="2" customFormat="1">
      <c r="A2" s="2" t="s">
        <v>1091</v>
      </c>
      <c r="B2" s="2" t="s">
        <v>1092</v>
      </c>
      <c r="C2" s="2">
        <v>2</v>
      </c>
      <c r="D2" s="2" t="s">
        <v>227</v>
      </c>
      <c r="E2" s="2" t="s">
        <v>1093</v>
      </c>
      <c r="F2" s="2">
        <v>1</v>
      </c>
      <c r="G2" s="2">
        <v>1</v>
      </c>
      <c r="I2" s="2" t="s">
        <v>272</v>
      </c>
      <c r="J2" s="2" t="s">
        <v>273</v>
      </c>
      <c r="K2" s="2" t="s">
        <v>32</v>
      </c>
      <c r="L2" s="2" t="s">
        <v>274</v>
      </c>
      <c r="M2" s="2">
        <v>33762</v>
      </c>
      <c r="N2" s="2">
        <v>5</v>
      </c>
      <c r="O2" s="2" t="s">
        <v>1094</v>
      </c>
      <c r="P2" s="2">
        <v>5</v>
      </c>
    </row>
    <row r="3" spans="1:16">
      <c r="A3" t="s">
        <v>1091</v>
      </c>
      <c r="B3" t="s">
        <v>1092</v>
      </c>
      <c r="C3">
        <v>2</v>
      </c>
      <c r="D3" t="s">
        <v>227</v>
      </c>
      <c r="E3" t="s">
        <v>1093</v>
      </c>
      <c r="F3">
        <v>1</v>
      </c>
      <c r="G3">
        <v>2</v>
      </c>
      <c r="I3" t="s">
        <v>24</v>
      </c>
      <c r="J3" t="s">
        <v>25</v>
      </c>
      <c r="K3" t="s">
        <v>22</v>
      </c>
      <c r="L3" t="s">
        <v>26</v>
      </c>
      <c r="M3">
        <v>2054</v>
      </c>
      <c r="N3">
        <v>11</v>
      </c>
      <c r="O3" t="s">
        <v>1095</v>
      </c>
      <c r="P3">
        <v>11</v>
      </c>
    </row>
    <row r="4" spans="1:16">
      <c r="A4" t="s">
        <v>1091</v>
      </c>
      <c r="B4" t="s">
        <v>1092</v>
      </c>
      <c r="C4">
        <v>2</v>
      </c>
      <c r="D4" t="s">
        <v>227</v>
      </c>
      <c r="E4" t="s">
        <v>1093</v>
      </c>
      <c r="F4">
        <v>1</v>
      </c>
      <c r="G4">
        <v>3</v>
      </c>
      <c r="I4" t="s">
        <v>30</v>
      </c>
      <c r="J4" t="s">
        <v>266</v>
      </c>
      <c r="K4" t="s">
        <v>235</v>
      </c>
      <c r="L4" t="s">
        <v>267</v>
      </c>
      <c r="M4">
        <v>42479</v>
      </c>
      <c r="N4">
        <v>1</v>
      </c>
      <c r="O4" t="s">
        <v>1096</v>
      </c>
      <c r="P4">
        <v>1</v>
      </c>
    </row>
    <row r="5" spans="1:16">
      <c r="A5" t="s">
        <v>1091</v>
      </c>
      <c r="B5" t="s">
        <v>1092</v>
      </c>
      <c r="C5">
        <v>2</v>
      </c>
      <c r="D5" t="s">
        <v>227</v>
      </c>
      <c r="E5" t="s">
        <v>1093</v>
      </c>
      <c r="F5">
        <v>1</v>
      </c>
      <c r="G5">
        <v>4</v>
      </c>
      <c r="I5" t="s">
        <v>1097</v>
      </c>
      <c r="J5" t="s">
        <v>1098</v>
      </c>
      <c r="K5" t="s">
        <v>48</v>
      </c>
      <c r="L5" t="s">
        <v>1099</v>
      </c>
      <c r="M5">
        <v>42504</v>
      </c>
      <c r="N5">
        <v>3</v>
      </c>
      <c r="O5" t="s">
        <v>1100</v>
      </c>
      <c r="P5">
        <v>3</v>
      </c>
    </row>
    <row r="6" spans="1:16">
      <c r="A6" t="s">
        <v>1091</v>
      </c>
      <c r="B6" t="s">
        <v>1092</v>
      </c>
      <c r="C6">
        <v>2</v>
      </c>
      <c r="D6" t="s">
        <v>227</v>
      </c>
      <c r="E6" t="s">
        <v>1093</v>
      </c>
      <c r="F6">
        <v>1</v>
      </c>
      <c r="G6">
        <v>5</v>
      </c>
      <c r="I6" t="s">
        <v>1101</v>
      </c>
      <c r="J6" t="s">
        <v>1102</v>
      </c>
      <c r="K6" t="s">
        <v>1103</v>
      </c>
      <c r="L6" t="s">
        <v>1104</v>
      </c>
      <c r="M6">
        <v>42576</v>
      </c>
      <c r="N6">
        <v>4</v>
      </c>
      <c r="O6" t="s">
        <v>1105</v>
      </c>
      <c r="P6">
        <v>4</v>
      </c>
    </row>
    <row r="7" spans="1:16">
      <c r="A7" t="s">
        <v>1091</v>
      </c>
      <c r="B7" t="s">
        <v>1092</v>
      </c>
      <c r="C7">
        <v>2</v>
      </c>
      <c r="D7" t="s">
        <v>227</v>
      </c>
      <c r="E7" t="s">
        <v>1093</v>
      </c>
      <c r="F7">
        <v>1</v>
      </c>
      <c r="G7">
        <v>6</v>
      </c>
      <c r="I7" t="s">
        <v>27</v>
      </c>
      <c r="J7" t="s">
        <v>240</v>
      </c>
      <c r="K7" t="s">
        <v>32</v>
      </c>
      <c r="L7" t="s">
        <v>241</v>
      </c>
      <c r="M7">
        <v>42386</v>
      </c>
      <c r="N7">
        <v>4</v>
      </c>
      <c r="O7" t="s">
        <v>1106</v>
      </c>
      <c r="P7">
        <v>4</v>
      </c>
    </row>
    <row r="8" spans="1:16">
      <c r="A8" t="s">
        <v>1091</v>
      </c>
      <c r="B8" t="s">
        <v>1092</v>
      </c>
      <c r="C8">
        <v>2</v>
      </c>
      <c r="D8" t="s">
        <v>227</v>
      </c>
      <c r="E8" t="s">
        <v>1093</v>
      </c>
      <c r="F8">
        <v>1</v>
      </c>
      <c r="G8">
        <v>7</v>
      </c>
      <c r="I8" t="s">
        <v>1107</v>
      </c>
      <c r="J8" t="s">
        <v>1108</v>
      </c>
      <c r="K8" t="s">
        <v>22</v>
      </c>
      <c r="L8" t="s">
        <v>1109</v>
      </c>
      <c r="M8">
        <v>4095</v>
      </c>
      <c r="N8">
        <v>4</v>
      </c>
      <c r="O8" t="s">
        <v>1110</v>
      </c>
      <c r="P8">
        <v>4</v>
      </c>
    </row>
    <row r="9" spans="1:16">
      <c r="A9" t="s">
        <v>1091</v>
      </c>
      <c r="B9" t="s">
        <v>1092</v>
      </c>
      <c r="C9">
        <v>2</v>
      </c>
      <c r="D9" t="s">
        <v>227</v>
      </c>
      <c r="E9" t="s">
        <v>1093</v>
      </c>
      <c r="F9">
        <v>1</v>
      </c>
      <c r="G9">
        <v>8</v>
      </c>
      <c r="I9" t="s">
        <v>50</v>
      </c>
      <c r="J9" t="s">
        <v>51</v>
      </c>
      <c r="K9" t="s">
        <v>22</v>
      </c>
      <c r="L9" t="s">
        <v>52</v>
      </c>
      <c r="M9">
        <v>42335</v>
      </c>
      <c r="N9">
        <v>29</v>
      </c>
      <c r="O9" t="s">
        <v>1111</v>
      </c>
      <c r="P9">
        <v>29</v>
      </c>
    </row>
    <row r="10" spans="1:16">
      <c r="A10" t="s">
        <v>1091</v>
      </c>
      <c r="B10" t="s">
        <v>1092</v>
      </c>
      <c r="C10">
        <v>2</v>
      </c>
      <c r="D10" t="s">
        <v>227</v>
      </c>
      <c r="E10" t="s">
        <v>1093</v>
      </c>
      <c r="F10">
        <v>1</v>
      </c>
      <c r="G10">
        <v>9</v>
      </c>
      <c r="I10" t="s">
        <v>34</v>
      </c>
      <c r="J10" t="s">
        <v>35</v>
      </c>
      <c r="K10" t="s">
        <v>22</v>
      </c>
      <c r="L10" t="s">
        <v>36</v>
      </c>
      <c r="M10">
        <v>4320</v>
      </c>
      <c r="N10">
        <v>8</v>
      </c>
      <c r="O10" t="s">
        <v>1112</v>
      </c>
      <c r="P10">
        <v>8</v>
      </c>
    </row>
    <row r="11" spans="1:16">
      <c r="A11" t="s">
        <v>1091</v>
      </c>
      <c r="B11" t="s">
        <v>1092</v>
      </c>
      <c r="C11">
        <v>2</v>
      </c>
      <c r="D11" t="s">
        <v>227</v>
      </c>
      <c r="E11" t="s">
        <v>1093</v>
      </c>
      <c r="F11">
        <v>1</v>
      </c>
      <c r="G11">
        <v>10</v>
      </c>
      <c r="I11" t="s">
        <v>46</v>
      </c>
      <c r="J11" t="s">
        <v>47</v>
      </c>
      <c r="K11" t="s">
        <v>48</v>
      </c>
      <c r="L11" t="s">
        <v>49</v>
      </c>
      <c r="M11">
        <v>10481</v>
      </c>
      <c r="N11">
        <v>5</v>
      </c>
      <c r="O11" t="s">
        <v>1113</v>
      </c>
      <c r="P11">
        <v>5</v>
      </c>
    </row>
    <row r="12" spans="1:16">
      <c r="A12" t="s">
        <v>1091</v>
      </c>
      <c r="B12" t="s">
        <v>1092</v>
      </c>
      <c r="C12">
        <v>2</v>
      </c>
      <c r="D12" t="s">
        <v>227</v>
      </c>
      <c r="E12" t="s">
        <v>1093</v>
      </c>
      <c r="F12">
        <v>1</v>
      </c>
      <c r="G12">
        <v>11</v>
      </c>
      <c r="I12" t="s">
        <v>615</v>
      </c>
      <c r="J12" t="s">
        <v>616</v>
      </c>
      <c r="K12" t="s">
        <v>48</v>
      </c>
      <c r="L12" t="s">
        <v>617</v>
      </c>
      <c r="M12">
        <v>42478</v>
      </c>
      <c r="N12">
        <v>4</v>
      </c>
      <c r="O12" t="s">
        <v>1114</v>
      </c>
      <c r="P12">
        <v>4</v>
      </c>
    </row>
    <row r="13" spans="1:16">
      <c r="A13" t="s">
        <v>1091</v>
      </c>
      <c r="B13" t="s">
        <v>1092</v>
      </c>
      <c r="C13">
        <v>2</v>
      </c>
      <c r="D13" t="s">
        <v>227</v>
      </c>
      <c r="E13" t="s">
        <v>1093</v>
      </c>
      <c r="F13">
        <v>1</v>
      </c>
      <c r="G13">
        <v>12</v>
      </c>
      <c r="I13" t="s">
        <v>376</v>
      </c>
      <c r="J13" t="s">
        <v>377</v>
      </c>
      <c r="K13" t="s">
        <v>339</v>
      </c>
      <c r="L13" t="s">
        <v>378</v>
      </c>
      <c r="M13">
        <v>42468</v>
      </c>
      <c r="N13">
        <v>2</v>
      </c>
      <c r="O13" t="s">
        <v>1115</v>
      </c>
      <c r="P13">
        <v>2</v>
      </c>
    </row>
    <row r="14" spans="1:16">
      <c r="A14" t="s">
        <v>1091</v>
      </c>
      <c r="B14" t="s">
        <v>1092</v>
      </c>
      <c r="C14">
        <v>2</v>
      </c>
      <c r="D14" t="s">
        <v>227</v>
      </c>
      <c r="E14" t="s">
        <v>1093</v>
      </c>
      <c r="F14">
        <v>1</v>
      </c>
      <c r="G14">
        <v>13</v>
      </c>
      <c r="I14" t="s">
        <v>1116</v>
      </c>
      <c r="J14" t="s">
        <v>1117</v>
      </c>
      <c r="K14" t="s">
        <v>514</v>
      </c>
      <c r="L14" t="s">
        <v>1118</v>
      </c>
      <c r="M14">
        <v>42497</v>
      </c>
      <c r="N14">
        <v>1</v>
      </c>
      <c r="O14" t="s">
        <v>1119</v>
      </c>
      <c r="P14">
        <v>1</v>
      </c>
    </row>
    <row r="15" spans="1:16">
      <c r="A15" t="s">
        <v>1091</v>
      </c>
      <c r="B15" t="s">
        <v>1092</v>
      </c>
      <c r="C15">
        <v>2</v>
      </c>
      <c r="D15" t="s">
        <v>227</v>
      </c>
      <c r="E15" t="s">
        <v>1093</v>
      </c>
      <c r="F15">
        <v>1</v>
      </c>
      <c r="G15">
        <v>14</v>
      </c>
      <c r="I15" t="s">
        <v>1120</v>
      </c>
      <c r="J15" t="s">
        <v>1121</v>
      </c>
      <c r="K15" t="s">
        <v>1122</v>
      </c>
      <c r="L15" t="s">
        <v>1123</v>
      </c>
      <c r="M15">
        <v>42424</v>
      </c>
      <c r="N15">
        <v>1</v>
      </c>
      <c r="O15" t="s">
        <v>1124</v>
      </c>
      <c r="P15">
        <v>1</v>
      </c>
    </row>
    <row r="16" spans="1:16">
      <c r="A16" t="s">
        <v>1091</v>
      </c>
      <c r="B16" t="s">
        <v>1092</v>
      </c>
      <c r="C16">
        <v>2</v>
      </c>
      <c r="D16" t="s">
        <v>227</v>
      </c>
      <c r="E16" t="s">
        <v>1093</v>
      </c>
      <c r="F16">
        <v>1</v>
      </c>
      <c r="G16">
        <v>15</v>
      </c>
      <c r="I16" t="s">
        <v>1125</v>
      </c>
      <c r="J16" t="s">
        <v>1126</v>
      </c>
      <c r="K16" t="s">
        <v>1127</v>
      </c>
      <c r="L16" t="s">
        <v>1128</v>
      </c>
      <c r="M16">
        <v>33891</v>
      </c>
      <c r="N16">
        <v>4</v>
      </c>
      <c r="O16" t="s">
        <v>1129</v>
      </c>
      <c r="P16">
        <v>4</v>
      </c>
    </row>
    <row r="17" spans="1:16">
      <c r="A17" t="s">
        <v>1091</v>
      </c>
      <c r="B17" t="s">
        <v>1092</v>
      </c>
      <c r="C17">
        <v>2</v>
      </c>
      <c r="D17" t="s">
        <v>227</v>
      </c>
      <c r="E17" t="s">
        <v>1093</v>
      </c>
      <c r="F17">
        <v>1</v>
      </c>
      <c r="G17">
        <v>16</v>
      </c>
      <c r="I17" t="s">
        <v>75</v>
      </c>
      <c r="J17" t="s">
        <v>76</v>
      </c>
      <c r="K17" t="s">
        <v>32</v>
      </c>
      <c r="L17" t="s">
        <v>189</v>
      </c>
      <c r="M17">
        <v>10522</v>
      </c>
      <c r="N17">
        <v>6</v>
      </c>
      <c r="O17" t="s">
        <v>1130</v>
      </c>
      <c r="P17">
        <v>6</v>
      </c>
    </row>
    <row r="18" spans="1:16">
      <c r="A18" t="s">
        <v>1091</v>
      </c>
      <c r="B18" t="s">
        <v>1092</v>
      </c>
      <c r="C18">
        <v>2</v>
      </c>
      <c r="D18" t="s">
        <v>227</v>
      </c>
      <c r="E18" t="s">
        <v>1093</v>
      </c>
      <c r="F18">
        <v>1</v>
      </c>
      <c r="G18">
        <v>17</v>
      </c>
      <c r="I18" t="s">
        <v>1131</v>
      </c>
      <c r="J18" t="s">
        <v>1132</v>
      </c>
      <c r="K18" t="s">
        <v>32</v>
      </c>
      <c r="L18" t="s">
        <v>1133</v>
      </c>
      <c r="M18">
        <v>42584</v>
      </c>
      <c r="N18">
        <v>8</v>
      </c>
      <c r="O18" t="s">
        <v>1134</v>
      </c>
      <c r="P18">
        <v>8</v>
      </c>
    </row>
    <row r="19" spans="1:16">
      <c r="A19" t="s">
        <v>1091</v>
      </c>
      <c r="B19" t="s">
        <v>1092</v>
      </c>
      <c r="C19">
        <v>2</v>
      </c>
      <c r="D19" t="s">
        <v>227</v>
      </c>
      <c r="E19" t="s">
        <v>1093</v>
      </c>
      <c r="F19">
        <v>1</v>
      </c>
      <c r="G19">
        <v>18</v>
      </c>
      <c r="I19" t="s">
        <v>1135</v>
      </c>
      <c r="J19" t="s">
        <v>1136</v>
      </c>
      <c r="K19" t="s">
        <v>151</v>
      </c>
      <c r="L19" t="s">
        <v>1137</v>
      </c>
      <c r="M19">
        <v>42641</v>
      </c>
      <c r="N19">
        <v>1</v>
      </c>
      <c r="O19" t="s">
        <v>1138</v>
      </c>
      <c r="P19">
        <v>1</v>
      </c>
    </row>
    <row r="20" spans="1:16">
      <c r="A20" t="s">
        <v>1091</v>
      </c>
      <c r="B20" t="s">
        <v>1092</v>
      </c>
      <c r="C20">
        <v>2</v>
      </c>
      <c r="D20" t="s">
        <v>227</v>
      </c>
      <c r="E20" t="s">
        <v>1093</v>
      </c>
      <c r="F20">
        <v>1</v>
      </c>
      <c r="G20">
        <v>19</v>
      </c>
      <c r="I20" t="s">
        <v>1139</v>
      </c>
      <c r="J20" t="s">
        <v>1140</v>
      </c>
      <c r="K20" t="s">
        <v>48</v>
      </c>
      <c r="L20" t="s">
        <v>1141</v>
      </c>
      <c r="M20">
        <v>25053</v>
      </c>
      <c r="N20">
        <v>4</v>
      </c>
      <c r="O20" t="s">
        <v>1142</v>
      </c>
      <c r="P20">
        <v>4</v>
      </c>
    </row>
    <row r="21" spans="1:16">
      <c r="A21" t="s">
        <v>1091</v>
      </c>
      <c r="B21" t="s">
        <v>1092</v>
      </c>
      <c r="C21">
        <v>2</v>
      </c>
      <c r="D21" t="s">
        <v>227</v>
      </c>
      <c r="E21" t="s">
        <v>1093</v>
      </c>
      <c r="F21">
        <v>1</v>
      </c>
      <c r="G21">
        <v>20</v>
      </c>
      <c r="I21" t="s">
        <v>206</v>
      </c>
      <c r="J21" t="s">
        <v>207</v>
      </c>
      <c r="K21" t="s">
        <v>48</v>
      </c>
      <c r="L21" t="s">
        <v>208</v>
      </c>
      <c r="M21">
        <v>39516</v>
      </c>
      <c r="N21">
        <v>8</v>
      </c>
      <c r="O21" t="s">
        <v>1143</v>
      </c>
      <c r="P21">
        <v>8</v>
      </c>
    </row>
    <row r="22" spans="1:16">
      <c r="A22" t="s">
        <v>1091</v>
      </c>
      <c r="B22" t="s">
        <v>1092</v>
      </c>
      <c r="C22">
        <v>2</v>
      </c>
      <c r="D22" t="s">
        <v>227</v>
      </c>
      <c r="E22" t="s">
        <v>1093</v>
      </c>
      <c r="F22">
        <v>1</v>
      </c>
      <c r="G22">
        <v>21</v>
      </c>
      <c r="I22" t="s">
        <v>1144</v>
      </c>
      <c r="J22" t="s">
        <v>1145</v>
      </c>
      <c r="K22" t="s">
        <v>48</v>
      </c>
      <c r="L22" t="s">
        <v>1146</v>
      </c>
      <c r="M22">
        <v>40086</v>
      </c>
      <c r="N22">
        <v>4</v>
      </c>
      <c r="O22" t="s">
        <v>1147</v>
      </c>
      <c r="P22">
        <v>4</v>
      </c>
    </row>
    <row r="23" spans="1:16">
      <c r="A23" t="s">
        <v>1091</v>
      </c>
      <c r="B23" t="s">
        <v>1092</v>
      </c>
      <c r="C23">
        <v>2</v>
      </c>
      <c r="D23" t="s">
        <v>227</v>
      </c>
      <c r="E23" t="s">
        <v>1093</v>
      </c>
      <c r="F23">
        <v>1</v>
      </c>
      <c r="G23">
        <v>22</v>
      </c>
      <c r="I23" t="s">
        <v>1148</v>
      </c>
      <c r="J23" t="s">
        <v>1149</v>
      </c>
      <c r="K23" t="s">
        <v>48</v>
      </c>
      <c r="L23" t="s">
        <v>1150</v>
      </c>
      <c r="M23">
        <v>39532</v>
      </c>
      <c r="N23">
        <v>1</v>
      </c>
      <c r="O23" t="s">
        <v>1151</v>
      </c>
      <c r="P23">
        <v>1</v>
      </c>
    </row>
    <row r="24" spans="1:16">
      <c r="A24" t="s">
        <v>1091</v>
      </c>
      <c r="B24" t="s">
        <v>1092</v>
      </c>
      <c r="C24">
        <v>2</v>
      </c>
      <c r="D24" t="s">
        <v>227</v>
      </c>
      <c r="E24" t="s">
        <v>1093</v>
      </c>
      <c r="F24">
        <v>1</v>
      </c>
      <c r="G24">
        <v>23</v>
      </c>
      <c r="I24" t="s">
        <v>1152</v>
      </c>
      <c r="J24" t="s">
        <v>1153</v>
      </c>
      <c r="K24" t="s">
        <v>48</v>
      </c>
      <c r="L24" t="s">
        <v>1154</v>
      </c>
      <c r="M24">
        <v>26222</v>
      </c>
      <c r="N24">
        <v>1</v>
      </c>
      <c r="O24" t="s">
        <v>1155</v>
      </c>
      <c r="P24">
        <v>1</v>
      </c>
    </row>
    <row r="25" spans="1:16">
      <c r="A25" t="s">
        <v>1091</v>
      </c>
      <c r="B25" t="s">
        <v>1092</v>
      </c>
      <c r="C25">
        <v>2</v>
      </c>
      <c r="D25" t="s">
        <v>227</v>
      </c>
      <c r="E25" t="s">
        <v>1093</v>
      </c>
      <c r="F25">
        <v>1</v>
      </c>
      <c r="G25">
        <v>24</v>
      </c>
      <c r="I25" t="s">
        <v>94</v>
      </c>
      <c r="J25" t="s">
        <v>212</v>
      </c>
      <c r="K25" t="s">
        <v>48</v>
      </c>
      <c r="L25" t="s">
        <v>213</v>
      </c>
      <c r="M25">
        <v>40582</v>
      </c>
      <c r="N25">
        <v>4</v>
      </c>
      <c r="O25" t="s">
        <v>1156</v>
      </c>
      <c r="P25">
        <v>4</v>
      </c>
    </row>
    <row r="26" spans="1:16">
      <c r="A26" t="s">
        <v>1091</v>
      </c>
      <c r="B26" t="s">
        <v>1092</v>
      </c>
      <c r="C26">
        <v>2</v>
      </c>
      <c r="D26" t="s">
        <v>227</v>
      </c>
      <c r="E26" t="s">
        <v>1093</v>
      </c>
      <c r="F26">
        <v>1</v>
      </c>
      <c r="G26">
        <v>25</v>
      </c>
      <c r="I26" t="s">
        <v>199</v>
      </c>
      <c r="J26" t="s">
        <v>1157</v>
      </c>
      <c r="K26" t="s">
        <v>48</v>
      </c>
      <c r="L26" t="s">
        <v>1158</v>
      </c>
      <c r="M26">
        <v>39912</v>
      </c>
      <c r="N26">
        <v>4</v>
      </c>
      <c r="O26" t="s">
        <v>1159</v>
      </c>
      <c r="P26">
        <v>4</v>
      </c>
    </row>
    <row r="27" spans="1:16">
      <c r="A27" t="s">
        <v>1091</v>
      </c>
      <c r="B27" t="s">
        <v>1092</v>
      </c>
      <c r="C27">
        <v>2</v>
      </c>
      <c r="D27" t="s">
        <v>227</v>
      </c>
      <c r="E27" t="s">
        <v>1093</v>
      </c>
      <c r="F27">
        <v>1</v>
      </c>
      <c r="G27">
        <v>26</v>
      </c>
      <c r="I27" t="s">
        <v>1160</v>
      </c>
      <c r="J27" t="s">
        <v>1161</v>
      </c>
      <c r="K27" t="s">
        <v>1162</v>
      </c>
      <c r="L27" t="s">
        <v>1163</v>
      </c>
      <c r="M27">
        <v>33794</v>
      </c>
      <c r="N27">
        <v>4</v>
      </c>
      <c r="O27" t="s">
        <v>1164</v>
      </c>
      <c r="P27">
        <v>4</v>
      </c>
    </row>
    <row r="28" spans="1:16">
      <c r="A28" t="s">
        <v>1091</v>
      </c>
      <c r="B28" t="s">
        <v>1092</v>
      </c>
      <c r="C28">
        <v>2</v>
      </c>
      <c r="D28" t="s">
        <v>227</v>
      </c>
      <c r="E28" t="s">
        <v>1093</v>
      </c>
      <c r="F28">
        <v>1</v>
      </c>
      <c r="G28">
        <v>27</v>
      </c>
      <c r="I28" t="s">
        <v>1165</v>
      </c>
      <c r="J28" t="s">
        <v>1166</v>
      </c>
      <c r="K28" t="s">
        <v>392</v>
      </c>
      <c r="L28" t="s">
        <v>1167</v>
      </c>
      <c r="M28">
        <v>42572</v>
      </c>
      <c r="N28">
        <v>1</v>
      </c>
      <c r="O28" t="s">
        <v>1168</v>
      </c>
      <c r="P28">
        <v>1</v>
      </c>
    </row>
    <row r="29" spans="1:16">
      <c r="A29" t="s">
        <v>1091</v>
      </c>
      <c r="B29" t="s">
        <v>1092</v>
      </c>
      <c r="C29">
        <v>2</v>
      </c>
      <c r="D29" t="s">
        <v>227</v>
      </c>
      <c r="E29" t="s">
        <v>1093</v>
      </c>
      <c r="F29">
        <v>1</v>
      </c>
      <c r="G29">
        <v>28</v>
      </c>
      <c r="I29" t="s">
        <v>128</v>
      </c>
      <c r="J29" t="s">
        <v>129</v>
      </c>
      <c r="K29" t="s">
        <v>1169</v>
      </c>
      <c r="L29" t="s">
        <v>130</v>
      </c>
      <c r="M29">
        <v>42433</v>
      </c>
      <c r="N29">
        <v>4</v>
      </c>
      <c r="O29" t="s">
        <v>1170</v>
      </c>
      <c r="P29">
        <v>4</v>
      </c>
    </row>
    <row r="30" spans="1:16">
      <c r="A30" t="s">
        <v>1091</v>
      </c>
      <c r="B30" t="s">
        <v>1092</v>
      </c>
      <c r="C30">
        <v>2</v>
      </c>
      <c r="D30" t="s">
        <v>227</v>
      </c>
      <c r="E30" t="s">
        <v>1093</v>
      </c>
      <c r="F30">
        <v>1</v>
      </c>
      <c r="G30">
        <v>29</v>
      </c>
      <c r="I30" t="s">
        <v>1171</v>
      </c>
      <c r="J30" t="s">
        <v>1172</v>
      </c>
      <c r="K30" t="s">
        <v>392</v>
      </c>
      <c r="L30" t="s">
        <v>1173</v>
      </c>
      <c r="M30">
        <v>42534</v>
      </c>
      <c r="N30">
        <v>4</v>
      </c>
      <c r="O30" t="s">
        <v>1174</v>
      </c>
      <c r="P30">
        <v>4</v>
      </c>
    </row>
    <row r="31" spans="1:16">
      <c r="A31" t="s">
        <v>1091</v>
      </c>
      <c r="B31" t="s">
        <v>1092</v>
      </c>
      <c r="C31">
        <v>2</v>
      </c>
      <c r="D31" t="s">
        <v>227</v>
      </c>
      <c r="E31" t="s">
        <v>1093</v>
      </c>
      <c r="F31">
        <v>1</v>
      </c>
      <c r="G31">
        <v>30</v>
      </c>
      <c r="I31" t="s">
        <v>503</v>
      </c>
      <c r="J31" t="s">
        <v>504</v>
      </c>
      <c r="K31" t="s">
        <v>126</v>
      </c>
      <c r="L31" t="s">
        <v>505</v>
      </c>
      <c r="M31">
        <v>33791</v>
      </c>
      <c r="N31">
        <v>6</v>
      </c>
      <c r="O31" t="s">
        <v>1175</v>
      </c>
      <c r="P31">
        <v>6</v>
      </c>
    </row>
    <row r="32" spans="1:16">
      <c r="A32" t="s">
        <v>1091</v>
      </c>
      <c r="B32" t="s">
        <v>1092</v>
      </c>
      <c r="C32">
        <v>2</v>
      </c>
      <c r="D32" t="s">
        <v>227</v>
      </c>
      <c r="E32" t="s">
        <v>1093</v>
      </c>
      <c r="F32">
        <v>1</v>
      </c>
      <c r="G32">
        <v>31</v>
      </c>
      <c r="I32" t="s">
        <v>124</v>
      </c>
      <c r="J32" t="s">
        <v>125</v>
      </c>
      <c r="K32" t="s">
        <v>126</v>
      </c>
      <c r="L32" t="s">
        <v>127</v>
      </c>
      <c r="M32">
        <v>33785</v>
      </c>
      <c r="N32">
        <v>3</v>
      </c>
      <c r="O32" t="s">
        <v>1176</v>
      </c>
      <c r="P32">
        <v>3</v>
      </c>
    </row>
    <row r="33" spans="1:16">
      <c r="A33" t="s">
        <v>1091</v>
      </c>
      <c r="B33" t="s">
        <v>1092</v>
      </c>
      <c r="C33">
        <v>2</v>
      </c>
      <c r="D33" t="s">
        <v>227</v>
      </c>
      <c r="E33" t="s">
        <v>1093</v>
      </c>
      <c r="F33">
        <v>1</v>
      </c>
      <c r="G33">
        <v>32</v>
      </c>
      <c r="I33" t="s">
        <v>120</v>
      </c>
      <c r="J33" t="s">
        <v>121</v>
      </c>
      <c r="K33" t="s">
        <v>122</v>
      </c>
      <c r="L33" t="s">
        <v>123</v>
      </c>
      <c r="M33">
        <v>10350</v>
      </c>
      <c r="N33">
        <v>5</v>
      </c>
      <c r="O33" t="s">
        <v>1177</v>
      </c>
      <c r="P33">
        <v>5</v>
      </c>
    </row>
    <row r="34" spans="1:16">
      <c r="A34" t="s">
        <v>1091</v>
      </c>
      <c r="B34" t="s">
        <v>1092</v>
      </c>
      <c r="C34">
        <v>2</v>
      </c>
      <c r="D34" t="s">
        <v>227</v>
      </c>
      <c r="E34" t="s">
        <v>1093</v>
      </c>
      <c r="F34">
        <v>1</v>
      </c>
      <c r="G34">
        <v>33</v>
      </c>
      <c r="I34" t="s">
        <v>1178</v>
      </c>
      <c r="J34" t="s">
        <v>1179</v>
      </c>
      <c r="K34" t="s">
        <v>1027</v>
      </c>
      <c r="L34" t="s">
        <v>1180</v>
      </c>
      <c r="M34">
        <v>10333</v>
      </c>
      <c r="N34">
        <v>1</v>
      </c>
      <c r="O34" t="s">
        <v>1181</v>
      </c>
      <c r="P34">
        <v>1</v>
      </c>
    </row>
    <row r="35" spans="1:16">
      <c r="A35" t="s">
        <v>1091</v>
      </c>
      <c r="B35" t="s">
        <v>1092</v>
      </c>
      <c r="C35">
        <v>2</v>
      </c>
      <c r="D35" t="s">
        <v>227</v>
      </c>
      <c r="E35" t="s">
        <v>1093</v>
      </c>
      <c r="F35">
        <v>1</v>
      </c>
      <c r="G35">
        <v>34</v>
      </c>
      <c r="I35" t="s">
        <v>1182</v>
      </c>
      <c r="J35" t="s">
        <v>1183</v>
      </c>
      <c r="K35" t="s">
        <v>324</v>
      </c>
      <c r="L35" t="s">
        <v>1184</v>
      </c>
      <c r="M35">
        <v>42612</v>
      </c>
      <c r="N35">
        <v>5</v>
      </c>
      <c r="O35" t="s">
        <v>1185</v>
      </c>
      <c r="P35">
        <v>5</v>
      </c>
    </row>
    <row r="36" spans="1:16">
      <c r="A36" t="s">
        <v>1091</v>
      </c>
      <c r="B36" t="s">
        <v>1092</v>
      </c>
      <c r="C36">
        <v>2</v>
      </c>
      <c r="D36" t="s">
        <v>227</v>
      </c>
      <c r="E36" t="s">
        <v>1093</v>
      </c>
      <c r="F36">
        <v>1</v>
      </c>
      <c r="G36">
        <v>35</v>
      </c>
      <c r="I36" t="s">
        <v>1186</v>
      </c>
      <c r="J36" t="s">
        <v>1187</v>
      </c>
      <c r="K36" t="s">
        <v>1188</v>
      </c>
      <c r="L36" t="s">
        <v>1189</v>
      </c>
      <c r="M36">
        <v>42683</v>
      </c>
      <c r="N36">
        <v>1</v>
      </c>
      <c r="O36" t="s">
        <v>516</v>
      </c>
      <c r="P36">
        <v>1</v>
      </c>
    </row>
    <row r="37" spans="1:16">
      <c r="A37" t="s">
        <v>1091</v>
      </c>
      <c r="B37" t="s">
        <v>1092</v>
      </c>
      <c r="C37">
        <v>2</v>
      </c>
      <c r="D37" t="s">
        <v>227</v>
      </c>
      <c r="E37" t="s">
        <v>1093</v>
      </c>
      <c r="F37">
        <v>1</v>
      </c>
      <c r="G37">
        <v>36</v>
      </c>
      <c r="I37" t="s">
        <v>1190</v>
      </c>
      <c r="J37" t="s">
        <v>1191</v>
      </c>
      <c r="K37" t="s">
        <v>1188</v>
      </c>
      <c r="L37" t="s">
        <v>1192</v>
      </c>
      <c r="M37">
        <v>42699</v>
      </c>
      <c r="N37">
        <v>3</v>
      </c>
      <c r="O37" t="s">
        <v>1193</v>
      </c>
      <c r="P37">
        <v>3</v>
      </c>
    </row>
    <row r="38" spans="1:16">
      <c r="A38" t="s">
        <v>1091</v>
      </c>
      <c r="B38" t="s">
        <v>1092</v>
      </c>
      <c r="C38">
        <v>2</v>
      </c>
      <c r="D38" t="s">
        <v>227</v>
      </c>
      <c r="E38" t="s">
        <v>1093</v>
      </c>
      <c r="F38">
        <v>1</v>
      </c>
      <c r="G38">
        <v>37</v>
      </c>
      <c r="I38" t="s">
        <v>1194</v>
      </c>
      <c r="J38" t="s">
        <v>1195</v>
      </c>
      <c r="K38" t="s">
        <v>1188</v>
      </c>
      <c r="L38" t="s">
        <v>1196</v>
      </c>
      <c r="M38">
        <v>42681</v>
      </c>
      <c r="N38">
        <v>1</v>
      </c>
      <c r="O38" t="s">
        <v>524</v>
      </c>
      <c r="P38">
        <v>1</v>
      </c>
    </row>
    <row r="39" spans="1:16">
      <c r="A39" t="s">
        <v>1091</v>
      </c>
      <c r="B39" t="s">
        <v>1092</v>
      </c>
      <c r="C39">
        <v>2</v>
      </c>
      <c r="D39" t="s">
        <v>227</v>
      </c>
      <c r="E39" t="s">
        <v>1093</v>
      </c>
      <c r="F39">
        <v>1</v>
      </c>
      <c r="G39">
        <v>38</v>
      </c>
      <c r="I39" t="s">
        <v>1197</v>
      </c>
      <c r="J39" t="s">
        <v>1198</v>
      </c>
      <c r="K39" t="s">
        <v>1188</v>
      </c>
      <c r="L39" t="s">
        <v>1199</v>
      </c>
      <c r="M39">
        <v>42685</v>
      </c>
      <c r="N39">
        <v>2</v>
      </c>
      <c r="O39" t="s">
        <v>1200</v>
      </c>
      <c r="P39">
        <v>2</v>
      </c>
    </row>
    <row r="40" spans="1:16">
      <c r="A40" t="s">
        <v>1091</v>
      </c>
      <c r="B40" t="s">
        <v>1092</v>
      </c>
      <c r="C40">
        <v>2</v>
      </c>
      <c r="D40" t="s">
        <v>227</v>
      </c>
      <c r="E40" t="s">
        <v>1093</v>
      </c>
      <c r="F40">
        <v>1</v>
      </c>
      <c r="G40">
        <v>39</v>
      </c>
      <c r="I40" t="s">
        <v>1201</v>
      </c>
      <c r="J40" t="s">
        <v>1202</v>
      </c>
      <c r="K40" t="s">
        <v>1188</v>
      </c>
      <c r="L40" t="s">
        <v>1203</v>
      </c>
      <c r="M40">
        <v>42679</v>
      </c>
      <c r="N40">
        <v>2</v>
      </c>
      <c r="O40" t="s">
        <v>531</v>
      </c>
      <c r="P40">
        <v>2</v>
      </c>
    </row>
    <row r="41" spans="1:16">
      <c r="A41" t="s">
        <v>1091</v>
      </c>
      <c r="B41" t="s">
        <v>1092</v>
      </c>
      <c r="C41">
        <v>2</v>
      </c>
      <c r="D41" t="s">
        <v>227</v>
      </c>
      <c r="E41" t="s">
        <v>1093</v>
      </c>
      <c r="F41">
        <v>1</v>
      </c>
      <c r="G41">
        <v>40</v>
      </c>
      <c r="I41" t="s">
        <v>1204</v>
      </c>
      <c r="J41" t="s">
        <v>1205</v>
      </c>
      <c r="K41" t="s">
        <v>1188</v>
      </c>
      <c r="L41" t="s">
        <v>1206</v>
      </c>
      <c r="M41">
        <v>42698</v>
      </c>
      <c r="N41">
        <v>1</v>
      </c>
      <c r="O41" t="s">
        <v>535</v>
      </c>
      <c r="P41">
        <v>1</v>
      </c>
    </row>
    <row r="42" spans="1:16">
      <c r="A42" t="s">
        <v>1091</v>
      </c>
      <c r="B42" t="s">
        <v>1092</v>
      </c>
      <c r="C42">
        <v>2</v>
      </c>
      <c r="D42" t="s">
        <v>227</v>
      </c>
      <c r="E42" t="s">
        <v>1093</v>
      </c>
      <c r="F42">
        <v>1</v>
      </c>
      <c r="G42">
        <v>41</v>
      </c>
      <c r="I42" t="s">
        <v>517</v>
      </c>
      <c r="J42" t="s">
        <v>518</v>
      </c>
      <c r="K42" t="s">
        <v>514</v>
      </c>
      <c r="L42" t="s">
        <v>519</v>
      </c>
      <c r="M42">
        <v>42412</v>
      </c>
      <c r="N42">
        <v>4</v>
      </c>
      <c r="O42" t="s">
        <v>1207</v>
      </c>
      <c r="P42">
        <v>4</v>
      </c>
    </row>
    <row r="43" spans="1:16">
      <c r="A43" t="s">
        <v>1091</v>
      </c>
      <c r="B43" t="s">
        <v>1092</v>
      </c>
      <c r="C43">
        <v>2</v>
      </c>
      <c r="D43" t="s">
        <v>227</v>
      </c>
      <c r="E43" t="s">
        <v>1093</v>
      </c>
      <c r="F43">
        <v>1</v>
      </c>
      <c r="G43">
        <v>42</v>
      </c>
      <c r="I43" t="s">
        <v>1208</v>
      </c>
      <c r="J43" t="s">
        <v>1209</v>
      </c>
      <c r="K43" t="s">
        <v>1188</v>
      </c>
      <c r="L43" t="s">
        <v>1210</v>
      </c>
      <c r="M43">
        <v>42680</v>
      </c>
      <c r="N43">
        <v>1</v>
      </c>
      <c r="O43" t="s">
        <v>1085</v>
      </c>
      <c r="P43">
        <v>1</v>
      </c>
    </row>
    <row r="44" spans="1:16">
      <c r="A44" t="s">
        <v>1091</v>
      </c>
      <c r="B44" t="s">
        <v>1092</v>
      </c>
      <c r="C44">
        <v>2</v>
      </c>
      <c r="D44" t="s">
        <v>227</v>
      </c>
      <c r="E44" t="s">
        <v>1093</v>
      </c>
      <c r="F44">
        <v>1</v>
      </c>
      <c r="G44">
        <v>43</v>
      </c>
      <c r="I44" t="s">
        <v>1211</v>
      </c>
      <c r="J44" t="s">
        <v>1212</v>
      </c>
      <c r="K44" t="s">
        <v>1188</v>
      </c>
      <c r="L44" t="s">
        <v>1213</v>
      </c>
      <c r="M44">
        <v>51974</v>
      </c>
      <c r="N44">
        <v>4</v>
      </c>
      <c r="O44" t="s">
        <v>1214</v>
      </c>
      <c r="P44">
        <v>4</v>
      </c>
    </row>
    <row r="45" spans="1:16">
      <c r="A45" t="s">
        <v>1091</v>
      </c>
      <c r="B45" t="s">
        <v>1092</v>
      </c>
      <c r="C45">
        <v>2</v>
      </c>
      <c r="D45" t="s">
        <v>227</v>
      </c>
      <c r="E45" t="s">
        <v>1093</v>
      </c>
      <c r="F45">
        <v>1</v>
      </c>
      <c r="G45">
        <v>44</v>
      </c>
      <c r="I45" t="s">
        <v>1215</v>
      </c>
      <c r="J45" t="s">
        <v>1216</v>
      </c>
      <c r="K45" t="s">
        <v>1188</v>
      </c>
      <c r="L45" t="s">
        <v>1217</v>
      </c>
      <c r="M45">
        <v>42700</v>
      </c>
      <c r="N45">
        <v>1</v>
      </c>
      <c r="O45" t="s">
        <v>1218</v>
      </c>
      <c r="P45">
        <v>1</v>
      </c>
    </row>
    <row r="46" spans="1:16">
      <c r="A46" t="s">
        <v>1091</v>
      </c>
      <c r="B46" t="s">
        <v>1092</v>
      </c>
      <c r="C46">
        <v>2</v>
      </c>
      <c r="D46" t="s">
        <v>227</v>
      </c>
      <c r="E46" t="s">
        <v>1093</v>
      </c>
      <c r="F46">
        <v>1</v>
      </c>
      <c r="G46">
        <v>45</v>
      </c>
      <c r="I46" t="s">
        <v>1068</v>
      </c>
      <c r="J46" t="s">
        <v>1069</v>
      </c>
      <c r="K46" t="s">
        <v>522</v>
      </c>
      <c r="L46" t="s">
        <v>1070</v>
      </c>
      <c r="M46">
        <v>42587</v>
      </c>
      <c r="N46">
        <v>1</v>
      </c>
      <c r="O46" t="s">
        <v>1219</v>
      </c>
      <c r="P46">
        <v>1</v>
      </c>
    </row>
    <row r="47" spans="1:16">
      <c r="A47" t="s">
        <v>1091</v>
      </c>
      <c r="B47" t="s">
        <v>1092</v>
      </c>
      <c r="C47">
        <v>2</v>
      </c>
      <c r="D47" t="s">
        <v>227</v>
      </c>
      <c r="E47" t="s">
        <v>1093</v>
      </c>
      <c r="F47">
        <v>1</v>
      </c>
      <c r="G47">
        <v>46</v>
      </c>
      <c r="I47" t="s">
        <v>520</v>
      </c>
      <c r="J47" t="s">
        <v>521</v>
      </c>
      <c r="K47" t="s">
        <v>522</v>
      </c>
      <c r="L47" t="s">
        <v>523</v>
      </c>
      <c r="M47">
        <v>42586</v>
      </c>
      <c r="N47">
        <v>2</v>
      </c>
      <c r="O47" t="s">
        <v>1220</v>
      </c>
      <c r="P47">
        <v>2</v>
      </c>
    </row>
    <row r="48" spans="1:16">
      <c r="A48" t="s">
        <v>1091</v>
      </c>
      <c r="B48" t="s">
        <v>1092</v>
      </c>
      <c r="C48">
        <v>2</v>
      </c>
      <c r="D48" t="s">
        <v>227</v>
      </c>
      <c r="E48" t="s">
        <v>1093</v>
      </c>
      <c r="F48">
        <v>1</v>
      </c>
      <c r="G48">
        <v>47</v>
      </c>
      <c r="I48" t="s">
        <v>1221</v>
      </c>
      <c r="J48" t="s">
        <v>1222</v>
      </c>
      <c r="K48" t="s">
        <v>514</v>
      </c>
      <c r="L48" t="s">
        <v>1223</v>
      </c>
      <c r="M48">
        <v>42425</v>
      </c>
      <c r="N48">
        <v>2</v>
      </c>
      <c r="O48" t="s">
        <v>1224</v>
      </c>
      <c r="P48">
        <v>2</v>
      </c>
    </row>
    <row r="49" spans="1:16">
      <c r="A49" t="s">
        <v>1091</v>
      </c>
      <c r="B49" t="s">
        <v>1092</v>
      </c>
      <c r="C49">
        <v>2</v>
      </c>
      <c r="D49" t="s">
        <v>227</v>
      </c>
      <c r="E49" t="s">
        <v>1093</v>
      </c>
      <c r="F49">
        <v>1</v>
      </c>
      <c r="G49">
        <v>48</v>
      </c>
      <c r="I49" t="s">
        <v>1075</v>
      </c>
      <c r="J49" t="s">
        <v>1076</v>
      </c>
      <c r="K49" t="s">
        <v>514</v>
      </c>
      <c r="L49" t="s">
        <v>1077</v>
      </c>
      <c r="M49">
        <v>42437</v>
      </c>
      <c r="N49">
        <v>1</v>
      </c>
      <c r="O49" t="s">
        <v>1225</v>
      </c>
      <c r="P49">
        <v>1</v>
      </c>
    </row>
    <row r="50" spans="1:16">
      <c r="A50" t="s">
        <v>1091</v>
      </c>
      <c r="B50" t="s">
        <v>1092</v>
      </c>
      <c r="C50">
        <v>2</v>
      </c>
      <c r="D50" t="s">
        <v>227</v>
      </c>
      <c r="E50" t="s">
        <v>1093</v>
      </c>
      <c r="F50">
        <v>1</v>
      </c>
      <c r="G50">
        <v>49</v>
      </c>
      <c r="I50" t="s">
        <v>536</v>
      </c>
      <c r="J50" t="s">
        <v>537</v>
      </c>
      <c r="K50" t="s">
        <v>514</v>
      </c>
      <c r="L50" t="s">
        <v>538</v>
      </c>
      <c r="M50">
        <v>42405</v>
      </c>
      <c r="N50">
        <v>1</v>
      </c>
      <c r="O50" t="s">
        <v>1226</v>
      </c>
      <c r="P50">
        <v>1</v>
      </c>
    </row>
    <row r="51" spans="1:16">
      <c r="A51" t="s">
        <v>1091</v>
      </c>
      <c r="B51" t="s">
        <v>1092</v>
      </c>
      <c r="C51">
        <v>2</v>
      </c>
      <c r="D51" t="s">
        <v>227</v>
      </c>
      <c r="E51" t="s">
        <v>1093</v>
      </c>
      <c r="F51">
        <v>1</v>
      </c>
      <c r="G51">
        <v>50</v>
      </c>
      <c r="I51" t="s">
        <v>1227</v>
      </c>
      <c r="J51" t="s">
        <v>1228</v>
      </c>
      <c r="K51" t="s">
        <v>514</v>
      </c>
      <c r="L51" t="s">
        <v>1229</v>
      </c>
      <c r="M51">
        <v>42403</v>
      </c>
      <c r="N51">
        <v>5</v>
      </c>
      <c r="O51" t="s">
        <v>1230</v>
      </c>
      <c r="P51">
        <v>5</v>
      </c>
    </row>
    <row r="52" spans="1:16">
      <c r="A52" t="s">
        <v>1091</v>
      </c>
      <c r="B52" t="s">
        <v>1092</v>
      </c>
      <c r="C52">
        <v>2</v>
      </c>
      <c r="D52" t="s">
        <v>227</v>
      </c>
      <c r="E52" t="s">
        <v>1093</v>
      </c>
      <c r="F52">
        <v>1</v>
      </c>
      <c r="G52">
        <v>51</v>
      </c>
      <c r="I52" t="s">
        <v>1078</v>
      </c>
      <c r="J52" t="s">
        <v>1079</v>
      </c>
      <c r="K52" t="s">
        <v>514</v>
      </c>
      <c r="L52" t="s">
        <v>1080</v>
      </c>
      <c r="M52">
        <v>42411</v>
      </c>
      <c r="N52">
        <v>1</v>
      </c>
      <c r="O52" t="s">
        <v>1231</v>
      </c>
      <c r="P52">
        <v>1</v>
      </c>
    </row>
    <row r="53" spans="1:16">
      <c r="A53" t="s">
        <v>1091</v>
      </c>
      <c r="B53" t="s">
        <v>1092</v>
      </c>
      <c r="C53">
        <v>2</v>
      </c>
      <c r="D53" t="s">
        <v>227</v>
      </c>
      <c r="E53" t="s">
        <v>1093</v>
      </c>
      <c r="F53">
        <v>1</v>
      </c>
      <c r="G53">
        <v>52</v>
      </c>
      <c r="I53" t="s">
        <v>1232</v>
      </c>
      <c r="J53" t="s">
        <v>1233</v>
      </c>
      <c r="K53" t="s">
        <v>514</v>
      </c>
      <c r="L53" t="s">
        <v>1234</v>
      </c>
      <c r="M53">
        <v>42435</v>
      </c>
      <c r="N53">
        <v>1</v>
      </c>
      <c r="O53" t="s">
        <v>1235</v>
      </c>
      <c r="P53">
        <v>1</v>
      </c>
    </row>
    <row r="54" spans="1:16">
      <c r="A54" t="s">
        <v>1091</v>
      </c>
      <c r="B54" t="s">
        <v>1092</v>
      </c>
      <c r="C54">
        <v>2</v>
      </c>
      <c r="D54" t="s">
        <v>227</v>
      </c>
      <c r="E54" t="s">
        <v>1093</v>
      </c>
      <c r="F54">
        <v>1</v>
      </c>
      <c r="G54">
        <v>53</v>
      </c>
      <c r="I54" t="s">
        <v>540</v>
      </c>
      <c r="J54" t="s">
        <v>541</v>
      </c>
      <c r="K54" t="s">
        <v>542</v>
      </c>
      <c r="L54" t="s">
        <v>543</v>
      </c>
      <c r="M54">
        <v>4415</v>
      </c>
      <c r="N54">
        <v>1</v>
      </c>
      <c r="O54" t="s">
        <v>1236</v>
      </c>
      <c r="P54">
        <v>1</v>
      </c>
    </row>
    <row r="55" spans="1:16">
      <c r="N55" s="32">
        <f>SUM(N2:N54)</f>
        <v>195</v>
      </c>
      <c r="P55" s="32">
        <f>SUM(P2:P54)</f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:P48"/>
  <sheetViews>
    <sheetView topLeftCell="A9" workbookViewId="0">
      <selection activeCell="P48" sqref="P48"/>
    </sheetView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 s="2" customFormat="1">
      <c r="A2" s="2" t="s">
        <v>1237</v>
      </c>
      <c r="B2" s="2" t="s">
        <v>1238</v>
      </c>
      <c r="C2" s="2">
        <v>2</v>
      </c>
      <c r="D2" s="2" t="s">
        <v>227</v>
      </c>
      <c r="E2" s="2" t="s">
        <v>1239</v>
      </c>
      <c r="F2" s="2">
        <v>1</v>
      </c>
      <c r="G2" s="2">
        <v>1</v>
      </c>
      <c r="I2" s="2" t="s">
        <v>16</v>
      </c>
      <c r="J2" s="2" t="s">
        <v>17</v>
      </c>
      <c r="K2" s="2" t="s">
        <v>18</v>
      </c>
      <c r="L2" s="2" t="s">
        <v>19</v>
      </c>
      <c r="M2" s="2">
        <v>10191</v>
      </c>
      <c r="N2" s="2">
        <v>2</v>
      </c>
      <c r="O2" s="2" t="s">
        <v>1240</v>
      </c>
      <c r="P2" s="2">
        <v>2</v>
      </c>
    </row>
    <row r="3" spans="1:16">
      <c r="A3" t="s">
        <v>1237</v>
      </c>
      <c r="B3" t="s">
        <v>1238</v>
      </c>
      <c r="C3">
        <v>2</v>
      </c>
      <c r="D3" t="s">
        <v>227</v>
      </c>
      <c r="E3" t="s">
        <v>1239</v>
      </c>
      <c r="F3">
        <v>1</v>
      </c>
      <c r="G3">
        <v>2</v>
      </c>
      <c r="I3" t="s">
        <v>30</v>
      </c>
      <c r="J3" t="s">
        <v>266</v>
      </c>
      <c r="K3" t="s">
        <v>235</v>
      </c>
      <c r="L3" t="s">
        <v>267</v>
      </c>
      <c r="M3">
        <v>42479</v>
      </c>
      <c r="N3">
        <v>31</v>
      </c>
      <c r="O3" t="s">
        <v>1241</v>
      </c>
      <c r="P3">
        <v>31</v>
      </c>
    </row>
    <row r="4" spans="1:16">
      <c r="A4" t="s">
        <v>1237</v>
      </c>
      <c r="B4" t="s">
        <v>1238</v>
      </c>
      <c r="C4">
        <v>2</v>
      </c>
      <c r="D4" t="s">
        <v>227</v>
      </c>
      <c r="E4" t="s">
        <v>1239</v>
      </c>
      <c r="F4">
        <v>1</v>
      </c>
      <c r="G4">
        <v>3</v>
      </c>
      <c r="I4" t="s">
        <v>297</v>
      </c>
      <c r="J4" t="s">
        <v>298</v>
      </c>
      <c r="K4" t="s">
        <v>48</v>
      </c>
      <c r="L4" t="s">
        <v>299</v>
      </c>
      <c r="M4">
        <v>42502</v>
      </c>
      <c r="N4">
        <v>4</v>
      </c>
      <c r="O4" t="s">
        <v>1242</v>
      </c>
      <c r="P4">
        <v>4</v>
      </c>
    </row>
    <row r="5" spans="1:16">
      <c r="A5" t="s">
        <v>1237</v>
      </c>
      <c r="B5" t="s">
        <v>1238</v>
      </c>
      <c r="C5">
        <v>2</v>
      </c>
      <c r="D5" t="s">
        <v>227</v>
      </c>
      <c r="E5" t="s">
        <v>1239</v>
      </c>
      <c r="F5">
        <v>1</v>
      </c>
      <c r="G5">
        <v>4</v>
      </c>
      <c r="I5" t="s">
        <v>242</v>
      </c>
      <c r="J5" t="s">
        <v>243</v>
      </c>
      <c r="K5" t="s">
        <v>32</v>
      </c>
      <c r="L5" t="s">
        <v>244</v>
      </c>
      <c r="M5">
        <v>42485</v>
      </c>
      <c r="N5">
        <v>54</v>
      </c>
      <c r="O5" t="s">
        <v>1243</v>
      </c>
      <c r="P5">
        <v>54</v>
      </c>
    </row>
    <row r="6" spans="1:16">
      <c r="A6" t="s">
        <v>1237</v>
      </c>
      <c r="B6" t="s">
        <v>1238</v>
      </c>
      <c r="C6">
        <v>2</v>
      </c>
      <c r="D6" t="s">
        <v>227</v>
      </c>
      <c r="E6" t="s">
        <v>1239</v>
      </c>
      <c r="F6">
        <v>1</v>
      </c>
      <c r="G6">
        <v>5</v>
      </c>
      <c r="I6" t="s">
        <v>24</v>
      </c>
      <c r="J6" t="s">
        <v>25</v>
      </c>
      <c r="K6" t="s">
        <v>22</v>
      </c>
      <c r="L6" t="s">
        <v>26</v>
      </c>
      <c r="M6">
        <v>2054</v>
      </c>
      <c r="N6">
        <v>4</v>
      </c>
      <c r="O6" t="s">
        <v>1244</v>
      </c>
      <c r="P6">
        <v>4</v>
      </c>
    </row>
    <row r="7" spans="1:16">
      <c r="A7" t="s">
        <v>1237</v>
      </c>
      <c r="B7" t="s">
        <v>1238</v>
      </c>
      <c r="C7">
        <v>2</v>
      </c>
      <c r="D7" t="s">
        <v>227</v>
      </c>
      <c r="E7" t="s">
        <v>1239</v>
      </c>
      <c r="F7">
        <v>1</v>
      </c>
      <c r="G7">
        <v>6</v>
      </c>
      <c r="I7" t="s">
        <v>256</v>
      </c>
      <c r="J7" t="s">
        <v>257</v>
      </c>
      <c r="K7" t="s">
        <v>48</v>
      </c>
      <c r="L7" t="s">
        <v>258</v>
      </c>
      <c r="M7">
        <v>42501</v>
      </c>
      <c r="N7">
        <v>3</v>
      </c>
      <c r="O7" t="s">
        <v>1245</v>
      </c>
      <c r="P7">
        <v>3</v>
      </c>
    </row>
    <row r="8" spans="1:16">
      <c r="A8" t="s">
        <v>1237</v>
      </c>
      <c r="B8" t="s">
        <v>1238</v>
      </c>
      <c r="C8">
        <v>2</v>
      </c>
      <c r="D8" t="s">
        <v>227</v>
      </c>
      <c r="E8" t="s">
        <v>1239</v>
      </c>
      <c r="F8">
        <v>1</v>
      </c>
      <c r="G8">
        <v>7</v>
      </c>
      <c r="I8" t="s">
        <v>20</v>
      </c>
      <c r="J8" t="s">
        <v>21</v>
      </c>
      <c r="K8" t="s">
        <v>22</v>
      </c>
      <c r="L8" t="s">
        <v>23</v>
      </c>
      <c r="M8">
        <v>42431</v>
      </c>
      <c r="N8">
        <v>20</v>
      </c>
      <c r="O8" t="s">
        <v>1246</v>
      </c>
      <c r="P8">
        <v>20</v>
      </c>
    </row>
    <row r="9" spans="1:16">
      <c r="A9" t="s">
        <v>1237</v>
      </c>
      <c r="B9" t="s">
        <v>1238</v>
      </c>
      <c r="C9">
        <v>2</v>
      </c>
      <c r="D9" t="s">
        <v>227</v>
      </c>
      <c r="E9" t="s">
        <v>1239</v>
      </c>
      <c r="F9">
        <v>1</v>
      </c>
      <c r="G9">
        <v>8</v>
      </c>
      <c r="I9" t="s">
        <v>27</v>
      </c>
      <c r="J9" t="s">
        <v>240</v>
      </c>
      <c r="K9" t="s">
        <v>32</v>
      </c>
      <c r="L9" t="s">
        <v>241</v>
      </c>
      <c r="M9">
        <v>42386</v>
      </c>
      <c r="N9">
        <v>4</v>
      </c>
      <c r="O9" t="s">
        <v>1247</v>
      </c>
      <c r="P9">
        <v>4</v>
      </c>
    </row>
    <row r="10" spans="1:16">
      <c r="A10" t="s">
        <v>1237</v>
      </c>
      <c r="B10" t="s">
        <v>1238</v>
      </c>
      <c r="C10">
        <v>2</v>
      </c>
      <c r="D10" t="s">
        <v>227</v>
      </c>
      <c r="E10" t="s">
        <v>1239</v>
      </c>
      <c r="F10">
        <v>1</v>
      </c>
      <c r="G10">
        <v>9</v>
      </c>
      <c r="I10" t="s">
        <v>145</v>
      </c>
      <c r="J10" t="s">
        <v>146</v>
      </c>
      <c r="K10" t="s">
        <v>22</v>
      </c>
      <c r="L10" t="s">
        <v>147</v>
      </c>
      <c r="M10">
        <v>33885</v>
      </c>
      <c r="N10">
        <v>6</v>
      </c>
      <c r="O10" t="s">
        <v>1248</v>
      </c>
      <c r="P10">
        <v>6</v>
      </c>
    </row>
    <row r="11" spans="1:16">
      <c r="A11" t="s">
        <v>1237</v>
      </c>
      <c r="B11" t="s">
        <v>1238</v>
      </c>
      <c r="C11">
        <v>2</v>
      </c>
      <c r="D11" t="s">
        <v>227</v>
      </c>
      <c r="E11" t="s">
        <v>1239</v>
      </c>
      <c r="F11">
        <v>1</v>
      </c>
      <c r="G11">
        <v>10</v>
      </c>
      <c r="I11" t="s">
        <v>245</v>
      </c>
      <c r="J11" t="s">
        <v>246</v>
      </c>
      <c r="K11" t="s">
        <v>32</v>
      </c>
      <c r="L11" t="s">
        <v>247</v>
      </c>
      <c r="M11">
        <v>42429</v>
      </c>
      <c r="N11">
        <v>6</v>
      </c>
      <c r="O11" t="s">
        <v>1249</v>
      </c>
      <c r="P11">
        <v>6</v>
      </c>
    </row>
    <row r="12" spans="1:16">
      <c r="A12" t="s">
        <v>1237</v>
      </c>
      <c r="B12" t="s">
        <v>1238</v>
      </c>
      <c r="C12">
        <v>2</v>
      </c>
      <c r="D12" t="s">
        <v>227</v>
      </c>
      <c r="E12" t="s">
        <v>1239</v>
      </c>
      <c r="F12">
        <v>1</v>
      </c>
      <c r="G12">
        <v>11</v>
      </c>
      <c r="I12" t="s">
        <v>37</v>
      </c>
      <c r="J12" t="s">
        <v>38</v>
      </c>
      <c r="K12" t="s">
        <v>22</v>
      </c>
      <c r="L12" t="s">
        <v>39</v>
      </c>
      <c r="M12">
        <v>33765</v>
      </c>
      <c r="N12">
        <v>4</v>
      </c>
      <c r="O12" t="s">
        <v>1250</v>
      </c>
      <c r="P12">
        <v>4</v>
      </c>
    </row>
    <row r="13" spans="1:16">
      <c r="A13" t="s">
        <v>1237</v>
      </c>
      <c r="B13" t="s">
        <v>1238</v>
      </c>
      <c r="C13">
        <v>2</v>
      </c>
      <c r="D13" t="s">
        <v>227</v>
      </c>
      <c r="E13" t="s">
        <v>1239</v>
      </c>
      <c r="F13">
        <v>1</v>
      </c>
      <c r="G13">
        <v>12</v>
      </c>
      <c r="I13" t="s">
        <v>46</v>
      </c>
      <c r="J13" t="s">
        <v>47</v>
      </c>
      <c r="K13" t="s">
        <v>48</v>
      </c>
      <c r="L13" t="s">
        <v>49</v>
      </c>
      <c r="M13">
        <v>10481</v>
      </c>
      <c r="N13">
        <v>4</v>
      </c>
      <c r="O13" t="s">
        <v>1251</v>
      </c>
      <c r="P13">
        <v>4</v>
      </c>
    </row>
    <row r="14" spans="1:16">
      <c r="A14" t="s">
        <v>1237</v>
      </c>
      <c r="B14" t="s">
        <v>1238</v>
      </c>
      <c r="C14">
        <v>2</v>
      </c>
      <c r="D14" t="s">
        <v>227</v>
      </c>
      <c r="E14" t="s">
        <v>1239</v>
      </c>
      <c r="F14">
        <v>1</v>
      </c>
      <c r="G14">
        <v>13</v>
      </c>
      <c r="I14" t="s">
        <v>50</v>
      </c>
      <c r="J14" t="s">
        <v>51</v>
      </c>
      <c r="K14" t="s">
        <v>22</v>
      </c>
      <c r="L14" t="s">
        <v>52</v>
      </c>
      <c r="M14">
        <v>42335</v>
      </c>
      <c r="N14">
        <v>16</v>
      </c>
      <c r="O14" t="s">
        <v>1252</v>
      </c>
      <c r="P14">
        <v>16</v>
      </c>
    </row>
    <row r="15" spans="1:16">
      <c r="A15" t="s">
        <v>1237</v>
      </c>
      <c r="B15" t="s">
        <v>1238</v>
      </c>
      <c r="C15">
        <v>2</v>
      </c>
      <c r="D15" t="s">
        <v>227</v>
      </c>
      <c r="E15" t="s">
        <v>1239</v>
      </c>
      <c r="F15">
        <v>1</v>
      </c>
      <c r="G15">
        <v>14</v>
      </c>
      <c r="I15" t="s">
        <v>311</v>
      </c>
      <c r="J15" t="s">
        <v>312</v>
      </c>
      <c r="K15" t="s">
        <v>48</v>
      </c>
      <c r="L15" t="s">
        <v>313</v>
      </c>
      <c r="M15">
        <v>42519</v>
      </c>
      <c r="N15">
        <v>16</v>
      </c>
      <c r="O15" t="s">
        <v>1253</v>
      </c>
      <c r="P15">
        <v>16</v>
      </c>
    </row>
    <row r="16" spans="1:16">
      <c r="A16" t="s">
        <v>1237</v>
      </c>
      <c r="B16" t="s">
        <v>1238</v>
      </c>
      <c r="C16">
        <v>2</v>
      </c>
      <c r="D16" t="s">
        <v>227</v>
      </c>
      <c r="E16" t="s">
        <v>1239</v>
      </c>
      <c r="F16">
        <v>1</v>
      </c>
      <c r="G16">
        <v>15</v>
      </c>
      <c r="I16" t="s">
        <v>354</v>
      </c>
      <c r="J16" t="s">
        <v>355</v>
      </c>
      <c r="K16" t="s">
        <v>324</v>
      </c>
      <c r="L16" t="s">
        <v>356</v>
      </c>
      <c r="M16">
        <v>10243</v>
      </c>
      <c r="N16">
        <v>2</v>
      </c>
      <c r="O16" t="s">
        <v>1254</v>
      </c>
      <c r="P16">
        <v>2</v>
      </c>
    </row>
    <row r="17" spans="1:16">
      <c r="A17" t="s">
        <v>1237</v>
      </c>
      <c r="B17" t="s">
        <v>1238</v>
      </c>
      <c r="C17">
        <v>2</v>
      </c>
      <c r="D17" t="s">
        <v>227</v>
      </c>
      <c r="E17" t="s">
        <v>1239</v>
      </c>
      <c r="F17">
        <v>1</v>
      </c>
      <c r="G17">
        <v>16</v>
      </c>
      <c r="I17" t="s">
        <v>329</v>
      </c>
      <c r="J17" t="s">
        <v>330</v>
      </c>
      <c r="K17" t="s">
        <v>324</v>
      </c>
      <c r="L17" t="s">
        <v>331</v>
      </c>
      <c r="M17">
        <v>42493</v>
      </c>
      <c r="N17">
        <v>2</v>
      </c>
      <c r="O17" t="s">
        <v>1115</v>
      </c>
      <c r="P17">
        <v>2</v>
      </c>
    </row>
    <row r="18" spans="1:16">
      <c r="A18" t="s">
        <v>1237</v>
      </c>
      <c r="B18" t="s">
        <v>1238</v>
      </c>
      <c r="C18">
        <v>2</v>
      </c>
      <c r="D18" t="s">
        <v>227</v>
      </c>
      <c r="E18" t="s">
        <v>1239</v>
      </c>
      <c r="F18">
        <v>1</v>
      </c>
      <c r="G18">
        <v>17</v>
      </c>
      <c r="I18" t="s">
        <v>326</v>
      </c>
      <c r="J18" t="s">
        <v>327</v>
      </c>
      <c r="K18" t="s">
        <v>73</v>
      </c>
      <c r="L18" t="s">
        <v>328</v>
      </c>
      <c r="M18">
        <v>42389</v>
      </c>
      <c r="N18">
        <v>4</v>
      </c>
      <c r="O18" t="s">
        <v>1255</v>
      </c>
      <c r="P18">
        <v>4</v>
      </c>
    </row>
    <row r="19" spans="1:16">
      <c r="A19" t="s">
        <v>1237</v>
      </c>
      <c r="B19" t="s">
        <v>1238</v>
      </c>
      <c r="C19">
        <v>2</v>
      </c>
      <c r="D19" t="s">
        <v>227</v>
      </c>
      <c r="E19" t="s">
        <v>1239</v>
      </c>
      <c r="F19">
        <v>1</v>
      </c>
      <c r="G19">
        <v>18</v>
      </c>
      <c r="I19" t="s">
        <v>161</v>
      </c>
      <c r="J19" t="s">
        <v>162</v>
      </c>
      <c r="K19" t="s">
        <v>374</v>
      </c>
      <c r="L19" t="s">
        <v>163</v>
      </c>
      <c r="M19">
        <v>1482</v>
      </c>
      <c r="N19">
        <v>2</v>
      </c>
      <c r="O19" t="s">
        <v>1256</v>
      </c>
      <c r="P19">
        <v>2</v>
      </c>
    </row>
    <row r="20" spans="1:16">
      <c r="A20" t="s">
        <v>1237</v>
      </c>
      <c r="B20" t="s">
        <v>1238</v>
      </c>
      <c r="C20">
        <v>2</v>
      </c>
      <c r="D20" t="s">
        <v>227</v>
      </c>
      <c r="E20" t="s">
        <v>1239</v>
      </c>
      <c r="F20">
        <v>1</v>
      </c>
      <c r="G20">
        <v>19</v>
      </c>
      <c r="I20" t="s">
        <v>174</v>
      </c>
      <c r="J20" t="s">
        <v>175</v>
      </c>
      <c r="K20" t="s">
        <v>333</v>
      </c>
      <c r="L20" t="s">
        <v>176</v>
      </c>
      <c r="M20">
        <v>10430</v>
      </c>
      <c r="N20">
        <v>8</v>
      </c>
      <c r="O20" t="s">
        <v>1257</v>
      </c>
      <c r="P20">
        <v>8</v>
      </c>
    </row>
    <row r="21" spans="1:16">
      <c r="A21" t="s">
        <v>1237</v>
      </c>
      <c r="B21" t="s">
        <v>1238</v>
      </c>
      <c r="C21">
        <v>2</v>
      </c>
      <c r="D21" t="s">
        <v>227</v>
      </c>
      <c r="E21" t="s">
        <v>1239</v>
      </c>
      <c r="F21">
        <v>1</v>
      </c>
      <c r="G21">
        <v>20</v>
      </c>
      <c r="I21" t="s">
        <v>165</v>
      </c>
      <c r="J21" t="s">
        <v>166</v>
      </c>
      <c r="K21" t="s">
        <v>374</v>
      </c>
      <c r="L21" t="s">
        <v>167</v>
      </c>
      <c r="M21">
        <v>1505</v>
      </c>
      <c r="N21">
        <v>4</v>
      </c>
      <c r="O21" t="s">
        <v>1258</v>
      </c>
      <c r="P21">
        <v>4</v>
      </c>
    </row>
    <row r="22" spans="1:16">
      <c r="A22" t="s">
        <v>1237</v>
      </c>
      <c r="B22" t="s">
        <v>1238</v>
      </c>
      <c r="C22">
        <v>2</v>
      </c>
      <c r="D22" t="s">
        <v>227</v>
      </c>
      <c r="E22" t="s">
        <v>1239</v>
      </c>
      <c r="F22">
        <v>1</v>
      </c>
      <c r="G22">
        <v>21</v>
      </c>
      <c r="I22" t="s">
        <v>387</v>
      </c>
      <c r="J22" t="s">
        <v>388</v>
      </c>
      <c r="K22" t="s">
        <v>339</v>
      </c>
      <c r="L22" t="s">
        <v>389</v>
      </c>
      <c r="M22">
        <v>42554</v>
      </c>
      <c r="N22">
        <v>4</v>
      </c>
      <c r="O22" t="s">
        <v>1259</v>
      </c>
      <c r="P22">
        <v>4</v>
      </c>
    </row>
    <row r="23" spans="1:16">
      <c r="A23" t="s">
        <v>1237</v>
      </c>
      <c r="B23" t="s">
        <v>1238</v>
      </c>
      <c r="C23">
        <v>2</v>
      </c>
      <c r="D23" t="s">
        <v>227</v>
      </c>
      <c r="E23" t="s">
        <v>1239</v>
      </c>
      <c r="F23">
        <v>1</v>
      </c>
      <c r="G23">
        <v>22</v>
      </c>
      <c r="I23" t="s">
        <v>379</v>
      </c>
      <c r="J23" t="s">
        <v>380</v>
      </c>
      <c r="K23" t="s">
        <v>367</v>
      </c>
      <c r="L23" t="s">
        <v>381</v>
      </c>
      <c r="M23">
        <v>42555</v>
      </c>
      <c r="N23">
        <v>3</v>
      </c>
      <c r="O23" t="s">
        <v>1260</v>
      </c>
      <c r="P23">
        <v>3</v>
      </c>
    </row>
    <row r="24" spans="1:16">
      <c r="A24" t="s">
        <v>1237</v>
      </c>
      <c r="B24" t="s">
        <v>1238</v>
      </c>
      <c r="C24">
        <v>2</v>
      </c>
      <c r="D24" t="s">
        <v>227</v>
      </c>
      <c r="E24" t="s">
        <v>1239</v>
      </c>
      <c r="F24">
        <v>1</v>
      </c>
      <c r="G24">
        <v>23</v>
      </c>
      <c r="I24" t="s">
        <v>365</v>
      </c>
      <c r="J24" t="s">
        <v>366</v>
      </c>
      <c r="K24" t="s">
        <v>367</v>
      </c>
      <c r="L24" t="s">
        <v>368</v>
      </c>
      <c r="M24">
        <v>42330</v>
      </c>
      <c r="N24">
        <v>1</v>
      </c>
      <c r="O24" t="s">
        <v>1261</v>
      </c>
      <c r="P24">
        <v>1</v>
      </c>
    </row>
    <row r="25" spans="1:16">
      <c r="A25" t="s">
        <v>1237</v>
      </c>
      <c r="B25" t="s">
        <v>1238</v>
      </c>
      <c r="C25">
        <v>2</v>
      </c>
      <c r="D25" t="s">
        <v>227</v>
      </c>
      <c r="E25" t="s">
        <v>1239</v>
      </c>
      <c r="F25">
        <v>1</v>
      </c>
      <c r="G25">
        <v>24</v>
      </c>
      <c r="I25" t="s">
        <v>169</v>
      </c>
      <c r="J25" t="s">
        <v>170</v>
      </c>
      <c r="K25" t="s">
        <v>362</v>
      </c>
      <c r="L25" t="s">
        <v>172</v>
      </c>
      <c r="M25">
        <v>10433</v>
      </c>
      <c r="N25">
        <v>1</v>
      </c>
      <c r="O25" t="s">
        <v>1262</v>
      </c>
      <c r="P25">
        <v>1</v>
      </c>
    </row>
    <row r="26" spans="1:16">
      <c r="A26" t="s">
        <v>1237</v>
      </c>
      <c r="B26" t="s">
        <v>1238</v>
      </c>
      <c r="C26">
        <v>2</v>
      </c>
      <c r="D26" t="s">
        <v>227</v>
      </c>
      <c r="E26" t="s">
        <v>1239</v>
      </c>
      <c r="F26">
        <v>1</v>
      </c>
      <c r="G26">
        <v>25</v>
      </c>
      <c r="I26" t="s">
        <v>715</v>
      </c>
      <c r="J26" t="s">
        <v>716</v>
      </c>
      <c r="K26" t="s">
        <v>717</v>
      </c>
      <c r="L26" t="s">
        <v>718</v>
      </c>
      <c r="M26">
        <v>10457</v>
      </c>
      <c r="N26">
        <v>2</v>
      </c>
      <c r="O26" t="s">
        <v>1263</v>
      </c>
      <c r="P26">
        <v>2</v>
      </c>
    </row>
    <row r="27" spans="1:16">
      <c r="A27" t="s">
        <v>1237</v>
      </c>
      <c r="B27" t="s">
        <v>1238</v>
      </c>
      <c r="C27">
        <v>2</v>
      </c>
      <c r="D27" t="s">
        <v>227</v>
      </c>
      <c r="E27" t="s">
        <v>1239</v>
      </c>
      <c r="F27">
        <v>1</v>
      </c>
      <c r="G27">
        <v>26</v>
      </c>
      <c r="I27" t="s">
        <v>1120</v>
      </c>
      <c r="J27" t="s">
        <v>1121</v>
      </c>
      <c r="K27" t="s">
        <v>1122</v>
      </c>
      <c r="L27" t="s">
        <v>1123</v>
      </c>
      <c r="M27">
        <v>42424</v>
      </c>
      <c r="N27">
        <v>1</v>
      </c>
      <c r="O27" t="s">
        <v>1124</v>
      </c>
      <c r="P27">
        <v>1</v>
      </c>
    </row>
    <row r="28" spans="1:16">
      <c r="A28" t="s">
        <v>1237</v>
      </c>
      <c r="B28" t="s">
        <v>1238</v>
      </c>
      <c r="C28">
        <v>2</v>
      </c>
      <c r="D28" t="s">
        <v>227</v>
      </c>
      <c r="E28" t="s">
        <v>1239</v>
      </c>
      <c r="F28">
        <v>1</v>
      </c>
      <c r="G28">
        <v>27</v>
      </c>
      <c r="I28" t="s">
        <v>81</v>
      </c>
      <c r="J28" t="s">
        <v>82</v>
      </c>
      <c r="K28" t="s">
        <v>77</v>
      </c>
      <c r="L28" t="s">
        <v>83</v>
      </c>
      <c r="M28">
        <v>10416</v>
      </c>
      <c r="N28">
        <v>4</v>
      </c>
      <c r="O28" t="s">
        <v>394</v>
      </c>
      <c r="P28">
        <v>4</v>
      </c>
    </row>
    <row r="29" spans="1:16">
      <c r="A29" t="s">
        <v>1237</v>
      </c>
      <c r="B29" t="s">
        <v>1238</v>
      </c>
      <c r="C29">
        <v>2</v>
      </c>
      <c r="D29" t="s">
        <v>227</v>
      </c>
      <c r="E29" t="s">
        <v>1239</v>
      </c>
      <c r="F29">
        <v>1</v>
      </c>
      <c r="G29">
        <v>28</v>
      </c>
      <c r="I29" t="s">
        <v>75</v>
      </c>
      <c r="J29" t="s">
        <v>76</v>
      </c>
      <c r="K29" t="s">
        <v>32</v>
      </c>
      <c r="L29" t="s">
        <v>189</v>
      </c>
      <c r="M29">
        <v>10522</v>
      </c>
      <c r="N29">
        <v>4</v>
      </c>
      <c r="O29" t="s">
        <v>1264</v>
      </c>
      <c r="P29">
        <v>4</v>
      </c>
    </row>
    <row r="30" spans="1:16">
      <c r="A30" t="s">
        <v>1237</v>
      </c>
      <c r="B30" t="s">
        <v>1238</v>
      </c>
      <c r="C30">
        <v>2</v>
      </c>
      <c r="D30" t="s">
        <v>227</v>
      </c>
      <c r="E30" t="s">
        <v>1239</v>
      </c>
      <c r="F30">
        <v>1</v>
      </c>
      <c r="G30">
        <v>29</v>
      </c>
      <c r="I30" t="s">
        <v>403</v>
      </c>
      <c r="M30">
        <v>10520</v>
      </c>
      <c r="N30">
        <v>2</v>
      </c>
      <c r="O30" t="s">
        <v>1265</v>
      </c>
      <c r="P30">
        <v>2</v>
      </c>
    </row>
    <row r="31" spans="1:16">
      <c r="A31" t="s">
        <v>1237</v>
      </c>
      <c r="B31" t="s">
        <v>1238</v>
      </c>
      <c r="C31">
        <v>2</v>
      </c>
      <c r="D31" t="s">
        <v>227</v>
      </c>
      <c r="E31" t="s">
        <v>1239</v>
      </c>
      <c r="F31">
        <v>1</v>
      </c>
      <c r="G31">
        <v>30</v>
      </c>
      <c r="I31" t="s">
        <v>411</v>
      </c>
      <c r="M31">
        <v>42481</v>
      </c>
      <c r="N31">
        <v>32</v>
      </c>
      <c r="O31" t="s">
        <v>1266</v>
      </c>
      <c r="P31">
        <v>32</v>
      </c>
    </row>
    <row r="32" spans="1:16">
      <c r="A32" t="s">
        <v>1237</v>
      </c>
      <c r="B32" t="s">
        <v>1238</v>
      </c>
      <c r="C32">
        <v>2</v>
      </c>
      <c r="D32" t="s">
        <v>227</v>
      </c>
      <c r="E32" t="s">
        <v>1239</v>
      </c>
      <c r="F32">
        <v>1</v>
      </c>
      <c r="G32">
        <v>31</v>
      </c>
      <c r="I32" t="s">
        <v>431</v>
      </c>
      <c r="J32" t="s">
        <v>432</v>
      </c>
      <c r="K32" t="s">
        <v>48</v>
      </c>
      <c r="L32" t="s">
        <v>433</v>
      </c>
      <c r="M32">
        <v>37891</v>
      </c>
      <c r="N32">
        <v>8</v>
      </c>
      <c r="O32" t="s">
        <v>1267</v>
      </c>
      <c r="P32">
        <v>8</v>
      </c>
    </row>
    <row r="33" spans="1:16">
      <c r="A33" t="s">
        <v>1237</v>
      </c>
      <c r="B33" t="s">
        <v>1238</v>
      </c>
      <c r="C33">
        <v>2</v>
      </c>
      <c r="D33" t="s">
        <v>227</v>
      </c>
      <c r="E33" t="s">
        <v>1239</v>
      </c>
      <c r="F33">
        <v>1</v>
      </c>
      <c r="G33">
        <v>32</v>
      </c>
      <c r="I33" t="s">
        <v>412</v>
      </c>
      <c r="J33" t="s">
        <v>413</v>
      </c>
      <c r="K33" t="s">
        <v>48</v>
      </c>
      <c r="L33" t="s">
        <v>414</v>
      </c>
      <c r="M33">
        <v>37742</v>
      </c>
      <c r="N33">
        <v>2</v>
      </c>
      <c r="O33" t="s">
        <v>1268</v>
      </c>
      <c r="P33">
        <v>2</v>
      </c>
    </row>
    <row r="34" spans="1:16">
      <c r="A34" t="s">
        <v>1237</v>
      </c>
      <c r="B34" t="s">
        <v>1238</v>
      </c>
      <c r="C34">
        <v>2</v>
      </c>
      <c r="D34" t="s">
        <v>227</v>
      </c>
      <c r="E34" t="s">
        <v>1239</v>
      </c>
      <c r="F34">
        <v>1</v>
      </c>
      <c r="G34">
        <v>33</v>
      </c>
      <c r="I34" t="s">
        <v>428</v>
      </c>
      <c r="J34" t="s">
        <v>429</v>
      </c>
      <c r="K34" t="s">
        <v>48</v>
      </c>
      <c r="L34" t="s">
        <v>430</v>
      </c>
      <c r="M34">
        <v>37731</v>
      </c>
      <c r="N34">
        <v>3</v>
      </c>
      <c r="O34" t="s">
        <v>1269</v>
      </c>
      <c r="P34">
        <v>3</v>
      </c>
    </row>
    <row r="35" spans="1:16">
      <c r="A35" t="s">
        <v>1237</v>
      </c>
      <c r="B35" t="s">
        <v>1238</v>
      </c>
      <c r="C35">
        <v>2</v>
      </c>
      <c r="D35" t="s">
        <v>227</v>
      </c>
      <c r="E35" t="s">
        <v>1239</v>
      </c>
      <c r="F35">
        <v>1</v>
      </c>
      <c r="G35">
        <v>34</v>
      </c>
      <c r="I35" t="s">
        <v>477</v>
      </c>
      <c r="J35" t="s">
        <v>478</v>
      </c>
      <c r="K35" t="s">
        <v>270</v>
      </c>
      <c r="L35" t="s">
        <v>479</v>
      </c>
      <c r="M35">
        <v>42633</v>
      </c>
      <c r="N35">
        <v>4</v>
      </c>
      <c r="O35" t="s">
        <v>1270</v>
      </c>
      <c r="P35">
        <v>4</v>
      </c>
    </row>
    <row r="36" spans="1:16">
      <c r="A36" t="s">
        <v>1237</v>
      </c>
      <c r="B36" t="s">
        <v>1238</v>
      </c>
      <c r="C36">
        <v>2</v>
      </c>
      <c r="D36" t="s">
        <v>227</v>
      </c>
      <c r="E36" t="s">
        <v>1239</v>
      </c>
      <c r="F36">
        <v>1</v>
      </c>
      <c r="G36">
        <v>35</v>
      </c>
      <c r="I36" t="s">
        <v>486</v>
      </c>
      <c r="J36" t="s">
        <v>487</v>
      </c>
      <c r="K36" t="s">
        <v>48</v>
      </c>
      <c r="L36" t="s">
        <v>488</v>
      </c>
      <c r="M36">
        <v>38556</v>
      </c>
      <c r="N36">
        <v>4</v>
      </c>
      <c r="O36" t="s">
        <v>1271</v>
      </c>
      <c r="P36">
        <v>4</v>
      </c>
    </row>
    <row r="37" spans="1:16">
      <c r="A37" t="s">
        <v>1237</v>
      </c>
      <c r="B37" t="s">
        <v>1238</v>
      </c>
      <c r="C37">
        <v>2</v>
      </c>
      <c r="D37" t="s">
        <v>227</v>
      </c>
      <c r="E37" t="s">
        <v>1239</v>
      </c>
      <c r="F37">
        <v>1</v>
      </c>
      <c r="G37">
        <v>36</v>
      </c>
      <c r="I37" t="s">
        <v>94</v>
      </c>
      <c r="J37" t="s">
        <v>212</v>
      </c>
      <c r="K37" t="s">
        <v>48</v>
      </c>
      <c r="L37" t="s">
        <v>213</v>
      </c>
      <c r="M37">
        <v>40582</v>
      </c>
      <c r="N37">
        <v>2</v>
      </c>
      <c r="O37" t="s">
        <v>1272</v>
      </c>
      <c r="P37">
        <v>2</v>
      </c>
    </row>
    <row r="38" spans="1:16">
      <c r="A38" t="s">
        <v>1237</v>
      </c>
      <c r="B38" t="s">
        <v>1238</v>
      </c>
      <c r="C38">
        <v>2</v>
      </c>
      <c r="D38" t="s">
        <v>227</v>
      </c>
      <c r="E38" t="s">
        <v>1239</v>
      </c>
      <c r="F38">
        <v>1</v>
      </c>
      <c r="G38">
        <v>37</v>
      </c>
      <c r="I38" t="s">
        <v>483</v>
      </c>
      <c r="J38" t="s">
        <v>484</v>
      </c>
      <c r="K38" t="s">
        <v>48</v>
      </c>
      <c r="L38" t="s">
        <v>485</v>
      </c>
      <c r="M38">
        <v>37775</v>
      </c>
      <c r="N38">
        <v>6</v>
      </c>
      <c r="O38" t="s">
        <v>1273</v>
      </c>
      <c r="P38">
        <v>6</v>
      </c>
    </row>
    <row r="39" spans="1:16">
      <c r="A39" t="s">
        <v>1237</v>
      </c>
      <c r="B39" t="s">
        <v>1238</v>
      </c>
      <c r="C39">
        <v>2</v>
      </c>
      <c r="D39" t="s">
        <v>227</v>
      </c>
      <c r="E39" t="s">
        <v>1239</v>
      </c>
      <c r="F39">
        <v>1</v>
      </c>
      <c r="G39">
        <v>38</v>
      </c>
      <c r="I39" t="s">
        <v>420</v>
      </c>
      <c r="J39" t="s">
        <v>421</v>
      </c>
      <c r="K39" t="s">
        <v>48</v>
      </c>
      <c r="L39" t="s">
        <v>422</v>
      </c>
      <c r="M39">
        <v>38241</v>
      </c>
      <c r="N39">
        <v>2</v>
      </c>
      <c r="O39" t="s">
        <v>1274</v>
      </c>
      <c r="P39">
        <v>2</v>
      </c>
    </row>
    <row r="40" spans="1:16">
      <c r="A40" t="s">
        <v>1237</v>
      </c>
      <c r="B40" t="s">
        <v>1238</v>
      </c>
      <c r="C40">
        <v>2</v>
      </c>
      <c r="D40" t="s">
        <v>227</v>
      </c>
      <c r="E40" t="s">
        <v>1239</v>
      </c>
      <c r="F40">
        <v>1</v>
      </c>
      <c r="G40">
        <v>39</v>
      </c>
      <c r="I40" t="s">
        <v>480</v>
      </c>
      <c r="J40" t="s">
        <v>481</v>
      </c>
      <c r="K40" t="s">
        <v>48</v>
      </c>
      <c r="L40" t="s">
        <v>482</v>
      </c>
      <c r="M40">
        <v>38104</v>
      </c>
      <c r="N40">
        <v>13</v>
      </c>
      <c r="O40" t="s">
        <v>1275</v>
      </c>
      <c r="P40">
        <v>13</v>
      </c>
    </row>
    <row r="41" spans="1:16">
      <c r="A41" t="s">
        <v>1237</v>
      </c>
      <c r="B41" t="s">
        <v>1238</v>
      </c>
      <c r="C41">
        <v>2</v>
      </c>
      <c r="D41" t="s">
        <v>227</v>
      </c>
      <c r="E41" t="s">
        <v>1239</v>
      </c>
      <c r="F41">
        <v>1</v>
      </c>
      <c r="G41">
        <v>40</v>
      </c>
      <c r="I41" t="s">
        <v>415</v>
      </c>
      <c r="J41" t="s">
        <v>416</v>
      </c>
      <c r="K41" t="s">
        <v>48</v>
      </c>
      <c r="L41" t="s">
        <v>417</v>
      </c>
      <c r="M41">
        <v>28170</v>
      </c>
      <c r="N41">
        <v>4</v>
      </c>
      <c r="O41" t="s">
        <v>1276</v>
      </c>
      <c r="P41">
        <v>4</v>
      </c>
    </row>
    <row r="42" spans="1:16">
      <c r="A42" t="s">
        <v>1237</v>
      </c>
      <c r="B42" t="s">
        <v>1238</v>
      </c>
      <c r="C42">
        <v>2</v>
      </c>
      <c r="D42" t="s">
        <v>227</v>
      </c>
      <c r="E42" t="s">
        <v>1239</v>
      </c>
      <c r="F42">
        <v>1</v>
      </c>
      <c r="G42">
        <v>41</v>
      </c>
      <c r="I42" t="s">
        <v>120</v>
      </c>
      <c r="J42" t="s">
        <v>121</v>
      </c>
      <c r="K42" t="s">
        <v>122</v>
      </c>
      <c r="L42" t="s">
        <v>123</v>
      </c>
      <c r="M42">
        <v>10350</v>
      </c>
      <c r="N42">
        <v>4</v>
      </c>
      <c r="O42" t="s">
        <v>1277</v>
      </c>
      <c r="P42">
        <v>4</v>
      </c>
    </row>
    <row r="43" spans="1:16">
      <c r="A43" t="s">
        <v>1237</v>
      </c>
      <c r="B43" t="s">
        <v>1238</v>
      </c>
      <c r="C43">
        <v>2</v>
      </c>
      <c r="D43" t="s">
        <v>227</v>
      </c>
      <c r="E43" t="s">
        <v>1239</v>
      </c>
      <c r="F43">
        <v>1</v>
      </c>
      <c r="G43">
        <v>42</v>
      </c>
      <c r="I43" t="s">
        <v>509</v>
      </c>
      <c r="J43" t="s">
        <v>510</v>
      </c>
      <c r="K43" t="s">
        <v>324</v>
      </c>
      <c r="L43" t="s">
        <v>511</v>
      </c>
      <c r="M43">
        <v>42577</v>
      </c>
      <c r="N43">
        <v>16</v>
      </c>
      <c r="O43" t="s">
        <v>1278</v>
      </c>
      <c r="P43">
        <v>16</v>
      </c>
    </row>
    <row r="44" spans="1:16">
      <c r="A44" t="s">
        <v>1237</v>
      </c>
      <c r="B44" t="s">
        <v>1238</v>
      </c>
      <c r="C44">
        <v>2</v>
      </c>
      <c r="D44" t="s">
        <v>227</v>
      </c>
      <c r="E44" t="s">
        <v>1239</v>
      </c>
      <c r="F44">
        <v>1</v>
      </c>
      <c r="G44">
        <v>43</v>
      </c>
      <c r="I44" t="s">
        <v>506</v>
      </c>
      <c r="J44" t="s">
        <v>507</v>
      </c>
      <c r="K44" t="s">
        <v>324</v>
      </c>
      <c r="L44" t="s">
        <v>508</v>
      </c>
      <c r="M44">
        <v>42495</v>
      </c>
      <c r="N44">
        <v>2</v>
      </c>
      <c r="O44" t="s">
        <v>1279</v>
      </c>
      <c r="P44">
        <v>2</v>
      </c>
    </row>
    <row r="45" spans="1:16">
      <c r="A45" t="s">
        <v>1237</v>
      </c>
      <c r="B45" t="s">
        <v>1238</v>
      </c>
      <c r="C45">
        <v>2</v>
      </c>
      <c r="D45" t="s">
        <v>227</v>
      </c>
      <c r="E45" t="s">
        <v>1239</v>
      </c>
      <c r="F45">
        <v>1</v>
      </c>
      <c r="G45">
        <v>44</v>
      </c>
      <c r="I45" t="s">
        <v>517</v>
      </c>
      <c r="J45" t="s">
        <v>518</v>
      </c>
      <c r="K45" t="s">
        <v>514</v>
      </c>
      <c r="L45" t="s">
        <v>519</v>
      </c>
      <c r="M45">
        <v>42412</v>
      </c>
      <c r="N45">
        <v>4</v>
      </c>
      <c r="O45" t="s">
        <v>1280</v>
      </c>
      <c r="P45">
        <v>4</v>
      </c>
    </row>
    <row r="46" spans="1:16">
      <c r="A46" t="s">
        <v>1237</v>
      </c>
      <c r="B46" t="s">
        <v>1238</v>
      </c>
      <c r="C46">
        <v>2</v>
      </c>
      <c r="D46" t="s">
        <v>227</v>
      </c>
      <c r="E46" t="s">
        <v>1239</v>
      </c>
      <c r="F46">
        <v>1</v>
      </c>
      <c r="G46">
        <v>45</v>
      </c>
      <c r="I46" t="s">
        <v>525</v>
      </c>
      <c r="J46" t="s">
        <v>526</v>
      </c>
      <c r="K46" t="s">
        <v>527</v>
      </c>
      <c r="L46" t="s">
        <v>528</v>
      </c>
      <c r="M46">
        <v>10403</v>
      </c>
      <c r="N46">
        <v>1</v>
      </c>
      <c r="O46" t="s">
        <v>529</v>
      </c>
      <c r="P46">
        <v>1</v>
      </c>
    </row>
    <row r="47" spans="1:16">
      <c r="A47" t="s">
        <v>1237</v>
      </c>
      <c r="B47" t="s">
        <v>1238</v>
      </c>
      <c r="C47">
        <v>2</v>
      </c>
      <c r="D47" t="s">
        <v>227</v>
      </c>
      <c r="E47" t="s">
        <v>1239</v>
      </c>
      <c r="F47">
        <v>1</v>
      </c>
      <c r="G47">
        <v>46</v>
      </c>
      <c r="I47" t="s">
        <v>532</v>
      </c>
      <c r="J47" t="s">
        <v>533</v>
      </c>
      <c r="K47" t="s">
        <v>527</v>
      </c>
      <c r="L47" t="s">
        <v>534</v>
      </c>
      <c r="M47">
        <v>10412</v>
      </c>
      <c r="N47">
        <v>1</v>
      </c>
      <c r="O47" t="s">
        <v>535</v>
      </c>
      <c r="P47">
        <v>1</v>
      </c>
    </row>
    <row r="48" spans="1:16">
      <c r="N48" s="32">
        <f>SUM(N2:N47)</f>
        <v>326</v>
      </c>
      <c r="P48" s="32">
        <f>SUM(P2:P47)</f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:P74"/>
  <sheetViews>
    <sheetView topLeftCell="A55" workbookViewId="0">
      <selection activeCell="P74" sqref="P74"/>
    </sheetView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 s="2" customFormat="1">
      <c r="A2" s="2" t="s">
        <v>1281</v>
      </c>
      <c r="B2" s="2" t="s">
        <v>1282</v>
      </c>
      <c r="C2" s="2">
        <v>2</v>
      </c>
      <c r="D2" s="2" t="s">
        <v>227</v>
      </c>
      <c r="E2" s="2" t="s">
        <v>1283</v>
      </c>
      <c r="F2" s="2">
        <v>1</v>
      </c>
      <c r="G2" s="2">
        <v>1</v>
      </c>
      <c r="I2" s="2" t="s">
        <v>1097</v>
      </c>
      <c r="J2" s="2" t="s">
        <v>1098</v>
      </c>
      <c r="K2" s="2" t="s">
        <v>48</v>
      </c>
      <c r="L2" s="2" t="s">
        <v>1099</v>
      </c>
      <c r="M2" s="2">
        <v>42504</v>
      </c>
      <c r="N2" s="2">
        <v>1</v>
      </c>
      <c r="O2" s="2" t="s">
        <v>1284</v>
      </c>
      <c r="P2" s="2">
        <v>1</v>
      </c>
    </row>
    <row r="3" spans="1:16">
      <c r="A3" t="s">
        <v>1281</v>
      </c>
      <c r="B3" t="s">
        <v>1282</v>
      </c>
      <c r="C3">
        <v>2</v>
      </c>
      <c r="D3" t="s">
        <v>227</v>
      </c>
      <c r="E3" t="s">
        <v>1283</v>
      </c>
      <c r="F3">
        <v>1</v>
      </c>
      <c r="G3">
        <v>2</v>
      </c>
      <c r="I3" t="s">
        <v>34</v>
      </c>
      <c r="J3" t="s">
        <v>35</v>
      </c>
      <c r="K3" t="s">
        <v>22</v>
      </c>
      <c r="L3" t="s">
        <v>36</v>
      </c>
      <c r="M3">
        <v>4320</v>
      </c>
      <c r="N3">
        <v>10</v>
      </c>
      <c r="O3" t="s">
        <v>1285</v>
      </c>
      <c r="P3">
        <v>10</v>
      </c>
    </row>
    <row r="4" spans="1:16">
      <c r="A4" t="s">
        <v>1281</v>
      </c>
      <c r="B4" t="s">
        <v>1282</v>
      </c>
      <c r="C4">
        <v>2</v>
      </c>
      <c r="D4" t="s">
        <v>227</v>
      </c>
      <c r="E4" t="s">
        <v>1283</v>
      </c>
      <c r="F4">
        <v>1</v>
      </c>
      <c r="G4">
        <v>3</v>
      </c>
      <c r="I4" t="s">
        <v>24</v>
      </c>
      <c r="J4" t="s">
        <v>25</v>
      </c>
      <c r="K4" t="s">
        <v>22</v>
      </c>
      <c r="L4" t="s">
        <v>26</v>
      </c>
      <c r="M4">
        <v>2054</v>
      </c>
      <c r="N4">
        <v>37</v>
      </c>
      <c r="O4" t="s">
        <v>1286</v>
      </c>
      <c r="P4">
        <v>37</v>
      </c>
    </row>
    <row r="5" spans="1:16">
      <c r="A5" t="s">
        <v>1281</v>
      </c>
      <c r="B5" t="s">
        <v>1282</v>
      </c>
      <c r="C5">
        <v>2</v>
      </c>
      <c r="D5" t="s">
        <v>227</v>
      </c>
      <c r="E5" t="s">
        <v>1283</v>
      </c>
      <c r="F5">
        <v>1</v>
      </c>
      <c r="G5">
        <v>4</v>
      </c>
      <c r="I5" t="s">
        <v>43</v>
      </c>
      <c r="J5" t="s">
        <v>44</v>
      </c>
      <c r="K5" t="s">
        <v>22</v>
      </c>
      <c r="L5" t="s">
        <v>45</v>
      </c>
      <c r="M5">
        <v>33769</v>
      </c>
      <c r="N5">
        <v>6</v>
      </c>
      <c r="O5" t="s">
        <v>1287</v>
      </c>
      <c r="P5">
        <v>6</v>
      </c>
    </row>
    <row r="6" spans="1:16">
      <c r="A6" t="s">
        <v>1281</v>
      </c>
      <c r="B6" t="s">
        <v>1282</v>
      </c>
      <c r="C6">
        <v>2</v>
      </c>
      <c r="D6" t="s">
        <v>227</v>
      </c>
      <c r="E6" t="s">
        <v>1283</v>
      </c>
      <c r="F6">
        <v>1</v>
      </c>
      <c r="G6">
        <v>5</v>
      </c>
      <c r="I6" t="s">
        <v>1288</v>
      </c>
      <c r="J6" t="s">
        <v>1289</v>
      </c>
      <c r="K6" t="s">
        <v>22</v>
      </c>
      <c r="L6" t="s">
        <v>1290</v>
      </c>
      <c r="M6">
        <v>1148</v>
      </c>
      <c r="N6">
        <v>3</v>
      </c>
      <c r="O6" t="s">
        <v>1291</v>
      </c>
      <c r="P6">
        <v>3</v>
      </c>
    </row>
    <row r="7" spans="1:16">
      <c r="A7" t="s">
        <v>1281</v>
      </c>
      <c r="B7" t="s">
        <v>1282</v>
      </c>
      <c r="C7">
        <v>2</v>
      </c>
      <c r="D7" t="s">
        <v>227</v>
      </c>
      <c r="E7" t="s">
        <v>1283</v>
      </c>
      <c r="F7">
        <v>1</v>
      </c>
      <c r="G7">
        <v>6</v>
      </c>
      <c r="I7" t="s">
        <v>1292</v>
      </c>
      <c r="J7" t="s">
        <v>1293</v>
      </c>
      <c r="K7" t="s">
        <v>1103</v>
      </c>
      <c r="L7" t="s">
        <v>1294</v>
      </c>
      <c r="M7">
        <v>42575</v>
      </c>
      <c r="N7">
        <v>4</v>
      </c>
      <c r="O7" t="s">
        <v>1295</v>
      </c>
      <c r="P7">
        <v>4</v>
      </c>
    </row>
    <row r="8" spans="1:16">
      <c r="A8" t="s">
        <v>1281</v>
      </c>
      <c r="B8" t="s">
        <v>1282</v>
      </c>
      <c r="C8">
        <v>2</v>
      </c>
      <c r="D8" t="s">
        <v>227</v>
      </c>
      <c r="E8" t="s">
        <v>1283</v>
      </c>
      <c r="F8">
        <v>1</v>
      </c>
      <c r="G8">
        <v>7</v>
      </c>
      <c r="I8" t="s">
        <v>1296</v>
      </c>
      <c r="J8" t="s">
        <v>1297</v>
      </c>
      <c r="K8" t="s">
        <v>48</v>
      </c>
      <c r="L8" t="s">
        <v>1298</v>
      </c>
      <c r="M8">
        <v>42650</v>
      </c>
      <c r="N8">
        <v>3</v>
      </c>
      <c r="O8" t="s">
        <v>1299</v>
      </c>
      <c r="P8">
        <v>3</v>
      </c>
    </row>
    <row r="9" spans="1:16">
      <c r="A9" t="s">
        <v>1281</v>
      </c>
      <c r="B9" t="s">
        <v>1282</v>
      </c>
      <c r="C9">
        <v>2</v>
      </c>
      <c r="D9" t="s">
        <v>227</v>
      </c>
      <c r="E9" t="s">
        <v>1283</v>
      </c>
      <c r="F9">
        <v>1</v>
      </c>
      <c r="G9">
        <v>8</v>
      </c>
      <c r="I9" t="s">
        <v>27</v>
      </c>
      <c r="J9" t="s">
        <v>240</v>
      </c>
      <c r="K9" t="s">
        <v>32</v>
      </c>
      <c r="L9" t="s">
        <v>241</v>
      </c>
      <c r="M9">
        <v>42386</v>
      </c>
      <c r="N9">
        <v>19</v>
      </c>
      <c r="O9" t="s">
        <v>1300</v>
      </c>
      <c r="P9">
        <v>19</v>
      </c>
    </row>
    <row r="10" spans="1:16">
      <c r="A10" t="s">
        <v>1281</v>
      </c>
      <c r="B10" t="s">
        <v>1282</v>
      </c>
      <c r="C10">
        <v>2</v>
      </c>
      <c r="D10" t="s">
        <v>227</v>
      </c>
      <c r="E10" t="s">
        <v>1283</v>
      </c>
      <c r="F10">
        <v>1</v>
      </c>
      <c r="G10">
        <v>9</v>
      </c>
      <c r="I10" t="s">
        <v>20</v>
      </c>
      <c r="J10" t="s">
        <v>21</v>
      </c>
      <c r="K10" t="s">
        <v>22</v>
      </c>
      <c r="L10" t="s">
        <v>23</v>
      </c>
      <c r="M10">
        <v>42431</v>
      </c>
      <c r="N10">
        <v>3</v>
      </c>
      <c r="O10" t="s">
        <v>1301</v>
      </c>
      <c r="P10">
        <v>3</v>
      </c>
    </row>
    <row r="11" spans="1:16">
      <c r="A11" t="s">
        <v>1281</v>
      </c>
      <c r="B11" t="s">
        <v>1282</v>
      </c>
      <c r="C11">
        <v>2</v>
      </c>
      <c r="D11" t="s">
        <v>227</v>
      </c>
      <c r="E11" t="s">
        <v>1283</v>
      </c>
      <c r="F11">
        <v>1</v>
      </c>
      <c r="G11">
        <v>10</v>
      </c>
      <c r="I11" t="s">
        <v>30</v>
      </c>
      <c r="J11" t="s">
        <v>31</v>
      </c>
      <c r="K11" t="s">
        <v>32</v>
      </c>
      <c r="L11" t="s">
        <v>33</v>
      </c>
      <c r="M11">
        <v>42476</v>
      </c>
      <c r="N11">
        <v>6</v>
      </c>
      <c r="O11" t="s">
        <v>1302</v>
      </c>
      <c r="P11">
        <v>6</v>
      </c>
    </row>
    <row r="12" spans="1:16">
      <c r="A12" t="s">
        <v>1281</v>
      </c>
      <c r="B12" t="s">
        <v>1282</v>
      </c>
      <c r="C12">
        <v>2</v>
      </c>
      <c r="D12" t="s">
        <v>227</v>
      </c>
      <c r="E12" t="s">
        <v>1283</v>
      </c>
      <c r="F12">
        <v>1</v>
      </c>
      <c r="G12">
        <v>11</v>
      </c>
      <c r="I12" t="s">
        <v>1303</v>
      </c>
      <c r="J12" t="s">
        <v>1304</v>
      </c>
      <c r="K12" t="s">
        <v>22</v>
      </c>
      <c r="L12" t="s">
        <v>1305</v>
      </c>
      <c r="M12">
        <v>60</v>
      </c>
      <c r="N12">
        <v>1</v>
      </c>
      <c r="O12" t="s">
        <v>1306</v>
      </c>
      <c r="P12">
        <v>1</v>
      </c>
    </row>
    <row r="13" spans="1:16">
      <c r="A13" t="s">
        <v>1281</v>
      </c>
      <c r="B13" t="s">
        <v>1282</v>
      </c>
      <c r="C13">
        <v>2</v>
      </c>
      <c r="D13" t="s">
        <v>227</v>
      </c>
      <c r="E13" t="s">
        <v>1283</v>
      </c>
      <c r="F13">
        <v>1</v>
      </c>
      <c r="G13">
        <v>12</v>
      </c>
      <c r="I13" t="s">
        <v>1307</v>
      </c>
      <c r="J13" t="s">
        <v>1308</v>
      </c>
      <c r="K13" t="s">
        <v>1309</v>
      </c>
      <c r="L13" t="s">
        <v>1310</v>
      </c>
      <c r="M13">
        <v>42665</v>
      </c>
      <c r="N13">
        <v>8</v>
      </c>
      <c r="O13" t="s">
        <v>1311</v>
      </c>
      <c r="P13">
        <v>8</v>
      </c>
    </row>
    <row r="14" spans="1:16">
      <c r="A14" t="s">
        <v>1281</v>
      </c>
      <c r="B14" t="s">
        <v>1282</v>
      </c>
      <c r="C14">
        <v>2</v>
      </c>
      <c r="D14" t="s">
        <v>227</v>
      </c>
      <c r="E14" t="s">
        <v>1283</v>
      </c>
      <c r="F14">
        <v>1</v>
      </c>
      <c r="G14">
        <v>13</v>
      </c>
      <c r="I14" t="s">
        <v>1312</v>
      </c>
      <c r="J14" t="s">
        <v>1313</v>
      </c>
      <c r="K14" t="s">
        <v>22</v>
      </c>
      <c r="L14" t="s">
        <v>1314</v>
      </c>
      <c r="M14">
        <v>8542</v>
      </c>
      <c r="N14">
        <v>7</v>
      </c>
      <c r="O14" t="s">
        <v>1315</v>
      </c>
      <c r="P14">
        <v>7</v>
      </c>
    </row>
    <row r="15" spans="1:16">
      <c r="A15" t="s">
        <v>1281</v>
      </c>
      <c r="B15" t="s">
        <v>1282</v>
      </c>
      <c r="C15">
        <v>2</v>
      </c>
      <c r="D15" t="s">
        <v>227</v>
      </c>
      <c r="E15" t="s">
        <v>1283</v>
      </c>
      <c r="F15">
        <v>1</v>
      </c>
      <c r="G15">
        <v>14</v>
      </c>
      <c r="I15" t="s">
        <v>1316</v>
      </c>
      <c r="J15" t="s">
        <v>1317</v>
      </c>
      <c r="K15" t="s">
        <v>32</v>
      </c>
      <c r="L15" t="s">
        <v>1318</v>
      </c>
      <c r="M15">
        <v>42664</v>
      </c>
      <c r="N15">
        <v>8</v>
      </c>
      <c r="O15" t="s">
        <v>1319</v>
      </c>
      <c r="P15">
        <v>8</v>
      </c>
    </row>
    <row r="16" spans="1:16">
      <c r="A16" t="s">
        <v>1281</v>
      </c>
      <c r="B16" t="s">
        <v>1282</v>
      </c>
      <c r="C16">
        <v>2</v>
      </c>
      <c r="D16" t="s">
        <v>227</v>
      </c>
      <c r="E16" t="s">
        <v>1283</v>
      </c>
      <c r="F16">
        <v>1</v>
      </c>
      <c r="G16">
        <v>15</v>
      </c>
      <c r="I16" t="s">
        <v>581</v>
      </c>
      <c r="J16" t="s">
        <v>582</v>
      </c>
      <c r="K16" t="s">
        <v>287</v>
      </c>
      <c r="L16" t="s">
        <v>583</v>
      </c>
      <c r="M16">
        <v>33942</v>
      </c>
      <c r="N16">
        <v>5</v>
      </c>
      <c r="O16" t="s">
        <v>1320</v>
      </c>
      <c r="P16">
        <v>5</v>
      </c>
    </row>
    <row r="17" spans="1:16">
      <c r="A17" t="s">
        <v>1281</v>
      </c>
      <c r="B17" t="s">
        <v>1282</v>
      </c>
      <c r="C17">
        <v>2</v>
      </c>
      <c r="D17" t="s">
        <v>227</v>
      </c>
      <c r="E17" t="s">
        <v>1283</v>
      </c>
      <c r="F17">
        <v>1</v>
      </c>
      <c r="G17">
        <v>16</v>
      </c>
      <c r="I17" t="s">
        <v>1321</v>
      </c>
      <c r="J17" t="s">
        <v>1322</v>
      </c>
      <c r="K17" t="s">
        <v>287</v>
      </c>
      <c r="L17" t="s">
        <v>1323</v>
      </c>
      <c r="M17">
        <v>1352</v>
      </c>
      <c r="N17">
        <v>7</v>
      </c>
      <c r="O17" t="s">
        <v>1324</v>
      </c>
      <c r="P17">
        <v>7</v>
      </c>
    </row>
    <row r="18" spans="1:16">
      <c r="A18" t="s">
        <v>1281</v>
      </c>
      <c r="B18" t="s">
        <v>1282</v>
      </c>
      <c r="C18">
        <v>2</v>
      </c>
      <c r="D18" t="s">
        <v>227</v>
      </c>
      <c r="E18" t="s">
        <v>1283</v>
      </c>
      <c r="F18">
        <v>1</v>
      </c>
      <c r="G18">
        <v>17</v>
      </c>
      <c r="I18" t="s">
        <v>1325</v>
      </c>
      <c r="J18" t="s">
        <v>1326</v>
      </c>
      <c r="K18" t="s">
        <v>22</v>
      </c>
      <c r="L18" t="s">
        <v>1327</v>
      </c>
      <c r="M18">
        <v>33766</v>
      </c>
      <c r="N18">
        <v>4</v>
      </c>
      <c r="O18" t="s">
        <v>1328</v>
      </c>
      <c r="P18">
        <v>4</v>
      </c>
    </row>
    <row r="19" spans="1:16">
      <c r="A19" t="s">
        <v>1281</v>
      </c>
      <c r="B19" t="s">
        <v>1282</v>
      </c>
      <c r="C19">
        <v>2</v>
      </c>
      <c r="D19" t="s">
        <v>227</v>
      </c>
      <c r="E19" t="s">
        <v>1283</v>
      </c>
      <c r="F19">
        <v>1</v>
      </c>
      <c r="G19">
        <v>18</v>
      </c>
      <c r="I19" t="s">
        <v>53</v>
      </c>
      <c r="J19" t="s">
        <v>54</v>
      </c>
      <c r="K19" t="s">
        <v>22</v>
      </c>
      <c r="L19" t="s">
        <v>55</v>
      </c>
      <c r="M19">
        <v>1168</v>
      </c>
      <c r="N19">
        <v>3</v>
      </c>
      <c r="O19" t="s">
        <v>1329</v>
      </c>
      <c r="P19">
        <v>3</v>
      </c>
    </row>
    <row r="20" spans="1:16">
      <c r="A20" t="s">
        <v>1281</v>
      </c>
      <c r="B20" t="s">
        <v>1282</v>
      </c>
      <c r="C20">
        <v>2</v>
      </c>
      <c r="D20" t="s">
        <v>227</v>
      </c>
      <c r="E20" t="s">
        <v>1283</v>
      </c>
      <c r="F20">
        <v>1</v>
      </c>
      <c r="G20">
        <v>19</v>
      </c>
      <c r="I20" t="s">
        <v>242</v>
      </c>
      <c r="J20" t="s">
        <v>243</v>
      </c>
      <c r="K20" t="s">
        <v>32</v>
      </c>
      <c r="L20" t="s">
        <v>244</v>
      </c>
      <c r="M20">
        <v>42485</v>
      </c>
      <c r="N20">
        <v>1</v>
      </c>
      <c r="O20" t="s">
        <v>1330</v>
      </c>
      <c r="P20">
        <v>1</v>
      </c>
    </row>
    <row r="21" spans="1:16">
      <c r="A21" t="s">
        <v>1281</v>
      </c>
      <c r="B21" t="s">
        <v>1282</v>
      </c>
      <c r="C21">
        <v>2</v>
      </c>
      <c r="D21" t="s">
        <v>227</v>
      </c>
      <c r="E21" t="s">
        <v>1283</v>
      </c>
      <c r="F21">
        <v>1</v>
      </c>
      <c r="G21">
        <v>20</v>
      </c>
      <c r="I21" t="s">
        <v>1107</v>
      </c>
      <c r="J21" t="s">
        <v>1108</v>
      </c>
      <c r="K21" t="s">
        <v>22</v>
      </c>
      <c r="L21" t="s">
        <v>1109</v>
      </c>
      <c r="M21">
        <v>4095</v>
      </c>
      <c r="N21">
        <v>1</v>
      </c>
      <c r="O21" t="s">
        <v>1331</v>
      </c>
      <c r="P21">
        <v>1</v>
      </c>
    </row>
    <row r="22" spans="1:16">
      <c r="A22" t="s">
        <v>1281</v>
      </c>
      <c r="B22" t="s">
        <v>1282</v>
      </c>
      <c r="C22">
        <v>2</v>
      </c>
      <c r="D22" t="s">
        <v>227</v>
      </c>
      <c r="E22" t="s">
        <v>1283</v>
      </c>
      <c r="F22">
        <v>1</v>
      </c>
      <c r="G22">
        <v>21</v>
      </c>
      <c r="I22" t="s">
        <v>1332</v>
      </c>
      <c r="J22" t="s">
        <v>1333</v>
      </c>
      <c r="K22" t="s">
        <v>1334</v>
      </c>
      <c r="L22" t="s">
        <v>1335</v>
      </c>
      <c r="M22">
        <v>33912</v>
      </c>
      <c r="N22">
        <v>1</v>
      </c>
      <c r="O22" t="s">
        <v>164</v>
      </c>
      <c r="P22">
        <v>1</v>
      </c>
    </row>
    <row r="23" spans="1:16">
      <c r="A23" t="s">
        <v>1281</v>
      </c>
      <c r="B23" t="s">
        <v>1282</v>
      </c>
      <c r="C23">
        <v>2</v>
      </c>
      <c r="D23" t="s">
        <v>227</v>
      </c>
      <c r="E23" t="s">
        <v>1283</v>
      </c>
      <c r="F23">
        <v>1</v>
      </c>
      <c r="G23">
        <v>22</v>
      </c>
      <c r="I23" t="s">
        <v>1336</v>
      </c>
      <c r="J23" t="s">
        <v>1337</v>
      </c>
      <c r="K23" t="s">
        <v>1334</v>
      </c>
      <c r="L23" t="s">
        <v>1338</v>
      </c>
      <c r="M23">
        <v>33911</v>
      </c>
      <c r="N23">
        <v>1</v>
      </c>
      <c r="O23" t="s">
        <v>322</v>
      </c>
      <c r="P23">
        <v>1</v>
      </c>
    </row>
    <row r="24" spans="1:16">
      <c r="A24" t="s">
        <v>1281</v>
      </c>
      <c r="B24" t="s">
        <v>1282</v>
      </c>
      <c r="C24">
        <v>2</v>
      </c>
      <c r="D24" t="s">
        <v>227</v>
      </c>
      <c r="E24" t="s">
        <v>1283</v>
      </c>
      <c r="F24">
        <v>1</v>
      </c>
      <c r="G24">
        <v>23</v>
      </c>
      <c r="I24" t="s">
        <v>735</v>
      </c>
      <c r="J24" t="s">
        <v>736</v>
      </c>
      <c r="K24" t="s">
        <v>499</v>
      </c>
      <c r="L24" t="s">
        <v>737</v>
      </c>
      <c r="M24">
        <v>42332</v>
      </c>
      <c r="N24">
        <v>2</v>
      </c>
      <c r="O24" t="s">
        <v>1339</v>
      </c>
      <c r="P24">
        <v>2</v>
      </c>
    </row>
    <row r="25" spans="1:16">
      <c r="A25" t="s">
        <v>1281</v>
      </c>
      <c r="B25" t="s">
        <v>1282</v>
      </c>
      <c r="C25">
        <v>2</v>
      </c>
      <c r="D25" t="s">
        <v>227</v>
      </c>
      <c r="E25" t="s">
        <v>1283</v>
      </c>
      <c r="F25">
        <v>1</v>
      </c>
      <c r="G25">
        <v>24</v>
      </c>
      <c r="I25" t="s">
        <v>1340</v>
      </c>
      <c r="J25" t="s">
        <v>1341</v>
      </c>
      <c r="K25" t="s">
        <v>339</v>
      </c>
      <c r="L25" t="s">
        <v>1342</v>
      </c>
      <c r="M25">
        <v>42647</v>
      </c>
      <c r="N25">
        <v>1</v>
      </c>
      <c r="O25" t="s">
        <v>173</v>
      </c>
      <c r="P25">
        <v>1</v>
      </c>
    </row>
    <row r="26" spans="1:16">
      <c r="A26" t="s">
        <v>1281</v>
      </c>
      <c r="B26" t="s">
        <v>1282</v>
      </c>
      <c r="C26">
        <v>2</v>
      </c>
      <c r="D26" t="s">
        <v>227</v>
      </c>
      <c r="E26" t="s">
        <v>1283</v>
      </c>
      <c r="F26">
        <v>1</v>
      </c>
      <c r="G26">
        <v>25</v>
      </c>
      <c r="I26" t="s">
        <v>347</v>
      </c>
      <c r="J26" t="s">
        <v>348</v>
      </c>
      <c r="K26" t="s">
        <v>339</v>
      </c>
      <c r="L26" t="s">
        <v>349</v>
      </c>
      <c r="M26">
        <v>10468</v>
      </c>
      <c r="N26">
        <v>1</v>
      </c>
      <c r="O26" t="s">
        <v>1343</v>
      </c>
      <c r="P26">
        <v>1</v>
      </c>
    </row>
    <row r="27" spans="1:16">
      <c r="A27" t="s">
        <v>1281</v>
      </c>
      <c r="B27" t="s">
        <v>1282</v>
      </c>
      <c r="C27">
        <v>2</v>
      </c>
      <c r="D27" t="s">
        <v>227</v>
      </c>
      <c r="E27" t="s">
        <v>1283</v>
      </c>
      <c r="F27">
        <v>1</v>
      </c>
      <c r="G27">
        <v>26</v>
      </c>
      <c r="I27" t="s">
        <v>379</v>
      </c>
      <c r="J27" t="s">
        <v>380</v>
      </c>
      <c r="K27" t="s">
        <v>367</v>
      </c>
      <c r="L27" t="s">
        <v>381</v>
      </c>
      <c r="M27">
        <v>42555</v>
      </c>
      <c r="N27">
        <v>2</v>
      </c>
      <c r="O27" t="s">
        <v>1344</v>
      </c>
      <c r="P27">
        <v>2</v>
      </c>
    </row>
    <row r="28" spans="1:16">
      <c r="A28" t="s">
        <v>1281</v>
      </c>
      <c r="B28" t="s">
        <v>1282</v>
      </c>
      <c r="C28">
        <v>2</v>
      </c>
      <c r="D28" t="s">
        <v>227</v>
      </c>
      <c r="E28" t="s">
        <v>1283</v>
      </c>
      <c r="F28">
        <v>1</v>
      </c>
      <c r="G28">
        <v>27</v>
      </c>
      <c r="I28" t="s">
        <v>673</v>
      </c>
      <c r="J28" t="s">
        <v>674</v>
      </c>
      <c r="K28" t="s">
        <v>339</v>
      </c>
      <c r="L28" t="s">
        <v>675</v>
      </c>
      <c r="M28">
        <v>10297</v>
      </c>
      <c r="N28">
        <v>1</v>
      </c>
      <c r="O28" t="s">
        <v>1345</v>
      </c>
      <c r="P28">
        <v>1</v>
      </c>
    </row>
    <row r="29" spans="1:16">
      <c r="A29" t="s">
        <v>1281</v>
      </c>
      <c r="B29" t="s">
        <v>1282</v>
      </c>
      <c r="C29">
        <v>2</v>
      </c>
      <c r="D29" t="s">
        <v>227</v>
      </c>
      <c r="E29" t="s">
        <v>1283</v>
      </c>
      <c r="F29">
        <v>1</v>
      </c>
      <c r="G29">
        <v>28</v>
      </c>
      <c r="I29" t="s">
        <v>1346</v>
      </c>
      <c r="J29" t="s">
        <v>1347</v>
      </c>
      <c r="K29" t="s">
        <v>339</v>
      </c>
      <c r="L29" t="s">
        <v>1348</v>
      </c>
      <c r="M29">
        <v>33910</v>
      </c>
      <c r="N29">
        <v>1</v>
      </c>
      <c r="O29" t="s">
        <v>1349</v>
      </c>
      <c r="P29">
        <v>1</v>
      </c>
    </row>
    <row r="30" spans="1:16">
      <c r="A30" t="s">
        <v>1281</v>
      </c>
      <c r="B30" t="s">
        <v>1282</v>
      </c>
      <c r="C30">
        <v>2</v>
      </c>
      <c r="D30" t="s">
        <v>227</v>
      </c>
      <c r="E30" t="s">
        <v>1283</v>
      </c>
      <c r="F30">
        <v>1</v>
      </c>
      <c r="G30">
        <v>29</v>
      </c>
      <c r="I30" t="s">
        <v>1350</v>
      </c>
      <c r="J30" t="s">
        <v>1351</v>
      </c>
      <c r="K30" t="s">
        <v>339</v>
      </c>
      <c r="L30" t="s">
        <v>1352</v>
      </c>
      <c r="M30">
        <v>42638</v>
      </c>
      <c r="N30">
        <v>2</v>
      </c>
      <c r="O30" t="s">
        <v>1353</v>
      </c>
      <c r="P30">
        <v>2</v>
      </c>
    </row>
    <row r="31" spans="1:16">
      <c r="A31" t="s">
        <v>1281</v>
      </c>
      <c r="B31" t="s">
        <v>1282</v>
      </c>
      <c r="C31">
        <v>2</v>
      </c>
      <c r="D31" t="s">
        <v>227</v>
      </c>
      <c r="E31" t="s">
        <v>1283</v>
      </c>
      <c r="F31">
        <v>1</v>
      </c>
      <c r="G31">
        <v>30</v>
      </c>
      <c r="I31" t="s">
        <v>376</v>
      </c>
      <c r="J31" t="s">
        <v>1354</v>
      </c>
      <c r="K31" t="s">
        <v>339</v>
      </c>
      <c r="L31" t="s">
        <v>1355</v>
      </c>
      <c r="M31">
        <v>42467</v>
      </c>
      <c r="N31">
        <v>1</v>
      </c>
      <c r="O31" t="s">
        <v>187</v>
      </c>
      <c r="P31">
        <v>1</v>
      </c>
    </row>
    <row r="32" spans="1:16">
      <c r="A32" t="s">
        <v>1281</v>
      </c>
      <c r="B32" t="s">
        <v>1282</v>
      </c>
      <c r="C32">
        <v>2</v>
      </c>
      <c r="D32" t="s">
        <v>227</v>
      </c>
      <c r="E32" t="s">
        <v>1283</v>
      </c>
      <c r="F32">
        <v>1</v>
      </c>
      <c r="G32">
        <v>31</v>
      </c>
      <c r="I32" t="s">
        <v>376</v>
      </c>
      <c r="J32" t="s">
        <v>377</v>
      </c>
      <c r="K32" t="s">
        <v>339</v>
      </c>
      <c r="L32" t="s">
        <v>378</v>
      </c>
      <c r="M32">
        <v>42468</v>
      </c>
      <c r="N32">
        <v>1</v>
      </c>
      <c r="O32" t="s">
        <v>1356</v>
      </c>
      <c r="P32">
        <v>1</v>
      </c>
    </row>
    <row r="33" spans="1:16">
      <c r="A33" t="s">
        <v>1281</v>
      </c>
      <c r="B33" t="s">
        <v>1282</v>
      </c>
      <c r="C33">
        <v>2</v>
      </c>
      <c r="D33" t="s">
        <v>227</v>
      </c>
      <c r="E33" t="s">
        <v>1283</v>
      </c>
      <c r="F33">
        <v>1</v>
      </c>
      <c r="G33">
        <v>32</v>
      </c>
      <c r="I33" t="s">
        <v>1357</v>
      </c>
      <c r="J33" t="s">
        <v>1358</v>
      </c>
      <c r="K33" t="s">
        <v>335</v>
      </c>
      <c r="L33" t="s">
        <v>1359</v>
      </c>
      <c r="M33">
        <v>33914</v>
      </c>
      <c r="N33">
        <v>1</v>
      </c>
      <c r="O33" t="s">
        <v>353</v>
      </c>
      <c r="P33">
        <v>1</v>
      </c>
    </row>
    <row r="34" spans="1:16">
      <c r="A34" t="s">
        <v>1281</v>
      </c>
      <c r="B34" t="s">
        <v>1282</v>
      </c>
      <c r="C34">
        <v>2</v>
      </c>
      <c r="D34" t="s">
        <v>227</v>
      </c>
      <c r="E34" t="s">
        <v>1283</v>
      </c>
      <c r="F34">
        <v>1</v>
      </c>
      <c r="G34">
        <v>33</v>
      </c>
      <c r="I34" t="s">
        <v>1360</v>
      </c>
      <c r="J34" t="s">
        <v>1361</v>
      </c>
      <c r="K34" t="s">
        <v>324</v>
      </c>
      <c r="L34" t="s">
        <v>1362</v>
      </c>
      <c r="M34">
        <v>10356</v>
      </c>
      <c r="N34">
        <v>1</v>
      </c>
      <c r="O34" t="s">
        <v>1363</v>
      </c>
      <c r="P34">
        <v>1</v>
      </c>
    </row>
    <row r="35" spans="1:16">
      <c r="A35" t="s">
        <v>1281</v>
      </c>
      <c r="B35" t="s">
        <v>1282</v>
      </c>
      <c r="C35">
        <v>2</v>
      </c>
      <c r="D35" t="s">
        <v>227</v>
      </c>
      <c r="E35" t="s">
        <v>1283</v>
      </c>
      <c r="F35">
        <v>1</v>
      </c>
      <c r="G35">
        <v>34</v>
      </c>
      <c r="I35" t="s">
        <v>1364</v>
      </c>
      <c r="J35" t="s">
        <v>1365</v>
      </c>
      <c r="K35" t="s">
        <v>1366</v>
      </c>
      <c r="L35" t="s">
        <v>1367</v>
      </c>
      <c r="M35">
        <v>42663</v>
      </c>
      <c r="N35">
        <v>1</v>
      </c>
      <c r="O35" t="s">
        <v>1119</v>
      </c>
      <c r="P35">
        <v>1</v>
      </c>
    </row>
    <row r="36" spans="1:16">
      <c r="A36" t="s">
        <v>1281</v>
      </c>
      <c r="B36" t="s">
        <v>1282</v>
      </c>
      <c r="C36">
        <v>2</v>
      </c>
      <c r="D36" t="s">
        <v>227</v>
      </c>
      <c r="E36" t="s">
        <v>1283</v>
      </c>
      <c r="F36">
        <v>1</v>
      </c>
      <c r="G36">
        <v>35</v>
      </c>
      <c r="I36" t="s">
        <v>399</v>
      </c>
      <c r="J36" t="s">
        <v>400</v>
      </c>
      <c r="K36" t="s">
        <v>401</v>
      </c>
      <c r="L36" t="s">
        <v>402</v>
      </c>
      <c r="M36">
        <v>42525</v>
      </c>
      <c r="N36">
        <v>1</v>
      </c>
      <c r="O36" t="s">
        <v>1368</v>
      </c>
      <c r="P36">
        <v>1</v>
      </c>
    </row>
    <row r="37" spans="1:16">
      <c r="A37" t="s">
        <v>1281</v>
      </c>
      <c r="B37" t="s">
        <v>1282</v>
      </c>
      <c r="C37">
        <v>2</v>
      </c>
      <c r="D37" t="s">
        <v>227</v>
      </c>
      <c r="E37" t="s">
        <v>1283</v>
      </c>
      <c r="F37">
        <v>1</v>
      </c>
      <c r="G37">
        <v>36</v>
      </c>
      <c r="I37" t="s">
        <v>1369</v>
      </c>
      <c r="J37" t="s">
        <v>1370</v>
      </c>
      <c r="K37" t="s">
        <v>103</v>
      </c>
      <c r="L37" t="s">
        <v>1371</v>
      </c>
      <c r="M37">
        <v>42387</v>
      </c>
      <c r="N37">
        <v>2</v>
      </c>
      <c r="O37" t="s">
        <v>1372</v>
      </c>
      <c r="P37">
        <v>2</v>
      </c>
    </row>
    <row r="38" spans="1:16">
      <c r="A38" t="s">
        <v>1281</v>
      </c>
      <c r="B38" t="s">
        <v>1282</v>
      </c>
      <c r="C38">
        <v>2</v>
      </c>
      <c r="D38" t="s">
        <v>227</v>
      </c>
      <c r="E38" t="s">
        <v>1283</v>
      </c>
      <c r="F38">
        <v>1</v>
      </c>
      <c r="G38">
        <v>37</v>
      </c>
      <c r="I38" t="s">
        <v>1373</v>
      </c>
      <c r="J38" t="s">
        <v>1374</v>
      </c>
      <c r="K38" t="s">
        <v>48</v>
      </c>
      <c r="L38" t="s">
        <v>1375</v>
      </c>
      <c r="M38">
        <v>40090</v>
      </c>
      <c r="N38">
        <v>4</v>
      </c>
      <c r="O38" t="s">
        <v>1376</v>
      </c>
      <c r="P38">
        <v>4</v>
      </c>
    </row>
    <row r="39" spans="1:16">
      <c r="A39" t="s">
        <v>1281</v>
      </c>
      <c r="B39" t="s">
        <v>1282</v>
      </c>
      <c r="C39">
        <v>2</v>
      </c>
      <c r="D39" t="s">
        <v>227</v>
      </c>
      <c r="E39" t="s">
        <v>1283</v>
      </c>
      <c r="F39">
        <v>1</v>
      </c>
      <c r="G39">
        <v>38</v>
      </c>
      <c r="I39" t="s">
        <v>1377</v>
      </c>
      <c r="J39" t="s">
        <v>1378</v>
      </c>
      <c r="K39" t="s">
        <v>48</v>
      </c>
      <c r="L39" t="s">
        <v>1379</v>
      </c>
      <c r="M39">
        <v>39626</v>
      </c>
      <c r="N39">
        <v>1</v>
      </c>
      <c r="O39" t="s">
        <v>1380</v>
      </c>
      <c r="P39">
        <v>1</v>
      </c>
    </row>
    <row r="40" spans="1:16">
      <c r="A40" t="s">
        <v>1281</v>
      </c>
      <c r="B40" t="s">
        <v>1282</v>
      </c>
      <c r="C40">
        <v>2</v>
      </c>
      <c r="D40" t="s">
        <v>227</v>
      </c>
      <c r="E40" t="s">
        <v>1283</v>
      </c>
      <c r="F40">
        <v>1</v>
      </c>
      <c r="G40">
        <v>39</v>
      </c>
      <c r="I40" t="s">
        <v>872</v>
      </c>
      <c r="J40" t="s">
        <v>873</v>
      </c>
      <c r="K40" t="s">
        <v>48</v>
      </c>
      <c r="L40" t="s">
        <v>874</v>
      </c>
      <c r="M40">
        <v>39527</v>
      </c>
      <c r="N40">
        <v>10</v>
      </c>
      <c r="O40" t="s">
        <v>1381</v>
      </c>
      <c r="P40">
        <v>10</v>
      </c>
    </row>
    <row r="41" spans="1:16">
      <c r="A41" t="s">
        <v>1281</v>
      </c>
      <c r="B41" t="s">
        <v>1282</v>
      </c>
      <c r="C41">
        <v>2</v>
      </c>
      <c r="D41" t="s">
        <v>227</v>
      </c>
      <c r="E41" t="s">
        <v>1283</v>
      </c>
      <c r="F41">
        <v>1</v>
      </c>
      <c r="G41">
        <v>40</v>
      </c>
      <c r="I41" t="s">
        <v>89</v>
      </c>
      <c r="J41" t="s">
        <v>90</v>
      </c>
      <c r="K41" t="s">
        <v>48</v>
      </c>
      <c r="L41" t="s">
        <v>91</v>
      </c>
      <c r="M41">
        <v>40058</v>
      </c>
      <c r="N41">
        <v>3</v>
      </c>
      <c r="O41" t="s">
        <v>1382</v>
      </c>
      <c r="P41">
        <v>3</v>
      </c>
    </row>
    <row r="42" spans="1:16">
      <c r="A42" t="s">
        <v>1281</v>
      </c>
      <c r="B42" t="s">
        <v>1282</v>
      </c>
      <c r="C42">
        <v>2</v>
      </c>
      <c r="D42" t="s">
        <v>227</v>
      </c>
      <c r="E42" t="s">
        <v>1283</v>
      </c>
      <c r="F42">
        <v>1</v>
      </c>
      <c r="G42">
        <v>41</v>
      </c>
      <c r="I42" t="s">
        <v>1383</v>
      </c>
      <c r="J42" t="s">
        <v>1384</v>
      </c>
      <c r="K42" t="s">
        <v>48</v>
      </c>
      <c r="L42" t="s">
        <v>1385</v>
      </c>
      <c r="M42">
        <v>39955</v>
      </c>
      <c r="N42">
        <v>3</v>
      </c>
      <c r="O42" t="s">
        <v>1386</v>
      </c>
      <c r="P42">
        <v>3</v>
      </c>
    </row>
    <row r="43" spans="1:16">
      <c r="A43" t="s">
        <v>1281</v>
      </c>
      <c r="B43" t="s">
        <v>1282</v>
      </c>
      <c r="C43">
        <v>2</v>
      </c>
      <c r="D43" t="s">
        <v>227</v>
      </c>
      <c r="E43" t="s">
        <v>1283</v>
      </c>
      <c r="F43">
        <v>1</v>
      </c>
      <c r="G43">
        <v>42</v>
      </c>
      <c r="I43" t="s">
        <v>1148</v>
      </c>
      <c r="J43" t="s">
        <v>1149</v>
      </c>
      <c r="K43" t="s">
        <v>48</v>
      </c>
      <c r="L43" t="s">
        <v>1150</v>
      </c>
      <c r="M43">
        <v>39532</v>
      </c>
      <c r="N43">
        <v>13</v>
      </c>
      <c r="O43" t="s">
        <v>1387</v>
      </c>
      <c r="P43">
        <v>13</v>
      </c>
    </row>
    <row r="44" spans="1:16">
      <c r="A44" t="s">
        <v>1281</v>
      </c>
      <c r="B44" t="s">
        <v>1282</v>
      </c>
      <c r="C44">
        <v>2</v>
      </c>
      <c r="D44" t="s">
        <v>227</v>
      </c>
      <c r="E44" t="s">
        <v>1283</v>
      </c>
      <c r="F44">
        <v>1</v>
      </c>
      <c r="G44">
        <v>43</v>
      </c>
      <c r="I44" t="s">
        <v>86</v>
      </c>
      <c r="J44" t="s">
        <v>87</v>
      </c>
      <c r="K44" t="s">
        <v>48</v>
      </c>
      <c r="L44" t="s">
        <v>88</v>
      </c>
      <c r="M44">
        <v>39677</v>
      </c>
      <c r="N44">
        <v>11</v>
      </c>
      <c r="O44" t="s">
        <v>1388</v>
      </c>
      <c r="P44">
        <v>11</v>
      </c>
    </row>
    <row r="45" spans="1:16">
      <c r="A45" t="s">
        <v>1281</v>
      </c>
      <c r="B45" t="s">
        <v>1282</v>
      </c>
      <c r="C45">
        <v>2</v>
      </c>
      <c r="D45" t="s">
        <v>227</v>
      </c>
      <c r="E45" t="s">
        <v>1283</v>
      </c>
      <c r="F45">
        <v>1</v>
      </c>
      <c r="G45">
        <v>44</v>
      </c>
      <c r="I45" t="s">
        <v>206</v>
      </c>
      <c r="J45" t="s">
        <v>207</v>
      </c>
      <c r="K45" t="s">
        <v>48</v>
      </c>
      <c r="L45" t="s">
        <v>208</v>
      </c>
      <c r="M45">
        <v>39516</v>
      </c>
      <c r="N45">
        <v>8</v>
      </c>
      <c r="O45" t="s">
        <v>1389</v>
      </c>
      <c r="P45">
        <v>8</v>
      </c>
    </row>
    <row r="46" spans="1:16">
      <c r="A46" t="s">
        <v>1281</v>
      </c>
      <c r="B46" t="s">
        <v>1282</v>
      </c>
      <c r="C46">
        <v>2</v>
      </c>
      <c r="D46" t="s">
        <v>227</v>
      </c>
      <c r="E46" t="s">
        <v>1283</v>
      </c>
      <c r="F46">
        <v>1</v>
      </c>
      <c r="G46">
        <v>45</v>
      </c>
      <c r="I46" t="s">
        <v>465</v>
      </c>
      <c r="J46" t="s">
        <v>466</v>
      </c>
      <c r="K46" t="s">
        <v>48</v>
      </c>
      <c r="L46" t="s">
        <v>467</v>
      </c>
      <c r="M46">
        <v>40024</v>
      </c>
      <c r="N46">
        <v>1</v>
      </c>
      <c r="O46" t="s">
        <v>1390</v>
      </c>
      <c r="P46">
        <v>1</v>
      </c>
    </row>
    <row r="47" spans="1:16">
      <c r="A47" t="s">
        <v>1281</v>
      </c>
      <c r="B47" t="s">
        <v>1282</v>
      </c>
      <c r="C47">
        <v>2</v>
      </c>
      <c r="D47" t="s">
        <v>227</v>
      </c>
      <c r="E47" t="s">
        <v>1283</v>
      </c>
      <c r="F47">
        <v>1</v>
      </c>
      <c r="G47">
        <v>46</v>
      </c>
      <c r="I47" t="s">
        <v>1391</v>
      </c>
      <c r="J47" t="s">
        <v>1392</v>
      </c>
      <c r="K47" t="s">
        <v>270</v>
      </c>
      <c r="L47" t="s">
        <v>1393</v>
      </c>
      <c r="M47">
        <v>10483</v>
      </c>
      <c r="N47">
        <v>1</v>
      </c>
      <c r="O47" t="s">
        <v>1394</v>
      </c>
      <c r="P47">
        <v>1</v>
      </c>
    </row>
    <row r="48" spans="1:16">
      <c r="A48" t="s">
        <v>1281</v>
      </c>
      <c r="B48" t="s">
        <v>1282</v>
      </c>
      <c r="C48">
        <v>2</v>
      </c>
      <c r="D48" t="s">
        <v>227</v>
      </c>
      <c r="E48" t="s">
        <v>1283</v>
      </c>
      <c r="F48">
        <v>1</v>
      </c>
      <c r="G48">
        <v>47</v>
      </c>
      <c r="I48" t="s">
        <v>1395</v>
      </c>
      <c r="J48" t="s">
        <v>1396</v>
      </c>
      <c r="K48" t="s">
        <v>270</v>
      </c>
      <c r="L48" t="s">
        <v>1397</v>
      </c>
      <c r="M48">
        <v>42593</v>
      </c>
      <c r="N48">
        <v>1</v>
      </c>
      <c r="O48" t="s">
        <v>1398</v>
      </c>
      <c r="P48">
        <v>1</v>
      </c>
    </row>
    <row r="49" spans="1:16">
      <c r="A49" t="s">
        <v>1281</v>
      </c>
      <c r="B49" t="s">
        <v>1282</v>
      </c>
      <c r="C49">
        <v>2</v>
      </c>
      <c r="D49" t="s">
        <v>227</v>
      </c>
      <c r="E49" t="s">
        <v>1283</v>
      </c>
      <c r="F49">
        <v>1</v>
      </c>
      <c r="G49">
        <v>48</v>
      </c>
      <c r="I49" t="s">
        <v>1399</v>
      </c>
      <c r="J49" t="s">
        <v>1400</v>
      </c>
      <c r="K49" t="s">
        <v>48</v>
      </c>
      <c r="L49" t="s">
        <v>1401</v>
      </c>
      <c r="M49">
        <v>40249</v>
      </c>
      <c r="N49">
        <v>1</v>
      </c>
      <c r="O49" t="s">
        <v>1402</v>
      </c>
      <c r="P49">
        <v>1</v>
      </c>
    </row>
    <row r="50" spans="1:16">
      <c r="A50" t="s">
        <v>1281</v>
      </c>
      <c r="B50" t="s">
        <v>1282</v>
      </c>
      <c r="C50">
        <v>2</v>
      </c>
      <c r="D50" t="s">
        <v>227</v>
      </c>
      <c r="E50" t="s">
        <v>1283</v>
      </c>
      <c r="F50">
        <v>1</v>
      </c>
      <c r="G50">
        <v>49</v>
      </c>
      <c r="I50" t="s">
        <v>94</v>
      </c>
      <c r="J50" t="s">
        <v>212</v>
      </c>
      <c r="K50" t="s">
        <v>48</v>
      </c>
      <c r="L50" t="s">
        <v>213</v>
      </c>
      <c r="M50">
        <v>40582</v>
      </c>
      <c r="N50">
        <v>9</v>
      </c>
      <c r="O50" t="s">
        <v>1403</v>
      </c>
      <c r="P50">
        <v>9</v>
      </c>
    </row>
    <row r="51" spans="1:16">
      <c r="A51" t="s">
        <v>1281</v>
      </c>
      <c r="B51" t="s">
        <v>1282</v>
      </c>
      <c r="C51">
        <v>2</v>
      </c>
      <c r="D51" t="s">
        <v>227</v>
      </c>
      <c r="E51" t="s">
        <v>1283</v>
      </c>
      <c r="F51">
        <v>1</v>
      </c>
      <c r="G51">
        <v>50</v>
      </c>
      <c r="I51" t="s">
        <v>1404</v>
      </c>
      <c r="J51" t="s">
        <v>1405</v>
      </c>
      <c r="K51" t="s">
        <v>270</v>
      </c>
      <c r="L51" t="s">
        <v>1406</v>
      </c>
      <c r="M51">
        <v>33795</v>
      </c>
      <c r="N51">
        <v>1</v>
      </c>
      <c r="O51" t="s">
        <v>1407</v>
      </c>
      <c r="P51">
        <v>1</v>
      </c>
    </row>
    <row r="52" spans="1:16">
      <c r="A52" t="s">
        <v>1281</v>
      </c>
      <c r="B52" t="s">
        <v>1282</v>
      </c>
      <c r="C52">
        <v>2</v>
      </c>
      <c r="D52" t="s">
        <v>227</v>
      </c>
      <c r="E52" t="s">
        <v>1283</v>
      </c>
      <c r="F52">
        <v>1</v>
      </c>
      <c r="G52">
        <v>51</v>
      </c>
      <c r="I52" t="s">
        <v>1408</v>
      </c>
      <c r="J52" t="s">
        <v>1409</v>
      </c>
      <c r="K52" t="s">
        <v>48</v>
      </c>
      <c r="L52" t="s">
        <v>1410</v>
      </c>
      <c r="M52">
        <v>18079</v>
      </c>
      <c r="N52">
        <v>2</v>
      </c>
      <c r="O52" t="s">
        <v>1411</v>
      </c>
      <c r="P52">
        <v>2</v>
      </c>
    </row>
    <row r="53" spans="1:16">
      <c r="A53" t="s">
        <v>1281</v>
      </c>
      <c r="B53" t="s">
        <v>1282</v>
      </c>
      <c r="C53">
        <v>2</v>
      </c>
      <c r="D53" t="s">
        <v>227</v>
      </c>
      <c r="E53" t="s">
        <v>1283</v>
      </c>
      <c r="F53">
        <v>1</v>
      </c>
      <c r="G53">
        <v>52</v>
      </c>
      <c r="I53" t="s">
        <v>1152</v>
      </c>
      <c r="J53" t="s">
        <v>1153</v>
      </c>
      <c r="K53" t="s">
        <v>48</v>
      </c>
      <c r="L53" t="s">
        <v>1154</v>
      </c>
      <c r="M53">
        <v>26222</v>
      </c>
      <c r="N53">
        <v>1</v>
      </c>
      <c r="O53" t="s">
        <v>1412</v>
      </c>
      <c r="P53">
        <v>1</v>
      </c>
    </row>
    <row r="54" spans="1:16">
      <c r="A54" t="s">
        <v>1281</v>
      </c>
      <c r="B54" t="s">
        <v>1282</v>
      </c>
      <c r="C54">
        <v>2</v>
      </c>
      <c r="D54" t="s">
        <v>227</v>
      </c>
      <c r="E54" t="s">
        <v>1283</v>
      </c>
      <c r="F54">
        <v>1</v>
      </c>
      <c r="G54">
        <v>53</v>
      </c>
      <c r="I54" t="s">
        <v>1413</v>
      </c>
      <c r="J54" t="s">
        <v>1414</v>
      </c>
      <c r="K54" t="s">
        <v>48</v>
      </c>
      <c r="L54" t="s">
        <v>1415</v>
      </c>
      <c r="M54">
        <v>40000</v>
      </c>
      <c r="N54">
        <v>2</v>
      </c>
      <c r="O54" t="s">
        <v>1416</v>
      </c>
      <c r="P54">
        <v>2</v>
      </c>
    </row>
    <row r="55" spans="1:16">
      <c r="A55" t="s">
        <v>1281</v>
      </c>
      <c r="B55" t="s">
        <v>1282</v>
      </c>
      <c r="C55">
        <v>2</v>
      </c>
      <c r="D55" t="s">
        <v>227</v>
      </c>
      <c r="E55" t="s">
        <v>1283</v>
      </c>
      <c r="F55">
        <v>1</v>
      </c>
      <c r="G55">
        <v>54</v>
      </c>
      <c r="I55" t="s">
        <v>1144</v>
      </c>
      <c r="J55" t="s">
        <v>1145</v>
      </c>
      <c r="K55" t="s">
        <v>48</v>
      </c>
      <c r="L55" t="s">
        <v>1146</v>
      </c>
      <c r="M55">
        <v>40086</v>
      </c>
      <c r="N55">
        <v>2</v>
      </c>
      <c r="O55" t="s">
        <v>1417</v>
      </c>
      <c r="P55">
        <v>2</v>
      </c>
    </row>
    <row r="56" spans="1:16">
      <c r="A56" t="s">
        <v>1281</v>
      </c>
      <c r="B56" t="s">
        <v>1282</v>
      </c>
      <c r="C56">
        <v>2</v>
      </c>
      <c r="D56" t="s">
        <v>227</v>
      </c>
      <c r="E56" t="s">
        <v>1283</v>
      </c>
      <c r="F56">
        <v>1</v>
      </c>
      <c r="G56">
        <v>55</v>
      </c>
      <c r="I56" t="s">
        <v>1418</v>
      </c>
      <c r="J56" t="s">
        <v>1419</v>
      </c>
      <c r="K56" t="s">
        <v>48</v>
      </c>
      <c r="L56" t="s">
        <v>1420</v>
      </c>
      <c r="M56">
        <v>28186</v>
      </c>
      <c r="N56">
        <v>1</v>
      </c>
      <c r="O56" t="s">
        <v>1421</v>
      </c>
      <c r="P56">
        <v>1</v>
      </c>
    </row>
    <row r="57" spans="1:16">
      <c r="A57" t="s">
        <v>1281</v>
      </c>
      <c r="B57" t="s">
        <v>1282</v>
      </c>
      <c r="C57">
        <v>2</v>
      </c>
      <c r="D57" t="s">
        <v>227</v>
      </c>
      <c r="E57" t="s">
        <v>1283</v>
      </c>
      <c r="F57">
        <v>1</v>
      </c>
      <c r="G57">
        <v>56</v>
      </c>
      <c r="I57" t="s">
        <v>1422</v>
      </c>
      <c r="J57" t="s">
        <v>1423</v>
      </c>
      <c r="K57" t="s">
        <v>48</v>
      </c>
      <c r="L57" t="s">
        <v>1424</v>
      </c>
      <c r="M57">
        <v>40127</v>
      </c>
      <c r="N57">
        <v>1</v>
      </c>
      <c r="O57" t="s">
        <v>1425</v>
      </c>
      <c r="P57">
        <v>1</v>
      </c>
    </row>
    <row r="58" spans="1:16">
      <c r="A58" t="s">
        <v>1281</v>
      </c>
      <c r="B58" t="s">
        <v>1282</v>
      </c>
      <c r="C58">
        <v>2</v>
      </c>
      <c r="D58" t="s">
        <v>227</v>
      </c>
      <c r="E58" t="s">
        <v>1283</v>
      </c>
      <c r="F58">
        <v>1</v>
      </c>
      <c r="G58">
        <v>57</v>
      </c>
      <c r="I58" t="s">
        <v>1160</v>
      </c>
      <c r="J58" t="s">
        <v>1161</v>
      </c>
      <c r="K58" t="s">
        <v>1162</v>
      </c>
      <c r="L58" t="s">
        <v>1163</v>
      </c>
      <c r="M58">
        <v>33794</v>
      </c>
      <c r="N58">
        <v>1</v>
      </c>
      <c r="O58" t="s">
        <v>1426</v>
      </c>
      <c r="P58">
        <v>1</v>
      </c>
    </row>
    <row r="59" spans="1:16">
      <c r="A59" t="s">
        <v>1281</v>
      </c>
      <c r="B59" t="s">
        <v>1282</v>
      </c>
      <c r="C59">
        <v>2</v>
      </c>
      <c r="D59" t="s">
        <v>227</v>
      </c>
      <c r="E59" t="s">
        <v>1283</v>
      </c>
      <c r="F59">
        <v>1</v>
      </c>
      <c r="G59">
        <v>58</v>
      </c>
      <c r="I59" t="s">
        <v>1165</v>
      </c>
      <c r="J59" t="s">
        <v>1166</v>
      </c>
      <c r="K59" t="s">
        <v>392</v>
      </c>
      <c r="L59" t="s">
        <v>1167</v>
      </c>
      <c r="M59">
        <v>42572</v>
      </c>
      <c r="N59">
        <v>3</v>
      </c>
      <c r="O59" t="s">
        <v>1427</v>
      </c>
      <c r="P59">
        <v>3</v>
      </c>
    </row>
    <row r="60" spans="1:16">
      <c r="A60" t="s">
        <v>1281</v>
      </c>
      <c r="B60" t="s">
        <v>1282</v>
      </c>
      <c r="C60">
        <v>2</v>
      </c>
      <c r="D60" t="s">
        <v>227</v>
      </c>
      <c r="E60" t="s">
        <v>1283</v>
      </c>
      <c r="F60">
        <v>1</v>
      </c>
      <c r="G60">
        <v>59</v>
      </c>
      <c r="I60" t="s">
        <v>506</v>
      </c>
      <c r="J60" t="s">
        <v>507</v>
      </c>
      <c r="K60" t="s">
        <v>324</v>
      </c>
      <c r="L60" t="s">
        <v>508</v>
      </c>
      <c r="M60">
        <v>42495</v>
      </c>
      <c r="N60">
        <v>5</v>
      </c>
      <c r="O60" t="s">
        <v>1428</v>
      </c>
      <c r="P60">
        <v>5</v>
      </c>
    </row>
    <row r="61" spans="1:16">
      <c r="A61" t="s">
        <v>1281</v>
      </c>
      <c r="B61" t="s">
        <v>1282</v>
      </c>
      <c r="C61">
        <v>2</v>
      </c>
      <c r="D61" t="s">
        <v>227</v>
      </c>
      <c r="E61" t="s">
        <v>1283</v>
      </c>
      <c r="F61">
        <v>1</v>
      </c>
      <c r="G61">
        <v>60</v>
      </c>
      <c r="I61" t="s">
        <v>1429</v>
      </c>
      <c r="J61" t="s">
        <v>1430</v>
      </c>
      <c r="K61" t="s">
        <v>392</v>
      </c>
      <c r="L61" t="s">
        <v>1431</v>
      </c>
      <c r="M61">
        <v>42649</v>
      </c>
      <c r="N61">
        <v>1</v>
      </c>
      <c r="O61" t="s">
        <v>1432</v>
      </c>
      <c r="P61">
        <v>1</v>
      </c>
    </row>
    <row r="62" spans="1:16">
      <c r="A62" t="s">
        <v>1281</v>
      </c>
      <c r="B62" t="s">
        <v>1282</v>
      </c>
      <c r="C62">
        <v>2</v>
      </c>
      <c r="D62" t="s">
        <v>227</v>
      </c>
      <c r="E62" t="s">
        <v>1283</v>
      </c>
      <c r="F62">
        <v>1</v>
      </c>
      <c r="G62">
        <v>61</v>
      </c>
      <c r="I62" t="s">
        <v>1433</v>
      </c>
      <c r="J62" t="s">
        <v>1434</v>
      </c>
      <c r="K62" t="s">
        <v>392</v>
      </c>
      <c r="L62" t="s">
        <v>1435</v>
      </c>
      <c r="M62">
        <v>42648</v>
      </c>
      <c r="N62">
        <v>1</v>
      </c>
      <c r="O62" t="s">
        <v>1436</v>
      </c>
      <c r="P62">
        <v>1</v>
      </c>
    </row>
    <row r="63" spans="1:16">
      <c r="A63" t="s">
        <v>1281</v>
      </c>
      <c r="B63" t="s">
        <v>1282</v>
      </c>
      <c r="C63">
        <v>2</v>
      </c>
      <c r="D63" t="s">
        <v>227</v>
      </c>
      <c r="E63" t="s">
        <v>1283</v>
      </c>
      <c r="F63">
        <v>1</v>
      </c>
      <c r="G63">
        <v>62</v>
      </c>
      <c r="I63" t="s">
        <v>1030</v>
      </c>
      <c r="J63" t="s">
        <v>1031</v>
      </c>
      <c r="K63" t="s">
        <v>324</v>
      </c>
      <c r="L63" t="s">
        <v>1032</v>
      </c>
      <c r="M63">
        <v>42528</v>
      </c>
      <c r="N63">
        <v>2</v>
      </c>
      <c r="O63" t="s">
        <v>1437</v>
      </c>
      <c r="P63">
        <v>2</v>
      </c>
    </row>
    <row r="64" spans="1:16">
      <c r="A64" t="s">
        <v>1281</v>
      </c>
      <c r="B64" t="s">
        <v>1282</v>
      </c>
      <c r="C64">
        <v>2</v>
      </c>
      <c r="D64" t="s">
        <v>227</v>
      </c>
      <c r="E64" t="s">
        <v>1283</v>
      </c>
      <c r="F64">
        <v>1</v>
      </c>
      <c r="G64">
        <v>63</v>
      </c>
      <c r="I64" t="s">
        <v>120</v>
      </c>
      <c r="J64" t="s">
        <v>121</v>
      </c>
      <c r="K64" t="s">
        <v>122</v>
      </c>
      <c r="L64" t="s">
        <v>123</v>
      </c>
      <c r="M64">
        <v>10350</v>
      </c>
      <c r="N64">
        <v>1</v>
      </c>
      <c r="O64" t="s">
        <v>1438</v>
      </c>
      <c r="P64">
        <v>1</v>
      </c>
    </row>
    <row r="65" spans="1:16">
      <c r="A65" t="s">
        <v>1281</v>
      </c>
      <c r="B65" t="s">
        <v>1282</v>
      </c>
      <c r="C65">
        <v>2</v>
      </c>
      <c r="D65" t="s">
        <v>227</v>
      </c>
      <c r="E65" t="s">
        <v>1283</v>
      </c>
      <c r="F65">
        <v>1</v>
      </c>
      <c r="G65">
        <v>64</v>
      </c>
      <c r="I65" t="s">
        <v>110</v>
      </c>
      <c r="J65" t="s">
        <v>111</v>
      </c>
      <c r="K65" t="s">
        <v>108</v>
      </c>
      <c r="L65" t="s">
        <v>112</v>
      </c>
      <c r="M65">
        <v>5636</v>
      </c>
      <c r="N65">
        <v>5</v>
      </c>
      <c r="O65" t="s">
        <v>1439</v>
      </c>
      <c r="P65">
        <v>5</v>
      </c>
    </row>
    <row r="66" spans="1:16">
      <c r="A66" t="s">
        <v>1281</v>
      </c>
      <c r="B66" t="s">
        <v>1282</v>
      </c>
      <c r="C66">
        <v>2</v>
      </c>
      <c r="D66" t="s">
        <v>227</v>
      </c>
      <c r="E66" t="s">
        <v>1283</v>
      </c>
      <c r="F66">
        <v>1</v>
      </c>
      <c r="G66">
        <v>65</v>
      </c>
      <c r="I66" t="s">
        <v>1440</v>
      </c>
      <c r="J66" t="s">
        <v>1441</v>
      </c>
      <c r="K66" t="s">
        <v>108</v>
      </c>
      <c r="L66" t="s">
        <v>1442</v>
      </c>
      <c r="M66">
        <v>1241</v>
      </c>
      <c r="N66">
        <v>2</v>
      </c>
      <c r="O66" t="s">
        <v>1023</v>
      </c>
      <c r="P66">
        <v>2</v>
      </c>
    </row>
    <row r="67" spans="1:16">
      <c r="A67" t="s">
        <v>1281</v>
      </c>
      <c r="B67" t="s">
        <v>1282</v>
      </c>
      <c r="C67">
        <v>2</v>
      </c>
      <c r="D67" t="s">
        <v>227</v>
      </c>
      <c r="E67" t="s">
        <v>1283</v>
      </c>
      <c r="F67">
        <v>1</v>
      </c>
      <c r="G67">
        <v>66</v>
      </c>
      <c r="I67" t="s">
        <v>116</v>
      </c>
      <c r="J67" t="s">
        <v>117</v>
      </c>
      <c r="K67" t="s">
        <v>118</v>
      </c>
      <c r="L67" t="s">
        <v>119</v>
      </c>
      <c r="M67">
        <v>33782</v>
      </c>
      <c r="N67">
        <v>1</v>
      </c>
      <c r="O67" t="s">
        <v>1443</v>
      </c>
      <c r="P67">
        <v>1</v>
      </c>
    </row>
    <row r="68" spans="1:16">
      <c r="A68" t="s">
        <v>1281</v>
      </c>
      <c r="B68" t="s">
        <v>1282</v>
      </c>
      <c r="C68">
        <v>2</v>
      </c>
      <c r="D68" t="s">
        <v>227</v>
      </c>
      <c r="E68" t="s">
        <v>1283</v>
      </c>
      <c r="F68">
        <v>1</v>
      </c>
      <c r="G68">
        <v>67</v>
      </c>
      <c r="I68" t="s">
        <v>1444</v>
      </c>
      <c r="J68" t="s">
        <v>1445</v>
      </c>
      <c r="K68" t="s">
        <v>499</v>
      </c>
      <c r="L68" t="s">
        <v>1446</v>
      </c>
      <c r="M68">
        <v>10517</v>
      </c>
      <c r="N68">
        <v>1</v>
      </c>
      <c r="O68" t="s">
        <v>1447</v>
      </c>
      <c r="P68">
        <v>1</v>
      </c>
    </row>
    <row r="69" spans="1:16">
      <c r="A69" t="s">
        <v>1281</v>
      </c>
      <c r="B69" t="s">
        <v>1282</v>
      </c>
      <c r="C69">
        <v>2</v>
      </c>
      <c r="D69" t="s">
        <v>227</v>
      </c>
      <c r="E69" t="s">
        <v>1283</v>
      </c>
      <c r="F69">
        <v>1</v>
      </c>
      <c r="G69">
        <v>68</v>
      </c>
      <c r="I69" t="s">
        <v>1038</v>
      </c>
      <c r="J69" t="s">
        <v>1039</v>
      </c>
      <c r="K69" t="s">
        <v>1040</v>
      </c>
      <c r="L69" t="s">
        <v>1041</v>
      </c>
      <c r="M69">
        <v>10387</v>
      </c>
      <c r="N69">
        <v>2</v>
      </c>
      <c r="O69" t="s">
        <v>1448</v>
      </c>
      <c r="P69">
        <v>2</v>
      </c>
    </row>
    <row r="70" spans="1:16">
      <c r="A70" t="s">
        <v>1281</v>
      </c>
      <c r="B70" t="s">
        <v>1282</v>
      </c>
      <c r="C70">
        <v>2</v>
      </c>
      <c r="D70" t="s">
        <v>227</v>
      </c>
      <c r="E70" t="s">
        <v>1283</v>
      </c>
      <c r="F70">
        <v>1</v>
      </c>
      <c r="G70">
        <v>69</v>
      </c>
      <c r="I70" t="s">
        <v>1082</v>
      </c>
      <c r="J70" t="s">
        <v>1083</v>
      </c>
      <c r="K70" t="s">
        <v>514</v>
      </c>
      <c r="L70" t="s">
        <v>1084</v>
      </c>
      <c r="M70">
        <v>42394</v>
      </c>
      <c r="N70">
        <v>1</v>
      </c>
      <c r="O70" t="s">
        <v>516</v>
      </c>
      <c r="P70">
        <v>1</v>
      </c>
    </row>
    <row r="71" spans="1:16">
      <c r="A71" t="s">
        <v>1281</v>
      </c>
      <c r="B71" t="s">
        <v>1282</v>
      </c>
      <c r="C71">
        <v>2</v>
      </c>
      <c r="D71" t="s">
        <v>227</v>
      </c>
      <c r="E71" t="s">
        <v>1283</v>
      </c>
      <c r="F71">
        <v>1</v>
      </c>
      <c r="G71">
        <v>70</v>
      </c>
      <c r="I71" t="s">
        <v>532</v>
      </c>
      <c r="J71" t="s">
        <v>533</v>
      </c>
      <c r="K71" t="s">
        <v>527</v>
      </c>
      <c r="L71" t="s">
        <v>534</v>
      </c>
      <c r="M71">
        <v>10412</v>
      </c>
      <c r="N71">
        <v>1</v>
      </c>
      <c r="O71" t="s">
        <v>1067</v>
      </c>
      <c r="P71">
        <v>1</v>
      </c>
    </row>
    <row r="72" spans="1:16">
      <c r="A72" t="s">
        <v>1281</v>
      </c>
      <c r="B72" t="s">
        <v>1282</v>
      </c>
      <c r="C72">
        <v>2</v>
      </c>
      <c r="D72" t="s">
        <v>227</v>
      </c>
      <c r="E72" t="s">
        <v>1283</v>
      </c>
      <c r="F72">
        <v>1</v>
      </c>
      <c r="G72">
        <v>71</v>
      </c>
      <c r="I72" t="s">
        <v>1449</v>
      </c>
      <c r="J72" t="s">
        <v>1450</v>
      </c>
      <c r="K72" t="s">
        <v>514</v>
      </c>
      <c r="L72" t="s">
        <v>1451</v>
      </c>
      <c r="M72">
        <v>42400</v>
      </c>
      <c r="N72">
        <v>1</v>
      </c>
      <c r="O72" t="s">
        <v>524</v>
      </c>
      <c r="P72">
        <v>1</v>
      </c>
    </row>
    <row r="73" spans="1:16">
      <c r="A73" t="s">
        <v>1281</v>
      </c>
      <c r="B73" t="s">
        <v>1282</v>
      </c>
      <c r="C73">
        <v>2</v>
      </c>
      <c r="D73" t="s">
        <v>227</v>
      </c>
      <c r="E73" t="s">
        <v>1283</v>
      </c>
      <c r="F73">
        <v>1</v>
      </c>
      <c r="G73">
        <v>72</v>
      </c>
      <c r="I73" t="s">
        <v>1075</v>
      </c>
      <c r="J73" t="s">
        <v>1076</v>
      </c>
      <c r="K73" t="s">
        <v>514</v>
      </c>
      <c r="L73" t="s">
        <v>1077</v>
      </c>
      <c r="M73">
        <v>42437</v>
      </c>
      <c r="N73">
        <v>1</v>
      </c>
      <c r="O73" t="s">
        <v>535</v>
      </c>
      <c r="P73">
        <v>1</v>
      </c>
    </row>
    <row r="74" spans="1:16">
      <c r="N74" s="32">
        <f>SUM(N2:N73)</f>
        <v>262</v>
      </c>
      <c r="P74" s="32">
        <f>SUM(P2:P73)</f>
        <v>262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P252"/>
  <sheetViews>
    <sheetView workbookViewId="0">
      <selection activeCell="P252" sqref="P252"/>
    </sheetView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 s="2" customFormat="1">
      <c r="A2" s="2" t="s">
        <v>1452</v>
      </c>
      <c r="B2" s="2" t="s">
        <v>1453</v>
      </c>
      <c r="C2" s="2">
        <v>1</v>
      </c>
      <c r="D2" s="2" t="s">
        <v>142</v>
      </c>
      <c r="E2" s="2" t="s">
        <v>1454</v>
      </c>
      <c r="F2" s="2">
        <v>1</v>
      </c>
      <c r="G2" s="2">
        <v>1</v>
      </c>
      <c r="I2" s="2" t="s">
        <v>228</v>
      </c>
      <c r="J2" s="2" t="s">
        <v>229</v>
      </c>
      <c r="K2" s="2" t="s">
        <v>18</v>
      </c>
      <c r="L2" s="2" t="s">
        <v>230</v>
      </c>
      <c r="M2" s="2">
        <v>10385</v>
      </c>
      <c r="N2" s="2">
        <v>5</v>
      </c>
      <c r="O2" s="2" t="s">
        <v>1455</v>
      </c>
      <c r="P2" s="2">
        <v>5</v>
      </c>
    </row>
    <row r="3" spans="1:16">
      <c r="A3" t="s">
        <v>1452</v>
      </c>
      <c r="B3" t="s">
        <v>1453</v>
      </c>
      <c r="C3">
        <v>1</v>
      </c>
      <c r="D3" t="s">
        <v>142</v>
      </c>
      <c r="E3" t="s">
        <v>1454</v>
      </c>
      <c r="F3">
        <v>1</v>
      </c>
      <c r="G3">
        <v>2</v>
      </c>
      <c r="I3" t="s">
        <v>16</v>
      </c>
      <c r="J3" t="s">
        <v>17</v>
      </c>
      <c r="K3" t="s">
        <v>18</v>
      </c>
      <c r="L3" t="s">
        <v>19</v>
      </c>
      <c r="M3">
        <v>10191</v>
      </c>
      <c r="N3">
        <v>1</v>
      </c>
      <c r="O3" t="s">
        <v>1456</v>
      </c>
      <c r="P3">
        <v>1</v>
      </c>
    </row>
    <row r="4" spans="1:16">
      <c r="A4" t="s">
        <v>1452</v>
      </c>
      <c r="B4" t="s">
        <v>1453</v>
      </c>
      <c r="C4">
        <v>1</v>
      </c>
      <c r="D4" t="s">
        <v>142</v>
      </c>
      <c r="E4" t="s">
        <v>1454</v>
      </c>
      <c r="F4">
        <v>1</v>
      </c>
      <c r="G4">
        <v>3</v>
      </c>
      <c r="I4" t="s">
        <v>279</v>
      </c>
      <c r="J4" t="s">
        <v>280</v>
      </c>
      <c r="K4" t="s">
        <v>48</v>
      </c>
      <c r="L4" t="s">
        <v>281</v>
      </c>
      <c r="M4">
        <v>42514</v>
      </c>
      <c r="N4">
        <v>10</v>
      </c>
      <c r="O4" t="s">
        <v>1457</v>
      </c>
      <c r="P4">
        <v>10</v>
      </c>
    </row>
    <row r="5" spans="1:16">
      <c r="A5" t="s">
        <v>1452</v>
      </c>
      <c r="B5" t="s">
        <v>1453</v>
      </c>
      <c r="C5">
        <v>1</v>
      </c>
      <c r="D5" t="s">
        <v>142</v>
      </c>
      <c r="E5" t="s">
        <v>1454</v>
      </c>
      <c r="F5">
        <v>1</v>
      </c>
      <c r="G5">
        <v>4</v>
      </c>
      <c r="I5" t="s">
        <v>245</v>
      </c>
      <c r="J5" t="s">
        <v>246</v>
      </c>
      <c r="K5" t="s">
        <v>32</v>
      </c>
      <c r="L5" t="s">
        <v>247</v>
      </c>
      <c r="M5">
        <v>42429</v>
      </c>
      <c r="N5">
        <v>253</v>
      </c>
      <c r="O5" t="s">
        <v>1458</v>
      </c>
      <c r="P5">
        <v>253</v>
      </c>
    </row>
    <row r="6" spans="1:16">
      <c r="A6" t="s">
        <v>1452</v>
      </c>
      <c r="B6" t="s">
        <v>1453</v>
      </c>
      <c r="C6">
        <v>1</v>
      </c>
      <c r="D6" t="s">
        <v>142</v>
      </c>
      <c r="E6" t="s">
        <v>1454</v>
      </c>
      <c r="F6">
        <v>1</v>
      </c>
      <c r="G6">
        <v>5</v>
      </c>
      <c r="I6" t="s">
        <v>242</v>
      </c>
      <c r="J6" t="s">
        <v>243</v>
      </c>
      <c r="K6" t="s">
        <v>32</v>
      </c>
      <c r="L6" t="s">
        <v>244</v>
      </c>
      <c r="M6">
        <v>42485</v>
      </c>
      <c r="N6">
        <v>275</v>
      </c>
      <c r="O6" t="s">
        <v>1459</v>
      </c>
      <c r="P6">
        <v>275</v>
      </c>
    </row>
    <row r="7" spans="1:16">
      <c r="A7" t="s">
        <v>1452</v>
      </c>
      <c r="B7" t="s">
        <v>1453</v>
      </c>
      <c r="C7">
        <v>1</v>
      </c>
      <c r="D7" t="s">
        <v>142</v>
      </c>
      <c r="E7" t="s">
        <v>1454</v>
      </c>
      <c r="F7">
        <v>1</v>
      </c>
      <c r="G7">
        <v>6</v>
      </c>
      <c r="I7" t="s">
        <v>1460</v>
      </c>
      <c r="J7" t="s">
        <v>1461</v>
      </c>
      <c r="K7" t="s">
        <v>22</v>
      </c>
      <c r="L7" t="s">
        <v>1462</v>
      </c>
      <c r="M7">
        <v>42353</v>
      </c>
      <c r="N7">
        <v>6</v>
      </c>
      <c r="O7" t="s">
        <v>1463</v>
      </c>
      <c r="P7">
        <v>6</v>
      </c>
    </row>
    <row r="8" spans="1:16">
      <c r="A8" t="s">
        <v>1452</v>
      </c>
      <c r="B8" t="s">
        <v>1453</v>
      </c>
      <c r="C8">
        <v>1</v>
      </c>
      <c r="D8" t="s">
        <v>142</v>
      </c>
      <c r="E8" t="s">
        <v>1454</v>
      </c>
      <c r="F8">
        <v>1</v>
      </c>
      <c r="G8">
        <v>7</v>
      </c>
      <c r="I8" t="s">
        <v>632</v>
      </c>
      <c r="J8" t="s">
        <v>633</v>
      </c>
      <c r="K8" t="s">
        <v>32</v>
      </c>
      <c r="L8" t="s">
        <v>634</v>
      </c>
      <c r="M8">
        <v>10512</v>
      </c>
      <c r="N8">
        <v>3</v>
      </c>
      <c r="O8" t="s">
        <v>1464</v>
      </c>
      <c r="P8">
        <v>3</v>
      </c>
    </row>
    <row r="9" spans="1:16">
      <c r="A9" t="s">
        <v>1452</v>
      </c>
      <c r="B9" t="s">
        <v>1453</v>
      </c>
      <c r="C9">
        <v>1</v>
      </c>
      <c r="D9" t="s">
        <v>142</v>
      </c>
      <c r="E9" t="s">
        <v>1454</v>
      </c>
      <c r="F9">
        <v>1</v>
      </c>
      <c r="G9">
        <v>8</v>
      </c>
      <c r="I9" t="s">
        <v>256</v>
      </c>
      <c r="J9" t="s">
        <v>257</v>
      </c>
      <c r="K9" t="s">
        <v>48</v>
      </c>
      <c r="L9" t="s">
        <v>258</v>
      </c>
      <c r="M9">
        <v>42501</v>
      </c>
      <c r="N9">
        <v>39</v>
      </c>
      <c r="O9" t="s">
        <v>1465</v>
      </c>
      <c r="P9">
        <v>39</v>
      </c>
    </row>
    <row r="10" spans="1:16">
      <c r="A10" t="s">
        <v>1452</v>
      </c>
      <c r="B10" t="s">
        <v>1453</v>
      </c>
      <c r="C10">
        <v>1</v>
      </c>
      <c r="D10" t="s">
        <v>142</v>
      </c>
      <c r="E10" t="s">
        <v>1454</v>
      </c>
      <c r="F10">
        <v>1</v>
      </c>
      <c r="G10">
        <v>9</v>
      </c>
      <c r="I10" t="s">
        <v>290</v>
      </c>
      <c r="J10" t="s">
        <v>306</v>
      </c>
      <c r="K10" t="s">
        <v>22</v>
      </c>
      <c r="L10" t="s">
        <v>307</v>
      </c>
      <c r="M10">
        <v>42490</v>
      </c>
      <c r="N10">
        <v>22</v>
      </c>
      <c r="O10" t="s">
        <v>1466</v>
      </c>
      <c r="P10">
        <v>22</v>
      </c>
    </row>
    <row r="11" spans="1:16">
      <c r="A11" t="s">
        <v>1452</v>
      </c>
      <c r="B11" t="s">
        <v>1453</v>
      </c>
      <c r="C11">
        <v>1</v>
      </c>
      <c r="D11" t="s">
        <v>142</v>
      </c>
      <c r="E11" t="s">
        <v>1454</v>
      </c>
      <c r="F11">
        <v>1</v>
      </c>
      <c r="G11">
        <v>10</v>
      </c>
      <c r="I11" t="s">
        <v>30</v>
      </c>
      <c r="J11" t="s">
        <v>266</v>
      </c>
      <c r="K11" t="s">
        <v>235</v>
      </c>
      <c r="L11" t="s">
        <v>267</v>
      </c>
      <c r="M11">
        <v>42479</v>
      </c>
      <c r="N11">
        <v>31</v>
      </c>
      <c r="O11" t="s">
        <v>1467</v>
      </c>
      <c r="P11">
        <v>31</v>
      </c>
    </row>
    <row r="12" spans="1:16">
      <c r="A12" t="s">
        <v>1452</v>
      </c>
      <c r="B12" t="s">
        <v>1453</v>
      </c>
      <c r="C12">
        <v>1</v>
      </c>
      <c r="D12" t="s">
        <v>142</v>
      </c>
      <c r="E12" t="s">
        <v>1454</v>
      </c>
      <c r="F12">
        <v>1</v>
      </c>
      <c r="G12">
        <v>11</v>
      </c>
      <c r="I12" t="s">
        <v>248</v>
      </c>
      <c r="J12" t="s">
        <v>249</v>
      </c>
      <c r="K12" t="s">
        <v>250</v>
      </c>
      <c r="L12" t="s">
        <v>251</v>
      </c>
      <c r="M12">
        <v>42491</v>
      </c>
      <c r="N12">
        <v>82</v>
      </c>
      <c r="O12" t="s">
        <v>1468</v>
      </c>
      <c r="P12">
        <v>82</v>
      </c>
    </row>
    <row r="13" spans="1:16">
      <c r="A13" t="s">
        <v>1452</v>
      </c>
      <c r="B13" t="s">
        <v>1453</v>
      </c>
      <c r="C13">
        <v>1</v>
      </c>
      <c r="D13" t="s">
        <v>142</v>
      </c>
      <c r="E13" t="s">
        <v>1454</v>
      </c>
      <c r="F13">
        <v>1</v>
      </c>
      <c r="G13">
        <v>12</v>
      </c>
      <c r="I13" t="s">
        <v>615</v>
      </c>
      <c r="J13" t="s">
        <v>616</v>
      </c>
      <c r="K13" t="s">
        <v>48</v>
      </c>
      <c r="L13" t="s">
        <v>617</v>
      </c>
      <c r="M13">
        <v>42478</v>
      </c>
      <c r="N13">
        <v>10</v>
      </c>
      <c r="O13" t="s">
        <v>1469</v>
      </c>
      <c r="P13">
        <v>10</v>
      </c>
    </row>
    <row r="14" spans="1:16">
      <c r="A14" t="s">
        <v>1452</v>
      </c>
      <c r="B14" t="s">
        <v>1453</v>
      </c>
      <c r="C14">
        <v>1</v>
      </c>
      <c r="D14" t="s">
        <v>142</v>
      </c>
      <c r="E14" t="s">
        <v>1454</v>
      </c>
      <c r="F14">
        <v>1</v>
      </c>
      <c r="G14">
        <v>13</v>
      </c>
      <c r="I14" t="s">
        <v>600</v>
      </c>
      <c r="J14" t="s">
        <v>601</v>
      </c>
      <c r="K14" t="s">
        <v>48</v>
      </c>
      <c r="L14" t="s">
        <v>602</v>
      </c>
      <c r="M14">
        <v>42503</v>
      </c>
      <c r="N14">
        <v>4</v>
      </c>
      <c r="O14" t="s">
        <v>1470</v>
      </c>
      <c r="P14">
        <v>4</v>
      </c>
    </row>
    <row r="15" spans="1:16">
      <c r="A15" t="s">
        <v>1452</v>
      </c>
      <c r="B15" t="s">
        <v>1453</v>
      </c>
      <c r="C15">
        <v>1</v>
      </c>
      <c r="D15" t="s">
        <v>142</v>
      </c>
      <c r="E15" t="s">
        <v>1454</v>
      </c>
      <c r="F15">
        <v>1</v>
      </c>
      <c r="G15">
        <v>14</v>
      </c>
      <c r="I15" t="s">
        <v>24</v>
      </c>
      <c r="J15" t="s">
        <v>25</v>
      </c>
      <c r="K15" t="s">
        <v>22</v>
      </c>
      <c r="L15" t="s">
        <v>26</v>
      </c>
      <c r="M15">
        <v>2054</v>
      </c>
      <c r="N15">
        <v>23</v>
      </c>
      <c r="O15" t="s">
        <v>1471</v>
      </c>
      <c r="P15">
        <v>23</v>
      </c>
    </row>
    <row r="16" spans="1:16">
      <c r="A16" t="s">
        <v>1452</v>
      </c>
      <c r="B16" t="s">
        <v>1453</v>
      </c>
      <c r="C16">
        <v>1</v>
      </c>
      <c r="D16" t="s">
        <v>142</v>
      </c>
      <c r="E16" t="s">
        <v>1454</v>
      </c>
      <c r="F16">
        <v>1</v>
      </c>
      <c r="G16">
        <v>15</v>
      </c>
      <c r="I16" t="s">
        <v>297</v>
      </c>
      <c r="J16" t="s">
        <v>298</v>
      </c>
      <c r="K16" t="s">
        <v>48</v>
      </c>
      <c r="L16" t="s">
        <v>299</v>
      </c>
      <c r="M16">
        <v>42502</v>
      </c>
      <c r="N16">
        <v>4</v>
      </c>
      <c r="O16" t="s">
        <v>1472</v>
      </c>
      <c r="P16">
        <v>4</v>
      </c>
    </row>
    <row r="17" spans="1:16">
      <c r="A17" t="s">
        <v>1452</v>
      </c>
      <c r="B17" t="s">
        <v>1453</v>
      </c>
      <c r="C17">
        <v>1</v>
      </c>
      <c r="D17" t="s">
        <v>142</v>
      </c>
      <c r="E17" t="s">
        <v>1454</v>
      </c>
      <c r="F17">
        <v>1</v>
      </c>
      <c r="G17">
        <v>16</v>
      </c>
      <c r="I17" t="s">
        <v>20</v>
      </c>
      <c r="J17" t="s">
        <v>21</v>
      </c>
      <c r="K17" t="s">
        <v>22</v>
      </c>
      <c r="L17" t="s">
        <v>23</v>
      </c>
      <c r="M17">
        <v>42431</v>
      </c>
      <c r="N17">
        <v>36</v>
      </c>
      <c r="O17" t="s">
        <v>1473</v>
      </c>
      <c r="P17">
        <v>36</v>
      </c>
    </row>
    <row r="18" spans="1:16">
      <c r="A18" t="s">
        <v>1452</v>
      </c>
      <c r="B18" t="s">
        <v>1453</v>
      </c>
      <c r="C18">
        <v>1</v>
      </c>
      <c r="D18" t="s">
        <v>142</v>
      </c>
      <c r="E18" t="s">
        <v>1454</v>
      </c>
      <c r="F18">
        <v>1</v>
      </c>
      <c r="G18">
        <v>17</v>
      </c>
      <c r="I18" t="s">
        <v>1474</v>
      </c>
      <c r="J18" t="s">
        <v>1475</v>
      </c>
      <c r="K18" t="s">
        <v>22</v>
      </c>
      <c r="L18" t="s">
        <v>1476</v>
      </c>
      <c r="M18">
        <v>42505</v>
      </c>
      <c r="N18">
        <v>4</v>
      </c>
      <c r="O18" t="s">
        <v>1477</v>
      </c>
      <c r="P18">
        <v>4</v>
      </c>
    </row>
    <row r="19" spans="1:16">
      <c r="A19" t="s">
        <v>1452</v>
      </c>
      <c r="B19" t="s">
        <v>1453</v>
      </c>
      <c r="C19">
        <v>1</v>
      </c>
      <c r="D19" t="s">
        <v>142</v>
      </c>
      <c r="E19" t="s">
        <v>1454</v>
      </c>
      <c r="F19">
        <v>1</v>
      </c>
      <c r="G19">
        <v>18</v>
      </c>
      <c r="I19" t="s">
        <v>619</v>
      </c>
      <c r="J19" t="s">
        <v>620</v>
      </c>
      <c r="K19" t="s">
        <v>22</v>
      </c>
      <c r="L19" t="s">
        <v>621</v>
      </c>
      <c r="M19">
        <v>42509</v>
      </c>
      <c r="N19">
        <v>1</v>
      </c>
      <c r="O19" t="s">
        <v>1478</v>
      </c>
      <c r="P19">
        <v>1</v>
      </c>
    </row>
    <row r="20" spans="1:16">
      <c r="A20" t="s">
        <v>1452</v>
      </c>
      <c r="B20" t="s">
        <v>1453</v>
      </c>
      <c r="C20">
        <v>1</v>
      </c>
      <c r="D20" t="s">
        <v>142</v>
      </c>
      <c r="E20" t="s">
        <v>1454</v>
      </c>
      <c r="F20">
        <v>1</v>
      </c>
      <c r="G20">
        <v>19</v>
      </c>
      <c r="I20" t="s">
        <v>302</v>
      </c>
      <c r="J20" t="s">
        <v>303</v>
      </c>
      <c r="K20" t="s">
        <v>22</v>
      </c>
      <c r="L20" t="s">
        <v>304</v>
      </c>
      <c r="M20">
        <v>42489</v>
      </c>
      <c r="N20">
        <v>16</v>
      </c>
      <c r="O20" t="s">
        <v>1479</v>
      </c>
      <c r="P20">
        <v>16</v>
      </c>
    </row>
    <row r="21" spans="1:16">
      <c r="A21" t="s">
        <v>1452</v>
      </c>
      <c r="B21" t="s">
        <v>1453</v>
      </c>
      <c r="C21">
        <v>1</v>
      </c>
      <c r="D21" t="s">
        <v>142</v>
      </c>
      <c r="E21" t="s">
        <v>1454</v>
      </c>
      <c r="F21">
        <v>1</v>
      </c>
      <c r="G21">
        <v>20</v>
      </c>
      <c r="I21" t="s">
        <v>282</v>
      </c>
      <c r="J21" t="s">
        <v>283</v>
      </c>
      <c r="K21" t="s">
        <v>32</v>
      </c>
      <c r="L21" t="s">
        <v>284</v>
      </c>
      <c r="M21">
        <v>42486</v>
      </c>
      <c r="N21">
        <v>9</v>
      </c>
      <c r="O21" t="s">
        <v>1480</v>
      </c>
      <c r="P21">
        <v>9</v>
      </c>
    </row>
    <row r="22" spans="1:16">
      <c r="A22" t="s">
        <v>1452</v>
      </c>
      <c r="B22" t="s">
        <v>1453</v>
      </c>
      <c r="C22">
        <v>1</v>
      </c>
      <c r="D22" t="s">
        <v>142</v>
      </c>
      <c r="E22" t="s">
        <v>1454</v>
      </c>
      <c r="F22">
        <v>1</v>
      </c>
      <c r="G22">
        <v>21</v>
      </c>
      <c r="I22" t="s">
        <v>50</v>
      </c>
      <c r="J22" t="s">
        <v>51</v>
      </c>
      <c r="K22" t="s">
        <v>22</v>
      </c>
      <c r="L22" t="s">
        <v>52</v>
      </c>
      <c r="M22">
        <v>42335</v>
      </c>
      <c r="N22">
        <v>1</v>
      </c>
      <c r="O22" t="s">
        <v>1481</v>
      </c>
      <c r="P22">
        <v>1</v>
      </c>
    </row>
    <row r="23" spans="1:16">
      <c r="A23" t="s">
        <v>1452</v>
      </c>
      <c r="B23" t="s">
        <v>1453</v>
      </c>
      <c r="C23">
        <v>1</v>
      </c>
      <c r="D23" t="s">
        <v>142</v>
      </c>
      <c r="E23" t="s">
        <v>1454</v>
      </c>
      <c r="F23">
        <v>1</v>
      </c>
      <c r="G23">
        <v>22</v>
      </c>
      <c r="I23" t="s">
        <v>268</v>
      </c>
      <c r="J23" t="s">
        <v>269</v>
      </c>
      <c r="K23" t="s">
        <v>270</v>
      </c>
      <c r="L23" t="s">
        <v>271</v>
      </c>
      <c r="M23">
        <v>42382</v>
      </c>
      <c r="N23">
        <v>6</v>
      </c>
      <c r="O23" t="s">
        <v>1482</v>
      </c>
      <c r="P23">
        <v>6</v>
      </c>
    </row>
    <row r="24" spans="1:16">
      <c r="A24" t="s">
        <v>1452</v>
      </c>
      <c r="B24" t="s">
        <v>1453</v>
      </c>
      <c r="C24">
        <v>1</v>
      </c>
      <c r="D24" t="s">
        <v>142</v>
      </c>
      <c r="E24" t="s">
        <v>1454</v>
      </c>
      <c r="F24">
        <v>1</v>
      </c>
      <c r="G24">
        <v>23</v>
      </c>
      <c r="I24" t="s">
        <v>1483</v>
      </c>
      <c r="J24" t="s">
        <v>1484</v>
      </c>
      <c r="K24" t="s">
        <v>1485</v>
      </c>
      <c r="L24" t="s">
        <v>1486</v>
      </c>
      <c r="M24">
        <v>42428</v>
      </c>
      <c r="N24">
        <v>3</v>
      </c>
      <c r="O24" t="s">
        <v>1487</v>
      </c>
      <c r="P24">
        <v>3</v>
      </c>
    </row>
    <row r="25" spans="1:16">
      <c r="A25" t="s">
        <v>1452</v>
      </c>
      <c r="B25" t="s">
        <v>1453</v>
      </c>
      <c r="C25">
        <v>1</v>
      </c>
      <c r="D25" t="s">
        <v>142</v>
      </c>
      <c r="E25" t="s">
        <v>1454</v>
      </c>
      <c r="F25">
        <v>1</v>
      </c>
      <c r="G25">
        <v>24</v>
      </c>
      <c r="I25" t="s">
        <v>27</v>
      </c>
      <c r="J25" t="s">
        <v>240</v>
      </c>
      <c r="K25" t="s">
        <v>32</v>
      </c>
      <c r="L25" t="s">
        <v>241</v>
      </c>
      <c r="M25">
        <v>42386</v>
      </c>
      <c r="N25">
        <v>9</v>
      </c>
      <c r="O25" t="s">
        <v>1488</v>
      </c>
      <c r="P25">
        <v>9</v>
      </c>
    </row>
    <row r="26" spans="1:16">
      <c r="A26" t="s">
        <v>1452</v>
      </c>
      <c r="B26" t="s">
        <v>1453</v>
      </c>
      <c r="C26">
        <v>1</v>
      </c>
      <c r="D26" t="s">
        <v>142</v>
      </c>
      <c r="E26" t="s">
        <v>1454</v>
      </c>
      <c r="F26">
        <v>1</v>
      </c>
      <c r="G26">
        <v>25</v>
      </c>
      <c r="I26" t="s">
        <v>623</v>
      </c>
      <c r="J26" t="s">
        <v>624</v>
      </c>
      <c r="K26" t="s">
        <v>287</v>
      </c>
      <c r="L26" t="s">
        <v>625</v>
      </c>
      <c r="M26">
        <v>33932</v>
      </c>
      <c r="N26">
        <v>3</v>
      </c>
      <c r="O26" t="s">
        <v>1489</v>
      </c>
      <c r="P26">
        <v>3</v>
      </c>
    </row>
    <row r="27" spans="1:16">
      <c r="A27" t="s">
        <v>1452</v>
      </c>
      <c r="B27" t="s">
        <v>1453</v>
      </c>
      <c r="C27">
        <v>1</v>
      </c>
      <c r="D27" t="s">
        <v>142</v>
      </c>
      <c r="E27" t="s">
        <v>1454</v>
      </c>
      <c r="F27">
        <v>1</v>
      </c>
      <c r="G27">
        <v>26</v>
      </c>
      <c r="I27" t="s">
        <v>1490</v>
      </c>
      <c r="J27" t="s">
        <v>1491</v>
      </c>
      <c r="K27" t="s">
        <v>1492</v>
      </c>
      <c r="L27" t="s">
        <v>1493</v>
      </c>
      <c r="M27">
        <v>42458</v>
      </c>
      <c r="N27">
        <v>6</v>
      </c>
      <c r="O27" t="s">
        <v>1494</v>
      </c>
      <c r="P27">
        <v>6</v>
      </c>
    </row>
    <row r="28" spans="1:16">
      <c r="A28" t="s">
        <v>1452</v>
      </c>
      <c r="B28" t="s">
        <v>1453</v>
      </c>
      <c r="C28">
        <v>1</v>
      </c>
      <c r="D28" t="s">
        <v>142</v>
      </c>
      <c r="E28" t="s">
        <v>1454</v>
      </c>
      <c r="F28">
        <v>1</v>
      </c>
      <c r="G28">
        <v>27</v>
      </c>
      <c r="I28" t="s">
        <v>1495</v>
      </c>
      <c r="J28" t="s">
        <v>1496</v>
      </c>
      <c r="K28" t="s">
        <v>48</v>
      </c>
      <c r="L28" t="s">
        <v>1497</v>
      </c>
      <c r="M28">
        <v>42500</v>
      </c>
      <c r="N28">
        <v>5</v>
      </c>
      <c r="O28" t="s">
        <v>1498</v>
      </c>
      <c r="P28">
        <v>5</v>
      </c>
    </row>
    <row r="29" spans="1:16">
      <c r="A29" t="s">
        <v>1452</v>
      </c>
      <c r="B29" t="s">
        <v>1453</v>
      </c>
      <c r="C29">
        <v>1</v>
      </c>
      <c r="D29" t="s">
        <v>142</v>
      </c>
      <c r="E29" t="s">
        <v>1454</v>
      </c>
      <c r="F29">
        <v>1</v>
      </c>
      <c r="G29">
        <v>28</v>
      </c>
      <c r="I29" t="s">
        <v>628</v>
      </c>
      <c r="J29" t="s">
        <v>629</v>
      </c>
      <c r="K29" t="s">
        <v>48</v>
      </c>
      <c r="L29" t="s">
        <v>630</v>
      </c>
      <c r="M29">
        <v>42553</v>
      </c>
      <c r="N29">
        <v>1</v>
      </c>
      <c r="O29" t="s">
        <v>1499</v>
      </c>
      <c r="P29">
        <v>1</v>
      </c>
    </row>
    <row r="30" spans="1:16">
      <c r="A30" t="s">
        <v>1452</v>
      </c>
      <c r="B30" t="s">
        <v>1453</v>
      </c>
      <c r="C30">
        <v>1</v>
      </c>
      <c r="D30" t="s">
        <v>142</v>
      </c>
      <c r="E30" t="s">
        <v>1454</v>
      </c>
      <c r="F30">
        <v>1</v>
      </c>
      <c r="G30">
        <v>29</v>
      </c>
      <c r="I30" t="s">
        <v>30</v>
      </c>
      <c r="J30" t="s">
        <v>31</v>
      </c>
      <c r="K30" t="s">
        <v>32</v>
      </c>
      <c r="L30" t="s">
        <v>33</v>
      </c>
      <c r="M30">
        <v>42476</v>
      </c>
      <c r="N30">
        <v>13</v>
      </c>
      <c r="O30" t="s">
        <v>1500</v>
      </c>
      <c r="P30">
        <v>13</v>
      </c>
    </row>
    <row r="31" spans="1:16">
      <c r="A31" t="s">
        <v>1452</v>
      </c>
      <c r="B31" t="s">
        <v>1453</v>
      </c>
      <c r="C31">
        <v>1</v>
      </c>
      <c r="D31" t="s">
        <v>142</v>
      </c>
      <c r="E31" t="s">
        <v>1454</v>
      </c>
      <c r="F31">
        <v>1</v>
      </c>
      <c r="G31">
        <v>30</v>
      </c>
      <c r="I31" t="s">
        <v>611</v>
      </c>
      <c r="J31" t="s">
        <v>612</v>
      </c>
      <c r="K31" t="s">
        <v>22</v>
      </c>
      <c r="L31" t="s">
        <v>613</v>
      </c>
      <c r="M31">
        <v>4777</v>
      </c>
      <c r="N31">
        <v>3</v>
      </c>
      <c r="O31" t="s">
        <v>1501</v>
      </c>
      <c r="P31">
        <v>3</v>
      </c>
    </row>
    <row r="32" spans="1:16">
      <c r="A32" t="s">
        <v>1452</v>
      </c>
      <c r="B32" t="s">
        <v>1453</v>
      </c>
      <c r="C32">
        <v>1</v>
      </c>
      <c r="D32" t="s">
        <v>142</v>
      </c>
      <c r="E32" t="s">
        <v>1454</v>
      </c>
      <c r="F32">
        <v>1</v>
      </c>
      <c r="G32">
        <v>31</v>
      </c>
      <c r="I32" t="s">
        <v>259</v>
      </c>
      <c r="J32" t="s">
        <v>260</v>
      </c>
      <c r="K32" t="s">
        <v>48</v>
      </c>
      <c r="L32" t="s">
        <v>261</v>
      </c>
      <c r="M32">
        <v>42477</v>
      </c>
      <c r="N32">
        <v>8</v>
      </c>
      <c r="O32" t="s">
        <v>1502</v>
      </c>
      <c r="P32">
        <v>8</v>
      </c>
    </row>
    <row r="33" spans="1:16">
      <c r="A33" t="s">
        <v>1452</v>
      </c>
      <c r="B33" t="s">
        <v>1453</v>
      </c>
      <c r="C33">
        <v>1</v>
      </c>
      <c r="D33" t="s">
        <v>142</v>
      </c>
      <c r="E33" t="s">
        <v>1454</v>
      </c>
      <c r="F33">
        <v>1</v>
      </c>
      <c r="G33">
        <v>32</v>
      </c>
      <c r="I33" t="s">
        <v>1503</v>
      </c>
      <c r="J33" t="s">
        <v>1504</v>
      </c>
      <c r="K33" t="s">
        <v>22</v>
      </c>
      <c r="L33" t="s">
        <v>1505</v>
      </c>
      <c r="M33">
        <v>8461</v>
      </c>
      <c r="N33">
        <v>2</v>
      </c>
      <c r="O33" t="s">
        <v>1506</v>
      </c>
      <c r="P33">
        <v>2</v>
      </c>
    </row>
    <row r="34" spans="1:16">
      <c r="A34" t="s">
        <v>1452</v>
      </c>
      <c r="B34" t="s">
        <v>1453</v>
      </c>
      <c r="C34">
        <v>1</v>
      </c>
      <c r="D34" t="s">
        <v>142</v>
      </c>
      <c r="E34" t="s">
        <v>1454</v>
      </c>
      <c r="F34">
        <v>1</v>
      </c>
      <c r="G34">
        <v>33</v>
      </c>
      <c r="I34" t="s">
        <v>262</v>
      </c>
      <c r="J34" t="s">
        <v>263</v>
      </c>
      <c r="K34" t="s">
        <v>235</v>
      </c>
      <c r="L34" t="s">
        <v>264</v>
      </c>
      <c r="M34">
        <v>42492</v>
      </c>
      <c r="N34">
        <v>2</v>
      </c>
      <c r="O34" t="s">
        <v>1507</v>
      </c>
      <c r="P34">
        <v>2</v>
      </c>
    </row>
    <row r="35" spans="1:16">
      <c r="A35" t="s">
        <v>1452</v>
      </c>
      <c r="B35" t="s">
        <v>1453</v>
      </c>
      <c r="C35">
        <v>1</v>
      </c>
      <c r="D35" t="s">
        <v>142</v>
      </c>
      <c r="E35" t="s">
        <v>1454</v>
      </c>
      <c r="F35">
        <v>1</v>
      </c>
      <c r="G35">
        <v>34</v>
      </c>
      <c r="I35" t="s">
        <v>1097</v>
      </c>
      <c r="J35" t="s">
        <v>1098</v>
      </c>
      <c r="K35" t="s">
        <v>48</v>
      </c>
      <c r="L35" t="s">
        <v>1099</v>
      </c>
      <c r="M35">
        <v>42504</v>
      </c>
      <c r="N35">
        <v>1</v>
      </c>
      <c r="O35" t="s">
        <v>1508</v>
      </c>
      <c r="P35">
        <v>1</v>
      </c>
    </row>
    <row r="36" spans="1:16">
      <c r="A36" t="s">
        <v>1452</v>
      </c>
      <c r="B36" t="s">
        <v>1453</v>
      </c>
      <c r="C36">
        <v>1</v>
      </c>
      <c r="D36" t="s">
        <v>142</v>
      </c>
      <c r="E36" t="s">
        <v>1454</v>
      </c>
      <c r="F36">
        <v>1</v>
      </c>
      <c r="G36">
        <v>35</v>
      </c>
      <c r="I36" t="s">
        <v>276</v>
      </c>
      <c r="J36" t="s">
        <v>277</v>
      </c>
      <c r="K36" t="s">
        <v>250</v>
      </c>
      <c r="L36" t="s">
        <v>278</v>
      </c>
      <c r="M36">
        <v>42357</v>
      </c>
      <c r="N36">
        <v>26</v>
      </c>
      <c r="O36" t="s">
        <v>1509</v>
      </c>
      <c r="P36">
        <v>26</v>
      </c>
    </row>
    <row r="37" spans="1:16">
      <c r="A37" t="s">
        <v>1452</v>
      </c>
      <c r="B37" t="s">
        <v>1453</v>
      </c>
      <c r="C37">
        <v>1</v>
      </c>
      <c r="D37" t="s">
        <v>142</v>
      </c>
      <c r="E37" t="s">
        <v>1454</v>
      </c>
      <c r="F37">
        <v>1</v>
      </c>
      <c r="G37">
        <v>36</v>
      </c>
      <c r="I37" t="s">
        <v>40</v>
      </c>
      <c r="J37" t="s">
        <v>41</v>
      </c>
      <c r="K37" t="s">
        <v>22</v>
      </c>
      <c r="L37" t="s">
        <v>42</v>
      </c>
      <c r="M37">
        <v>42379</v>
      </c>
      <c r="N37">
        <v>1</v>
      </c>
      <c r="O37" t="s">
        <v>1510</v>
      </c>
      <c r="P37">
        <v>1</v>
      </c>
    </row>
    <row r="38" spans="1:16">
      <c r="A38" t="s">
        <v>1452</v>
      </c>
      <c r="B38" t="s">
        <v>1453</v>
      </c>
      <c r="C38">
        <v>1</v>
      </c>
      <c r="D38" t="s">
        <v>142</v>
      </c>
      <c r="E38" t="s">
        <v>1454</v>
      </c>
      <c r="F38">
        <v>1</v>
      </c>
      <c r="G38">
        <v>37</v>
      </c>
      <c r="I38" t="s">
        <v>43</v>
      </c>
      <c r="J38" t="s">
        <v>44</v>
      </c>
      <c r="K38" t="s">
        <v>22</v>
      </c>
      <c r="L38" t="s">
        <v>45</v>
      </c>
      <c r="M38">
        <v>33769</v>
      </c>
      <c r="N38">
        <v>1</v>
      </c>
      <c r="O38" t="s">
        <v>1511</v>
      </c>
      <c r="P38">
        <v>1</v>
      </c>
    </row>
    <row r="39" spans="1:16">
      <c r="A39" t="s">
        <v>1452</v>
      </c>
      <c r="B39" t="s">
        <v>1453</v>
      </c>
      <c r="C39">
        <v>1</v>
      </c>
      <c r="D39" t="s">
        <v>142</v>
      </c>
      <c r="E39" t="s">
        <v>1454</v>
      </c>
      <c r="F39">
        <v>1</v>
      </c>
      <c r="G39">
        <v>38</v>
      </c>
      <c r="I39" t="s">
        <v>553</v>
      </c>
      <c r="J39" t="s">
        <v>554</v>
      </c>
      <c r="K39" t="s">
        <v>22</v>
      </c>
      <c r="L39" t="s">
        <v>555</v>
      </c>
      <c r="M39">
        <v>42371</v>
      </c>
      <c r="N39">
        <v>2</v>
      </c>
      <c r="O39" t="s">
        <v>1512</v>
      </c>
      <c r="P39">
        <v>2</v>
      </c>
    </row>
    <row r="40" spans="1:16">
      <c r="A40" t="s">
        <v>1452</v>
      </c>
      <c r="B40" t="s">
        <v>1453</v>
      </c>
      <c r="C40">
        <v>1</v>
      </c>
      <c r="D40" t="s">
        <v>142</v>
      </c>
      <c r="E40" t="s">
        <v>1454</v>
      </c>
      <c r="F40">
        <v>1</v>
      </c>
      <c r="G40">
        <v>39</v>
      </c>
      <c r="I40" t="s">
        <v>27</v>
      </c>
      <c r="J40" t="s">
        <v>28</v>
      </c>
      <c r="K40" t="s">
        <v>22</v>
      </c>
      <c r="L40" t="s">
        <v>29</v>
      </c>
      <c r="M40">
        <v>42374</v>
      </c>
      <c r="N40">
        <v>2</v>
      </c>
      <c r="O40" t="s">
        <v>1513</v>
      </c>
      <c r="P40">
        <v>2</v>
      </c>
    </row>
    <row r="41" spans="1:16">
      <c r="A41" t="s">
        <v>1452</v>
      </c>
      <c r="B41" t="s">
        <v>1453</v>
      </c>
      <c r="C41">
        <v>1</v>
      </c>
      <c r="D41" t="s">
        <v>142</v>
      </c>
      <c r="E41" t="s">
        <v>1454</v>
      </c>
      <c r="F41">
        <v>1</v>
      </c>
      <c r="G41">
        <v>40</v>
      </c>
      <c r="I41" t="s">
        <v>1514</v>
      </c>
      <c r="J41" t="s">
        <v>1515</v>
      </c>
      <c r="K41" t="s">
        <v>151</v>
      </c>
      <c r="L41" t="s">
        <v>1516</v>
      </c>
      <c r="M41">
        <v>9975</v>
      </c>
      <c r="N41">
        <v>4</v>
      </c>
      <c r="O41" t="s">
        <v>1517</v>
      </c>
      <c r="P41">
        <v>4</v>
      </c>
    </row>
    <row r="42" spans="1:16">
      <c r="A42" t="s">
        <v>1452</v>
      </c>
      <c r="B42" t="s">
        <v>1453</v>
      </c>
      <c r="C42">
        <v>1</v>
      </c>
      <c r="D42" t="s">
        <v>142</v>
      </c>
      <c r="E42" t="s">
        <v>1454</v>
      </c>
      <c r="F42">
        <v>1</v>
      </c>
      <c r="G42">
        <v>41</v>
      </c>
      <c r="I42" t="s">
        <v>233</v>
      </c>
      <c r="J42" t="s">
        <v>234</v>
      </c>
      <c r="K42" t="s">
        <v>235</v>
      </c>
      <c r="L42" t="s">
        <v>236</v>
      </c>
      <c r="M42">
        <v>42376</v>
      </c>
      <c r="N42">
        <v>6</v>
      </c>
      <c r="O42" t="s">
        <v>1518</v>
      </c>
      <c r="P42">
        <v>6</v>
      </c>
    </row>
    <row r="43" spans="1:16">
      <c r="A43" t="s">
        <v>1452</v>
      </c>
      <c r="B43" t="s">
        <v>1453</v>
      </c>
      <c r="C43">
        <v>1</v>
      </c>
      <c r="D43" t="s">
        <v>142</v>
      </c>
      <c r="E43" t="s">
        <v>1454</v>
      </c>
      <c r="F43">
        <v>1</v>
      </c>
      <c r="G43">
        <v>42</v>
      </c>
      <c r="I43" t="s">
        <v>587</v>
      </c>
      <c r="J43" t="s">
        <v>588</v>
      </c>
      <c r="K43" t="s">
        <v>287</v>
      </c>
      <c r="L43" t="s">
        <v>589</v>
      </c>
      <c r="M43">
        <v>10524</v>
      </c>
      <c r="N43">
        <v>12</v>
      </c>
      <c r="O43" t="s">
        <v>1519</v>
      </c>
      <c r="P43">
        <v>12</v>
      </c>
    </row>
    <row r="44" spans="1:16">
      <c r="A44" t="s">
        <v>1452</v>
      </c>
      <c r="B44" t="s">
        <v>1453</v>
      </c>
      <c r="C44">
        <v>1</v>
      </c>
      <c r="D44" t="s">
        <v>142</v>
      </c>
      <c r="E44" t="s">
        <v>1454</v>
      </c>
      <c r="F44">
        <v>1</v>
      </c>
      <c r="G44">
        <v>43</v>
      </c>
      <c r="I44" t="s">
        <v>1520</v>
      </c>
      <c r="J44" t="s">
        <v>1521</v>
      </c>
      <c r="K44" t="s">
        <v>48</v>
      </c>
      <c r="L44" t="s">
        <v>1522</v>
      </c>
      <c r="M44">
        <v>42456</v>
      </c>
      <c r="N44">
        <v>1</v>
      </c>
      <c r="O44" t="s">
        <v>1523</v>
      </c>
      <c r="P44">
        <v>1</v>
      </c>
    </row>
    <row r="45" spans="1:16">
      <c r="A45" t="s">
        <v>1452</v>
      </c>
      <c r="B45" t="s">
        <v>1453</v>
      </c>
      <c r="C45">
        <v>1</v>
      </c>
      <c r="D45" t="s">
        <v>142</v>
      </c>
      <c r="E45" t="s">
        <v>1454</v>
      </c>
      <c r="F45">
        <v>1</v>
      </c>
      <c r="G45">
        <v>44</v>
      </c>
      <c r="I45" t="s">
        <v>37</v>
      </c>
      <c r="J45" t="s">
        <v>38</v>
      </c>
      <c r="K45" t="s">
        <v>22</v>
      </c>
      <c r="L45" t="s">
        <v>39</v>
      </c>
      <c r="M45">
        <v>33765</v>
      </c>
      <c r="N45">
        <v>2</v>
      </c>
      <c r="O45" t="s">
        <v>1524</v>
      </c>
      <c r="P45">
        <v>2</v>
      </c>
    </row>
    <row r="46" spans="1:16">
      <c r="A46" t="s">
        <v>1452</v>
      </c>
      <c r="B46" t="s">
        <v>1453</v>
      </c>
      <c r="C46">
        <v>1</v>
      </c>
      <c r="D46" t="s">
        <v>142</v>
      </c>
      <c r="E46" t="s">
        <v>1454</v>
      </c>
      <c r="F46">
        <v>1</v>
      </c>
      <c r="G46">
        <v>45</v>
      </c>
      <c r="I46" t="s">
        <v>145</v>
      </c>
      <c r="J46" t="s">
        <v>146</v>
      </c>
      <c r="K46" t="s">
        <v>22</v>
      </c>
      <c r="L46" t="s">
        <v>147</v>
      </c>
      <c r="M46">
        <v>33885</v>
      </c>
      <c r="N46">
        <v>9</v>
      </c>
      <c r="O46" t="s">
        <v>1525</v>
      </c>
      <c r="P46">
        <v>9</v>
      </c>
    </row>
    <row r="47" spans="1:16">
      <c r="A47" t="s">
        <v>1452</v>
      </c>
      <c r="B47" t="s">
        <v>1453</v>
      </c>
      <c r="C47">
        <v>1</v>
      </c>
      <c r="D47" t="s">
        <v>142</v>
      </c>
      <c r="E47" t="s">
        <v>1454</v>
      </c>
      <c r="F47">
        <v>1</v>
      </c>
      <c r="G47">
        <v>46</v>
      </c>
      <c r="I47" t="s">
        <v>1312</v>
      </c>
      <c r="J47" t="s">
        <v>1313</v>
      </c>
      <c r="K47" t="s">
        <v>22</v>
      </c>
      <c r="L47" t="s">
        <v>1314</v>
      </c>
      <c r="M47">
        <v>8542</v>
      </c>
      <c r="N47">
        <v>28</v>
      </c>
      <c r="O47" t="s">
        <v>1526</v>
      </c>
      <c r="P47">
        <v>28</v>
      </c>
    </row>
    <row r="48" spans="1:16">
      <c r="A48" t="s">
        <v>1452</v>
      </c>
      <c r="B48" t="s">
        <v>1453</v>
      </c>
      <c r="C48">
        <v>1</v>
      </c>
      <c r="D48" t="s">
        <v>142</v>
      </c>
      <c r="E48" t="s">
        <v>1454</v>
      </c>
      <c r="F48">
        <v>1</v>
      </c>
      <c r="G48">
        <v>47</v>
      </c>
      <c r="I48" t="s">
        <v>1527</v>
      </c>
      <c r="J48" t="s">
        <v>1528</v>
      </c>
      <c r="K48" t="s">
        <v>151</v>
      </c>
      <c r="L48" t="s">
        <v>1529</v>
      </c>
      <c r="M48">
        <v>2168</v>
      </c>
      <c r="N48">
        <v>1</v>
      </c>
      <c r="O48" t="s">
        <v>1530</v>
      </c>
      <c r="P48">
        <v>1</v>
      </c>
    </row>
    <row r="49" spans="1:16">
      <c r="A49" t="s">
        <v>1452</v>
      </c>
      <c r="B49" t="s">
        <v>1453</v>
      </c>
      <c r="C49">
        <v>1</v>
      </c>
      <c r="D49" t="s">
        <v>142</v>
      </c>
      <c r="E49" t="s">
        <v>1454</v>
      </c>
      <c r="F49">
        <v>1</v>
      </c>
      <c r="G49">
        <v>48</v>
      </c>
      <c r="I49" t="s">
        <v>1531</v>
      </c>
      <c r="J49" t="s">
        <v>1532</v>
      </c>
      <c r="K49" t="s">
        <v>1485</v>
      </c>
      <c r="L49" t="s">
        <v>1533</v>
      </c>
      <c r="M49">
        <v>42518</v>
      </c>
      <c r="N49">
        <v>1</v>
      </c>
      <c r="O49" t="s">
        <v>1534</v>
      </c>
      <c r="P49">
        <v>1</v>
      </c>
    </row>
    <row r="50" spans="1:16">
      <c r="A50" t="s">
        <v>1452</v>
      </c>
      <c r="B50" t="s">
        <v>1453</v>
      </c>
      <c r="C50">
        <v>1</v>
      </c>
      <c r="D50" t="s">
        <v>142</v>
      </c>
      <c r="E50" t="s">
        <v>1454</v>
      </c>
      <c r="F50">
        <v>1</v>
      </c>
      <c r="G50">
        <v>49</v>
      </c>
      <c r="I50" t="s">
        <v>1535</v>
      </c>
      <c r="J50" t="s">
        <v>1536</v>
      </c>
      <c r="K50" t="s">
        <v>151</v>
      </c>
      <c r="L50" t="s">
        <v>1537</v>
      </c>
      <c r="M50">
        <v>678</v>
      </c>
      <c r="N50">
        <v>1</v>
      </c>
      <c r="O50" t="s">
        <v>1538</v>
      </c>
      <c r="P50">
        <v>1</v>
      </c>
    </row>
    <row r="51" spans="1:16">
      <c r="A51" t="s">
        <v>1452</v>
      </c>
      <c r="B51" t="s">
        <v>1453</v>
      </c>
      <c r="C51">
        <v>1</v>
      </c>
      <c r="D51" t="s">
        <v>142</v>
      </c>
      <c r="E51" t="s">
        <v>1454</v>
      </c>
      <c r="F51">
        <v>1</v>
      </c>
      <c r="G51">
        <v>50</v>
      </c>
      <c r="I51" t="s">
        <v>1539</v>
      </c>
      <c r="J51" t="s">
        <v>1540</v>
      </c>
      <c r="K51" t="s">
        <v>151</v>
      </c>
      <c r="L51" t="s">
        <v>1541</v>
      </c>
      <c r="M51">
        <v>3557</v>
      </c>
      <c r="N51">
        <v>1</v>
      </c>
      <c r="O51" t="s">
        <v>1542</v>
      </c>
      <c r="P51">
        <v>1</v>
      </c>
    </row>
    <row r="52" spans="1:16">
      <c r="A52" t="s">
        <v>1452</v>
      </c>
      <c r="B52" t="s">
        <v>1453</v>
      </c>
      <c r="C52">
        <v>1</v>
      </c>
      <c r="D52" t="s">
        <v>142</v>
      </c>
      <c r="E52" t="s">
        <v>1454</v>
      </c>
      <c r="F52">
        <v>1</v>
      </c>
      <c r="G52">
        <v>51</v>
      </c>
      <c r="I52" t="s">
        <v>1543</v>
      </c>
      <c r="J52" t="s">
        <v>1544</v>
      </c>
      <c r="K52" t="s">
        <v>151</v>
      </c>
      <c r="L52" t="s">
        <v>1545</v>
      </c>
      <c r="M52">
        <v>646</v>
      </c>
      <c r="N52">
        <v>3</v>
      </c>
      <c r="O52" t="s">
        <v>1546</v>
      </c>
      <c r="P52">
        <v>3</v>
      </c>
    </row>
    <row r="53" spans="1:16">
      <c r="A53" t="s">
        <v>1452</v>
      </c>
      <c r="B53" t="s">
        <v>1453</v>
      </c>
      <c r="C53">
        <v>1</v>
      </c>
      <c r="D53" t="s">
        <v>142</v>
      </c>
      <c r="E53" t="s">
        <v>1454</v>
      </c>
      <c r="F53">
        <v>1</v>
      </c>
      <c r="G53">
        <v>52</v>
      </c>
      <c r="I53" t="s">
        <v>1547</v>
      </c>
      <c r="J53" t="s">
        <v>1548</v>
      </c>
      <c r="K53" t="s">
        <v>22</v>
      </c>
      <c r="L53" t="s">
        <v>1549</v>
      </c>
      <c r="M53">
        <v>275</v>
      </c>
      <c r="N53">
        <v>1</v>
      </c>
      <c r="O53" t="s">
        <v>1550</v>
      </c>
      <c r="P53">
        <v>1</v>
      </c>
    </row>
    <row r="54" spans="1:16">
      <c r="A54" t="s">
        <v>1452</v>
      </c>
      <c r="B54" t="s">
        <v>1453</v>
      </c>
      <c r="C54">
        <v>1</v>
      </c>
      <c r="D54" t="s">
        <v>142</v>
      </c>
      <c r="E54" t="s">
        <v>1454</v>
      </c>
      <c r="F54">
        <v>1</v>
      </c>
      <c r="G54">
        <v>53</v>
      </c>
      <c r="I54" t="s">
        <v>1551</v>
      </c>
      <c r="J54" t="s">
        <v>1552</v>
      </c>
      <c r="K54" t="s">
        <v>151</v>
      </c>
      <c r="L54" t="s">
        <v>1553</v>
      </c>
      <c r="M54">
        <v>5</v>
      </c>
      <c r="N54">
        <v>1</v>
      </c>
      <c r="O54" t="s">
        <v>1554</v>
      </c>
      <c r="P54">
        <v>1</v>
      </c>
    </row>
    <row r="55" spans="1:16">
      <c r="A55" t="s">
        <v>1452</v>
      </c>
      <c r="B55" t="s">
        <v>1453</v>
      </c>
      <c r="C55">
        <v>1</v>
      </c>
      <c r="D55" t="s">
        <v>142</v>
      </c>
      <c r="E55" t="s">
        <v>1454</v>
      </c>
      <c r="F55">
        <v>1</v>
      </c>
      <c r="G55">
        <v>54</v>
      </c>
      <c r="I55" t="s">
        <v>605</v>
      </c>
      <c r="J55" t="s">
        <v>606</v>
      </c>
      <c r="K55" t="s">
        <v>48</v>
      </c>
      <c r="L55" t="s">
        <v>607</v>
      </c>
      <c r="M55">
        <v>42507</v>
      </c>
      <c r="N55">
        <v>11</v>
      </c>
      <c r="O55" t="s">
        <v>1555</v>
      </c>
      <c r="P55">
        <v>11</v>
      </c>
    </row>
    <row r="56" spans="1:16">
      <c r="A56" t="s">
        <v>1452</v>
      </c>
      <c r="B56" t="s">
        <v>1453</v>
      </c>
      <c r="C56">
        <v>1</v>
      </c>
      <c r="D56" t="s">
        <v>142</v>
      </c>
      <c r="E56" t="s">
        <v>1454</v>
      </c>
      <c r="F56">
        <v>1</v>
      </c>
      <c r="G56">
        <v>55</v>
      </c>
      <c r="I56" t="s">
        <v>308</v>
      </c>
      <c r="J56" t="s">
        <v>309</v>
      </c>
      <c r="K56" t="s">
        <v>32</v>
      </c>
      <c r="L56" t="s">
        <v>310</v>
      </c>
      <c r="M56">
        <v>10526</v>
      </c>
      <c r="N56">
        <v>4</v>
      </c>
      <c r="O56" t="s">
        <v>1556</v>
      </c>
      <c r="P56">
        <v>4</v>
      </c>
    </row>
    <row r="57" spans="1:16">
      <c r="A57" t="s">
        <v>1452</v>
      </c>
      <c r="B57" t="s">
        <v>1453</v>
      </c>
      <c r="C57">
        <v>1</v>
      </c>
      <c r="D57" t="s">
        <v>142</v>
      </c>
      <c r="E57" t="s">
        <v>1454</v>
      </c>
      <c r="F57">
        <v>1</v>
      </c>
      <c r="G57">
        <v>56</v>
      </c>
      <c r="I57" t="s">
        <v>272</v>
      </c>
      <c r="J57" t="s">
        <v>273</v>
      </c>
      <c r="K57" t="s">
        <v>32</v>
      </c>
      <c r="L57" t="s">
        <v>274</v>
      </c>
      <c r="M57">
        <v>33762</v>
      </c>
      <c r="N57">
        <v>10</v>
      </c>
      <c r="O57" t="s">
        <v>1557</v>
      </c>
      <c r="P57">
        <v>10</v>
      </c>
    </row>
    <row r="58" spans="1:16">
      <c r="A58" t="s">
        <v>1452</v>
      </c>
      <c r="B58" t="s">
        <v>1453</v>
      </c>
      <c r="C58">
        <v>1</v>
      </c>
      <c r="D58" t="s">
        <v>142</v>
      </c>
      <c r="E58" t="s">
        <v>1454</v>
      </c>
      <c r="F58">
        <v>1</v>
      </c>
      <c r="G58">
        <v>57</v>
      </c>
      <c r="I58" t="s">
        <v>34</v>
      </c>
      <c r="J58" t="s">
        <v>35</v>
      </c>
      <c r="K58" t="s">
        <v>22</v>
      </c>
      <c r="L58" t="s">
        <v>36</v>
      </c>
      <c r="M58">
        <v>4320</v>
      </c>
      <c r="N58">
        <v>5</v>
      </c>
      <c r="O58" t="s">
        <v>1558</v>
      </c>
      <c r="P58">
        <v>5</v>
      </c>
    </row>
    <row r="59" spans="1:16">
      <c r="A59" t="s">
        <v>1452</v>
      </c>
      <c r="B59" t="s">
        <v>1453</v>
      </c>
      <c r="C59">
        <v>1</v>
      </c>
      <c r="D59" t="s">
        <v>142</v>
      </c>
      <c r="E59" t="s">
        <v>1454</v>
      </c>
      <c r="F59">
        <v>1</v>
      </c>
      <c r="G59">
        <v>58</v>
      </c>
      <c r="I59" t="s">
        <v>1559</v>
      </c>
      <c r="J59" t="s">
        <v>1560</v>
      </c>
      <c r="K59" t="s">
        <v>22</v>
      </c>
      <c r="L59" t="s">
        <v>1561</v>
      </c>
      <c r="M59">
        <v>33771</v>
      </c>
      <c r="N59">
        <v>2</v>
      </c>
      <c r="O59" t="s">
        <v>1562</v>
      </c>
      <c r="P59">
        <v>2</v>
      </c>
    </row>
    <row r="60" spans="1:16">
      <c r="A60" t="s">
        <v>1452</v>
      </c>
      <c r="B60" t="s">
        <v>1453</v>
      </c>
      <c r="C60">
        <v>1</v>
      </c>
      <c r="D60" t="s">
        <v>142</v>
      </c>
      <c r="E60" t="s">
        <v>1454</v>
      </c>
      <c r="F60">
        <v>1</v>
      </c>
      <c r="G60">
        <v>59</v>
      </c>
      <c r="I60" t="s">
        <v>1563</v>
      </c>
      <c r="J60" t="s">
        <v>1564</v>
      </c>
      <c r="K60" t="s">
        <v>151</v>
      </c>
      <c r="L60" t="s">
        <v>1565</v>
      </c>
      <c r="M60">
        <v>4238</v>
      </c>
      <c r="N60">
        <v>1</v>
      </c>
      <c r="O60" t="s">
        <v>1566</v>
      </c>
      <c r="P60">
        <v>1</v>
      </c>
    </row>
    <row r="61" spans="1:16">
      <c r="A61" t="s">
        <v>1452</v>
      </c>
      <c r="B61" t="s">
        <v>1453</v>
      </c>
      <c r="C61">
        <v>1</v>
      </c>
      <c r="D61" t="s">
        <v>142</v>
      </c>
      <c r="E61" t="s">
        <v>1454</v>
      </c>
      <c r="F61">
        <v>1</v>
      </c>
      <c r="G61">
        <v>60</v>
      </c>
      <c r="I61" t="s">
        <v>1325</v>
      </c>
      <c r="J61" t="s">
        <v>1326</v>
      </c>
      <c r="K61" t="s">
        <v>22</v>
      </c>
      <c r="L61" t="s">
        <v>1327</v>
      </c>
      <c r="M61">
        <v>33766</v>
      </c>
      <c r="N61">
        <v>3</v>
      </c>
      <c r="O61" t="s">
        <v>1567</v>
      </c>
      <c r="P61">
        <v>3</v>
      </c>
    </row>
    <row r="62" spans="1:16">
      <c r="A62" t="s">
        <v>1452</v>
      </c>
      <c r="B62" t="s">
        <v>1453</v>
      </c>
      <c r="C62">
        <v>1</v>
      </c>
      <c r="D62" t="s">
        <v>142</v>
      </c>
      <c r="E62" t="s">
        <v>1454</v>
      </c>
      <c r="F62">
        <v>1</v>
      </c>
      <c r="G62">
        <v>61</v>
      </c>
      <c r="I62" t="s">
        <v>1568</v>
      </c>
      <c r="J62" t="s">
        <v>1569</v>
      </c>
      <c r="K62" t="s">
        <v>1570</v>
      </c>
      <c r="L62" t="s">
        <v>1571</v>
      </c>
      <c r="M62">
        <v>42349</v>
      </c>
      <c r="N62">
        <v>1</v>
      </c>
      <c r="O62" t="s">
        <v>1572</v>
      </c>
      <c r="P62">
        <v>1</v>
      </c>
    </row>
    <row r="63" spans="1:16">
      <c r="A63" t="s">
        <v>1452</v>
      </c>
      <c r="B63" t="s">
        <v>1453</v>
      </c>
      <c r="C63">
        <v>1</v>
      </c>
      <c r="D63" t="s">
        <v>142</v>
      </c>
      <c r="E63" t="s">
        <v>1454</v>
      </c>
      <c r="F63">
        <v>1</v>
      </c>
      <c r="G63">
        <v>62</v>
      </c>
      <c r="I63" t="s">
        <v>1573</v>
      </c>
      <c r="J63" t="s">
        <v>1574</v>
      </c>
      <c r="K63" t="s">
        <v>1570</v>
      </c>
      <c r="L63" t="s">
        <v>1575</v>
      </c>
      <c r="M63">
        <v>42341</v>
      </c>
      <c r="N63">
        <v>1</v>
      </c>
      <c r="O63" t="s">
        <v>1576</v>
      </c>
      <c r="P63">
        <v>1</v>
      </c>
    </row>
    <row r="64" spans="1:16">
      <c r="A64" t="s">
        <v>1452</v>
      </c>
      <c r="B64" t="s">
        <v>1453</v>
      </c>
      <c r="C64">
        <v>1</v>
      </c>
      <c r="D64" t="s">
        <v>142</v>
      </c>
      <c r="E64" t="s">
        <v>1454</v>
      </c>
      <c r="F64">
        <v>1</v>
      </c>
      <c r="G64">
        <v>63</v>
      </c>
      <c r="I64" t="s">
        <v>1577</v>
      </c>
      <c r="J64" t="s">
        <v>1578</v>
      </c>
      <c r="K64" t="s">
        <v>1570</v>
      </c>
      <c r="L64" t="s">
        <v>1579</v>
      </c>
      <c r="M64">
        <v>42352</v>
      </c>
      <c r="N64">
        <v>1</v>
      </c>
      <c r="O64" t="s">
        <v>1580</v>
      </c>
      <c r="P64">
        <v>1</v>
      </c>
    </row>
    <row r="65" spans="1:16">
      <c r="A65" t="s">
        <v>1452</v>
      </c>
      <c r="B65" t="s">
        <v>1453</v>
      </c>
      <c r="C65">
        <v>1</v>
      </c>
      <c r="D65" t="s">
        <v>142</v>
      </c>
      <c r="E65" t="s">
        <v>1454</v>
      </c>
      <c r="F65">
        <v>1</v>
      </c>
      <c r="G65">
        <v>64</v>
      </c>
      <c r="I65" t="s">
        <v>1581</v>
      </c>
      <c r="J65" t="s">
        <v>1582</v>
      </c>
      <c r="K65" t="s">
        <v>1570</v>
      </c>
      <c r="L65" t="s">
        <v>1583</v>
      </c>
      <c r="M65">
        <v>42351</v>
      </c>
      <c r="N65">
        <v>2</v>
      </c>
      <c r="O65" t="s">
        <v>1584</v>
      </c>
      <c r="P65">
        <v>2</v>
      </c>
    </row>
    <row r="66" spans="1:16">
      <c r="A66" t="s">
        <v>1452</v>
      </c>
      <c r="B66" t="s">
        <v>1453</v>
      </c>
      <c r="C66">
        <v>1</v>
      </c>
      <c r="D66" t="s">
        <v>142</v>
      </c>
      <c r="E66" t="s">
        <v>1454</v>
      </c>
      <c r="F66">
        <v>1</v>
      </c>
      <c r="G66">
        <v>65</v>
      </c>
      <c r="I66" t="s">
        <v>237</v>
      </c>
      <c r="J66" t="s">
        <v>238</v>
      </c>
      <c r="K66" t="s">
        <v>48</v>
      </c>
      <c r="L66" t="s">
        <v>239</v>
      </c>
      <c r="M66">
        <v>42512</v>
      </c>
      <c r="N66">
        <v>2</v>
      </c>
      <c r="O66" t="s">
        <v>1585</v>
      </c>
      <c r="P66">
        <v>2</v>
      </c>
    </row>
    <row r="67" spans="1:16">
      <c r="A67" t="s">
        <v>1452</v>
      </c>
      <c r="B67" t="s">
        <v>1453</v>
      </c>
      <c r="C67">
        <v>1</v>
      </c>
      <c r="D67" t="s">
        <v>142</v>
      </c>
      <c r="E67" t="s">
        <v>1454</v>
      </c>
      <c r="F67">
        <v>1</v>
      </c>
      <c r="G67">
        <v>66</v>
      </c>
      <c r="I67" t="s">
        <v>1586</v>
      </c>
      <c r="J67" t="s">
        <v>1587</v>
      </c>
      <c r="K67" t="s">
        <v>1588</v>
      </c>
      <c r="L67" t="s">
        <v>1589</v>
      </c>
      <c r="M67">
        <v>42375</v>
      </c>
      <c r="N67">
        <v>2</v>
      </c>
      <c r="O67" t="s">
        <v>1590</v>
      </c>
      <c r="P67">
        <v>2</v>
      </c>
    </row>
    <row r="68" spans="1:16">
      <c r="A68" t="s">
        <v>1452</v>
      </c>
      <c r="B68" t="s">
        <v>1453</v>
      </c>
      <c r="C68">
        <v>1</v>
      </c>
      <c r="D68" t="s">
        <v>142</v>
      </c>
      <c r="E68" t="s">
        <v>1454</v>
      </c>
      <c r="F68">
        <v>1</v>
      </c>
      <c r="G68">
        <v>67</v>
      </c>
      <c r="I68" t="s">
        <v>643</v>
      </c>
      <c r="J68" t="s">
        <v>644</v>
      </c>
      <c r="K68" t="s">
        <v>645</v>
      </c>
      <c r="L68" t="s">
        <v>646</v>
      </c>
      <c r="M68">
        <v>10086</v>
      </c>
      <c r="N68">
        <v>1</v>
      </c>
      <c r="O68" t="s">
        <v>164</v>
      </c>
      <c r="P68">
        <v>1</v>
      </c>
    </row>
    <row r="69" spans="1:16">
      <c r="A69" t="s">
        <v>1452</v>
      </c>
      <c r="B69" t="s">
        <v>1453</v>
      </c>
      <c r="C69">
        <v>1</v>
      </c>
      <c r="D69" t="s">
        <v>142</v>
      </c>
      <c r="E69" t="s">
        <v>1454</v>
      </c>
      <c r="F69">
        <v>1</v>
      </c>
      <c r="G69">
        <v>68</v>
      </c>
      <c r="I69" t="s">
        <v>314</v>
      </c>
      <c r="J69" t="s">
        <v>315</v>
      </c>
      <c r="K69" t="s">
        <v>316</v>
      </c>
      <c r="L69" t="s">
        <v>317</v>
      </c>
      <c r="M69">
        <v>10402</v>
      </c>
      <c r="N69">
        <v>2</v>
      </c>
      <c r="O69" t="s">
        <v>1591</v>
      </c>
      <c r="P69">
        <v>2</v>
      </c>
    </row>
    <row r="70" spans="1:16">
      <c r="A70" t="s">
        <v>1452</v>
      </c>
      <c r="B70" t="s">
        <v>1453</v>
      </c>
      <c r="C70">
        <v>1</v>
      </c>
      <c r="D70" t="s">
        <v>142</v>
      </c>
      <c r="E70" t="s">
        <v>1454</v>
      </c>
      <c r="F70">
        <v>1</v>
      </c>
      <c r="G70">
        <v>69</v>
      </c>
      <c r="I70" t="s">
        <v>660</v>
      </c>
      <c r="J70" t="s">
        <v>661</v>
      </c>
      <c r="K70" t="s">
        <v>662</v>
      </c>
      <c r="L70" t="s">
        <v>663</v>
      </c>
      <c r="M70">
        <v>33813</v>
      </c>
      <c r="N70">
        <v>2</v>
      </c>
      <c r="O70" t="s">
        <v>1592</v>
      </c>
      <c r="P70">
        <v>2</v>
      </c>
    </row>
    <row r="71" spans="1:16">
      <c r="A71" t="s">
        <v>1452</v>
      </c>
      <c r="B71" t="s">
        <v>1453</v>
      </c>
      <c r="C71">
        <v>1</v>
      </c>
      <c r="D71" t="s">
        <v>142</v>
      </c>
      <c r="E71" t="s">
        <v>1454</v>
      </c>
      <c r="F71">
        <v>1</v>
      </c>
      <c r="G71">
        <v>70</v>
      </c>
      <c r="I71" t="s">
        <v>651</v>
      </c>
      <c r="J71" t="s">
        <v>652</v>
      </c>
      <c r="K71" t="s">
        <v>114</v>
      </c>
      <c r="L71" t="s">
        <v>653</v>
      </c>
      <c r="M71">
        <v>10448</v>
      </c>
      <c r="N71">
        <v>3</v>
      </c>
      <c r="O71" t="s">
        <v>1593</v>
      </c>
      <c r="P71">
        <v>3</v>
      </c>
    </row>
    <row r="72" spans="1:16">
      <c r="A72" t="s">
        <v>1452</v>
      </c>
      <c r="B72" t="s">
        <v>1453</v>
      </c>
      <c r="C72">
        <v>1</v>
      </c>
      <c r="D72" t="s">
        <v>142</v>
      </c>
      <c r="E72" t="s">
        <v>1454</v>
      </c>
      <c r="F72">
        <v>1</v>
      </c>
      <c r="G72">
        <v>71</v>
      </c>
      <c r="I72" t="s">
        <v>376</v>
      </c>
      <c r="J72" t="s">
        <v>1354</v>
      </c>
      <c r="K72" t="s">
        <v>339</v>
      </c>
      <c r="L72" t="s">
        <v>1355</v>
      </c>
      <c r="M72">
        <v>42467</v>
      </c>
      <c r="N72">
        <v>10</v>
      </c>
      <c r="O72" t="s">
        <v>1594</v>
      </c>
      <c r="P72">
        <v>10</v>
      </c>
    </row>
    <row r="73" spans="1:16">
      <c r="A73" t="s">
        <v>1452</v>
      </c>
      <c r="B73" t="s">
        <v>1453</v>
      </c>
      <c r="C73">
        <v>1</v>
      </c>
      <c r="D73" t="s">
        <v>142</v>
      </c>
      <c r="E73" t="s">
        <v>1454</v>
      </c>
      <c r="F73">
        <v>1</v>
      </c>
      <c r="G73">
        <v>72</v>
      </c>
      <c r="I73" t="s">
        <v>666</v>
      </c>
      <c r="J73" t="s">
        <v>667</v>
      </c>
      <c r="K73" t="s">
        <v>171</v>
      </c>
      <c r="L73" t="s">
        <v>668</v>
      </c>
      <c r="M73">
        <v>33763</v>
      </c>
      <c r="N73">
        <v>5</v>
      </c>
      <c r="O73" t="s">
        <v>1595</v>
      </c>
      <c r="P73">
        <v>5</v>
      </c>
    </row>
    <row r="74" spans="1:16">
      <c r="A74" t="s">
        <v>1452</v>
      </c>
      <c r="B74" t="s">
        <v>1453</v>
      </c>
      <c r="C74">
        <v>1</v>
      </c>
      <c r="D74" t="s">
        <v>142</v>
      </c>
      <c r="E74" t="s">
        <v>1454</v>
      </c>
      <c r="F74">
        <v>1</v>
      </c>
      <c r="G74">
        <v>73</v>
      </c>
      <c r="I74" t="s">
        <v>365</v>
      </c>
      <c r="J74" t="s">
        <v>366</v>
      </c>
      <c r="K74" t="s">
        <v>114</v>
      </c>
      <c r="L74" t="s">
        <v>368</v>
      </c>
      <c r="M74">
        <v>42330</v>
      </c>
      <c r="N74">
        <v>11</v>
      </c>
      <c r="O74" t="s">
        <v>1596</v>
      </c>
      <c r="P74">
        <v>11</v>
      </c>
    </row>
    <row r="75" spans="1:16">
      <c r="A75" t="s">
        <v>1452</v>
      </c>
      <c r="B75" t="s">
        <v>1453</v>
      </c>
      <c r="C75">
        <v>1</v>
      </c>
      <c r="D75" t="s">
        <v>142</v>
      </c>
      <c r="E75" t="s">
        <v>1454</v>
      </c>
      <c r="F75">
        <v>1</v>
      </c>
      <c r="G75">
        <v>74</v>
      </c>
      <c r="I75" t="s">
        <v>706</v>
      </c>
      <c r="J75" t="s">
        <v>707</v>
      </c>
      <c r="K75" t="s">
        <v>708</v>
      </c>
      <c r="L75" t="s">
        <v>709</v>
      </c>
      <c r="M75">
        <v>9574</v>
      </c>
      <c r="N75">
        <v>1</v>
      </c>
      <c r="O75" t="s">
        <v>1349</v>
      </c>
      <c r="P75">
        <v>1</v>
      </c>
    </row>
    <row r="76" spans="1:16">
      <c r="A76" t="s">
        <v>1452</v>
      </c>
      <c r="B76" t="s">
        <v>1453</v>
      </c>
      <c r="C76">
        <v>1</v>
      </c>
      <c r="D76" t="s">
        <v>142</v>
      </c>
      <c r="E76" t="s">
        <v>1454</v>
      </c>
      <c r="F76">
        <v>1</v>
      </c>
      <c r="G76">
        <v>75</v>
      </c>
      <c r="I76" t="s">
        <v>1597</v>
      </c>
      <c r="J76" t="s">
        <v>1598</v>
      </c>
      <c r="K76" t="s">
        <v>324</v>
      </c>
      <c r="L76" t="s">
        <v>1599</v>
      </c>
      <c r="M76">
        <v>10391</v>
      </c>
      <c r="N76">
        <v>1</v>
      </c>
      <c r="O76" t="s">
        <v>332</v>
      </c>
      <c r="P76">
        <v>1</v>
      </c>
    </row>
    <row r="77" spans="1:16">
      <c r="A77" t="s">
        <v>1452</v>
      </c>
      <c r="B77" t="s">
        <v>1453</v>
      </c>
      <c r="C77">
        <v>1</v>
      </c>
      <c r="D77" t="s">
        <v>142</v>
      </c>
      <c r="E77" t="s">
        <v>1454</v>
      </c>
      <c r="F77">
        <v>1</v>
      </c>
      <c r="G77">
        <v>76</v>
      </c>
      <c r="I77" t="s">
        <v>683</v>
      </c>
      <c r="J77" t="s">
        <v>684</v>
      </c>
      <c r="K77" t="s">
        <v>171</v>
      </c>
      <c r="L77" t="s">
        <v>685</v>
      </c>
      <c r="M77">
        <v>10393</v>
      </c>
      <c r="N77">
        <v>8</v>
      </c>
      <c r="O77" t="s">
        <v>1600</v>
      </c>
      <c r="P77">
        <v>8</v>
      </c>
    </row>
    <row r="78" spans="1:16">
      <c r="A78" t="s">
        <v>1452</v>
      </c>
      <c r="B78" t="s">
        <v>1453</v>
      </c>
      <c r="C78">
        <v>1</v>
      </c>
      <c r="D78" t="s">
        <v>142</v>
      </c>
      <c r="E78" t="s">
        <v>1454</v>
      </c>
      <c r="F78">
        <v>1</v>
      </c>
      <c r="G78">
        <v>77</v>
      </c>
      <c r="I78" t="s">
        <v>1601</v>
      </c>
      <c r="J78" t="s">
        <v>1602</v>
      </c>
      <c r="K78" t="s">
        <v>358</v>
      </c>
      <c r="L78" t="s">
        <v>1603</v>
      </c>
      <c r="M78">
        <v>10394</v>
      </c>
      <c r="N78">
        <v>2</v>
      </c>
      <c r="O78" t="s">
        <v>1604</v>
      </c>
      <c r="P78">
        <v>2</v>
      </c>
    </row>
    <row r="79" spans="1:16">
      <c r="A79" t="s">
        <v>1452</v>
      </c>
      <c r="B79" t="s">
        <v>1453</v>
      </c>
      <c r="C79">
        <v>1</v>
      </c>
      <c r="D79" t="s">
        <v>142</v>
      </c>
      <c r="E79" t="s">
        <v>1454</v>
      </c>
      <c r="F79">
        <v>1</v>
      </c>
      <c r="G79">
        <v>78</v>
      </c>
      <c r="I79" t="s">
        <v>696</v>
      </c>
      <c r="J79" t="s">
        <v>697</v>
      </c>
      <c r="K79" t="s">
        <v>57</v>
      </c>
      <c r="L79" t="s">
        <v>698</v>
      </c>
      <c r="M79">
        <v>10400</v>
      </c>
      <c r="N79">
        <v>1</v>
      </c>
      <c r="O79" t="s">
        <v>341</v>
      </c>
      <c r="P79">
        <v>1</v>
      </c>
    </row>
    <row r="80" spans="1:16">
      <c r="A80" t="s">
        <v>1452</v>
      </c>
      <c r="B80" t="s">
        <v>1453</v>
      </c>
      <c r="C80">
        <v>1</v>
      </c>
      <c r="D80" t="s">
        <v>142</v>
      </c>
      <c r="E80" t="s">
        <v>1454</v>
      </c>
      <c r="F80">
        <v>1</v>
      </c>
      <c r="G80">
        <v>79</v>
      </c>
      <c r="I80" t="s">
        <v>673</v>
      </c>
      <c r="J80" t="s">
        <v>674</v>
      </c>
      <c r="K80" t="s">
        <v>339</v>
      </c>
      <c r="L80" t="s">
        <v>675</v>
      </c>
      <c r="M80">
        <v>10297</v>
      </c>
      <c r="N80">
        <v>1</v>
      </c>
      <c r="O80" t="s">
        <v>187</v>
      </c>
      <c r="P80">
        <v>1</v>
      </c>
    </row>
    <row r="81" spans="1:16">
      <c r="A81" t="s">
        <v>1452</v>
      </c>
      <c r="B81" t="s">
        <v>1453</v>
      </c>
      <c r="C81">
        <v>1</v>
      </c>
      <c r="D81" t="s">
        <v>142</v>
      </c>
      <c r="E81" t="s">
        <v>1454</v>
      </c>
      <c r="F81">
        <v>1</v>
      </c>
      <c r="G81">
        <v>80</v>
      </c>
      <c r="I81" t="s">
        <v>687</v>
      </c>
      <c r="J81" t="s">
        <v>688</v>
      </c>
      <c r="K81" t="s">
        <v>689</v>
      </c>
      <c r="L81" t="s">
        <v>690</v>
      </c>
      <c r="M81">
        <v>9664</v>
      </c>
      <c r="N81">
        <v>1</v>
      </c>
      <c r="O81" t="s">
        <v>1605</v>
      </c>
      <c r="P81">
        <v>1</v>
      </c>
    </row>
    <row r="82" spans="1:16">
      <c r="A82" t="s">
        <v>1452</v>
      </c>
      <c r="B82" t="s">
        <v>1453</v>
      </c>
      <c r="C82">
        <v>1</v>
      </c>
      <c r="D82" t="s">
        <v>142</v>
      </c>
      <c r="E82" t="s">
        <v>1454</v>
      </c>
      <c r="F82">
        <v>1</v>
      </c>
      <c r="G82">
        <v>81</v>
      </c>
      <c r="I82" t="s">
        <v>677</v>
      </c>
      <c r="J82" t="s">
        <v>678</v>
      </c>
      <c r="K82" t="s">
        <v>1606</v>
      </c>
      <c r="L82" t="s">
        <v>680</v>
      </c>
      <c r="M82">
        <v>10298</v>
      </c>
      <c r="N82">
        <v>1</v>
      </c>
      <c r="O82" t="s">
        <v>664</v>
      </c>
      <c r="P82">
        <v>1</v>
      </c>
    </row>
    <row r="83" spans="1:16">
      <c r="A83" t="s">
        <v>1452</v>
      </c>
      <c r="B83" t="s">
        <v>1453</v>
      </c>
      <c r="C83">
        <v>1</v>
      </c>
      <c r="D83" t="s">
        <v>142</v>
      </c>
      <c r="E83" t="s">
        <v>1454</v>
      </c>
      <c r="F83">
        <v>1</v>
      </c>
      <c r="G83">
        <v>82</v>
      </c>
      <c r="I83" t="s">
        <v>354</v>
      </c>
      <c r="J83" t="s">
        <v>355</v>
      </c>
      <c r="K83" t="s">
        <v>324</v>
      </c>
      <c r="L83" t="s">
        <v>356</v>
      </c>
      <c r="M83">
        <v>10243</v>
      </c>
      <c r="N83">
        <v>6</v>
      </c>
      <c r="O83" t="s">
        <v>1607</v>
      </c>
      <c r="P83">
        <v>6</v>
      </c>
    </row>
    <row r="84" spans="1:16">
      <c r="A84" t="s">
        <v>1452</v>
      </c>
      <c r="B84" t="s">
        <v>1453</v>
      </c>
      <c r="C84">
        <v>1</v>
      </c>
      <c r="D84" t="s">
        <v>142</v>
      </c>
      <c r="E84" t="s">
        <v>1454</v>
      </c>
      <c r="F84">
        <v>1</v>
      </c>
      <c r="G84">
        <v>83</v>
      </c>
      <c r="I84" t="s">
        <v>692</v>
      </c>
      <c r="J84" t="s">
        <v>693</v>
      </c>
      <c r="K84" t="s">
        <v>358</v>
      </c>
      <c r="L84" t="s">
        <v>694</v>
      </c>
      <c r="M84">
        <v>10214</v>
      </c>
      <c r="N84">
        <v>1</v>
      </c>
      <c r="O84" t="s">
        <v>1356</v>
      </c>
      <c r="P84">
        <v>1</v>
      </c>
    </row>
    <row r="85" spans="1:16">
      <c r="A85" t="s">
        <v>1452</v>
      </c>
      <c r="B85" t="s">
        <v>1453</v>
      </c>
      <c r="C85">
        <v>1</v>
      </c>
      <c r="D85" t="s">
        <v>142</v>
      </c>
      <c r="E85" t="s">
        <v>1454</v>
      </c>
      <c r="F85">
        <v>1</v>
      </c>
      <c r="G85">
        <v>84</v>
      </c>
      <c r="I85" t="s">
        <v>1608</v>
      </c>
      <c r="J85" t="s">
        <v>1609</v>
      </c>
      <c r="K85" t="s">
        <v>339</v>
      </c>
      <c r="L85" t="s">
        <v>1610</v>
      </c>
      <c r="M85">
        <v>33787</v>
      </c>
      <c r="N85">
        <v>1</v>
      </c>
      <c r="O85" t="s">
        <v>353</v>
      </c>
      <c r="P85">
        <v>1</v>
      </c>
    </row>
    <row r="86" spans="1:16">
      <c r="A86" t="s">
        <v>1452</v>
      </c>
      <c r="B86" t="s">
        <v>1453</v>
      </c>
      <c r="C86">
        <v>1</v>
      </c>
      <c r="D86" t="s">
        <v>142</v>
      </c>
      <c r="E86" t="s">
        <v>1454</v>
      </c>
      <c r="F86">
        <v>1</v>
      </c>
      <c r="G86">
        <v>85</v>
      </c>
      <c r="I86" t="s">
        <v>1611</v>
      </c>
      <c r="J86" t="s">
        <v>1612</v>
      </c>
      <c r="K86" t="s">
        <v>324</v>
      </c>
      <c r="L86" t="s">
        <v>1613</v>
      </c>
      <c r="M86">
        <v>10304</v>
      </c>
      <c r="N86">
        <v>2</v>
      </c>
      <c r="O86" t="s">
        <v>1614</v>
      </c>
      <c r="P86">
        <v>2</v>
      </c>
    </row>
    <row r="87" spans="1:16">
      <c r="A87" t="s">
        <v>1452</v>
      </c>
      <c r="B87" t="s">
        <v>1453</v>
      </c>
      <c r="C87">
        <v>1</v>
      </c>
      <c r="D87" t="s">
        <v>142</v>
      </c>
      <c r="E87" t="s">
        <v>1454</v>
      </c>
      <c r="F87">
        <v>1</v>
      </c>
      <c r="G87">
        <v>86</v>
      </c>
      <c r="I87" t="s">
        <v>724</v>
      </c>
      <c r="J87" t="s">
        <v>725</v>
      </c>
      <c r="K87" t="s">
        <v>717</v>
      </c>
      <c r="L87" t="s">
        <v>726</v>
      </c>
      <c r="M87">
        <v>10334</v>
      </c>
      <c r="N87">
        <v>2</v>
      </c>
      <c r="O87" t="s">
        <v>1615</v>
      </c>
      <c r="P87">
        <v>2</v>
      </c>
    </row>
    <row r="88" spans="1:16">
      <c r="A88" t="s">
        <v>1452</v>
      </c>
      <c r="B88" t="s">
        <v>1453</v>
      </c>
      <c r="C88">
        <v>1</v>
      </c>
      <c r="D88" t="s">
        <v>142</v>
      </c>
      <c r="E88" t="s">
        <v>1454</v>
      </c>
      <c r="F88">
        <v>1</v>
      </c>
      <c r="G88">
        <v>87</v>
      </c>
      <c r="I88" t="s">
        <v>376</v>
      </c>
      <c r="J88" t="s">
        <v>377</v>
      </c>
      <c r="K88" t="s">
        <v>339</v>
      </c>
      <c r="L88" t="s">
        <v>378</v>
      </c>
      <c r="M88">
        <v>42468</v>
      </c>
      <c r="N88">
        <v>5</v>
      </c>
      <c r="O88" t="s">
        <v>1616</v>
      </c>
      <c r="P88">
        <v>5</v>
      </c>
    </row>
    <row r="89" spans="1:16">
      <c r="A89" t="s">
        <v>1452</v>
      </c>
      <c r="B89" t="s">
        <v>1453</v>
      </c>
      <c r="C89">
        <v>1</v>
      </c>
      <c r="D89" t="s">
        <v>142</v>
      </c>
      <c r="E89" t="s">
        <v>1454</v>
      </c>
      <c r="F89">
        <v>1</v>
      </c>
      <c r="G89">
        <v>88</v>
      </c>
      <c r="I89" t="s">
        <v>745</v>
      </c>
      <c r="J89" t="s">
        <v>746</v>
      </c>
      <c r="K89" t="s">
        <v>122</v>
      </c>
      <c r="L89" t="s">
        <v>747</v>
      </c>
      <c r="M89">
        <v>33916</v>
      </c>
      <c r="N89">
        <v>3</v>
      </c>
      <c r="O89" t="s">
        <v>1617</v>
      </c>
      <c r="P89">
        <v>3</v>
      </c>
    </row>
    <row r="90" spans="1:16">
      <c r="A90" t="s">
        <v>1452</v>
      </c>
      <c r="B90" t="s">
        <v>1453</v>
      </c>
      <c r="C90">
        <v>1</v>
      </c>
      <c r="D90" t="s">
        <v>142</v>
      </c>
      <c r="E90" t="s">
        <v>1454</v>
      </c>
      <c r="F90">
        <v>1</v>
      </c>
      <c r="G90">
        <v>89</v>
      </c>
      <c r="I90" t="s">
        <v>754</v>
      </c>
      <c r="J90" t="s">
        <v>755</v>
      </c>
      <c r="K90" t="s">
        <v>756</v>
      </c>
      <c r="L90" t="s">
        <v>757</v>
      </c>
      <c r="M90">
        <v>33780</v>
      </c>
      <c r="N90">
        <v>1</v>
      </c>
      <c r="O90" t="s">
        <v>1618</v>
      </c>
      <c r="P90">
        <v>1</v>
      </c>
    </row>
    <row r="91" spans="1:16">
      <c r="A91" t="s">
        <v>1452</v>
      </c>
      <c r="B91" t="s">
        <v>1453</v>
      </c>
      <c r="C91">
        <v>1</v>
      </c>
      <c r="D91" t="s">
        <v>142</v>
      </c>
      <c r="E91" t="s">
        <v>1454</v>
      </c>
      <c r="F91">
        <v>1</v>
      </c>
      <c r="G91">
        <v>90</v>
      </c>
      <c r="I91" t="s">
        <v>347</v>
      </c>
      <c r="J91" t="s">
        <v>348</v>
      </c>
      <c r="K91" t="s">
        <v>339</v>
      </c>
      <c r="L91" t="s">
        <v>349</v>
      </c>
      <c r="M91">
        <v>10468</v>
      </c>
      <c r="N91">
        <v>1</v>
      </c>
      <c r="O91" t="s">
        <v>1619</v>
      </c>
      <c r="P91">
        <v>1</v>
      </c>
    </row>
    <row r="92" spans="1:16">
      <c r="A92" t="s">
        <v>1452</v>
      </c>
      <c r="B92" t="s">
        <v>1453</v>
      </c>
      <c r="C92">
        <v>1</v>
      </c>
      <c r="D92" t="s">
        <v>142</v>
      </c>
      <c r="E92" t="s">
        <v>1454</v>
      </c>
      <c r="F92">
        <v>1</v>
      </c>
      <c r="G92">
        <v>91</v>
      </c>
      <c r="I92" t="s">
        <v>655</v>
      </c>
      <c r="J92" t="s">
        <v>656</v>
      </c>
      <c r="K92" t="s">
        <v>339</v>
      </c>
      <c r="L92" t="s">
        <v>657</v>
      </c>
      <c r="M92">
        <v>42466</v>
      </c>
      <c r="N92">
        <v>1</v>
      </c>
      <c r="O92" t="s">
        <v>375</v>
      </c>
      <c r="P92">
        <v>1</v>
      </c>
    </row>
    <row r="93" spans="1:16">
      <c r="A93" t="s">
        <v>1452</v>
      </c>
      <c r="B93" t="s">
        <v>1453</v>
      </c>
      <c r="C93">
        <v>1</v>
      </c>
      <c r="D93" t="s">
        <v>142</v>
      </c>
      <c r="E93" t="s">
        <v>1454</v>
      </c>
      <c r="F93">
        <v>1</v>
      </c>
      <c r="G93">
        <v>92</v>
      </c>
      <c r="I93" t="s">
        <v>730</v>
      </c>
      <c r="J93" t="s">
        <v>731</v>
      </c>
      <c r="K93" t="s">
        <v>324</v>
      </c>
      <c r="L93" t="s">
        <v>732</v>
      </c>
      <c r="M93">
        <v>42358</v>
      </c>
      <c r="N93">
        <v>4</v>
      </c>
      <c r="O93" t="s">
        <v>1620</v>
      </c>
      <c r="P93">
        <v>4</v>
      </c>
    </row>
    <row r="94" spans="1:16">
      <c r="A94" t="s">
        <v>1452</v>
      </c>
      <c r="B94" t="s">
        <v>1453</v>
      </c>
      <c r="C94">
        <v>1</v>
      </c>
      <c r="D94" t="s">
        <v>142</v>
      </c>
      <c r="E94" t="s">
        <v>1454</v>
      </c>
      <c r="F94">
        <v>1</v>
      </c>
      <c r="G94">
        <v>93</v>
      </c>
      <c r="I94" t="s">
        <v>1621</v>
      </c>
      <c r="J94" t="s">
        <v>1622</v>
      </c>
      <c r="K94" t="s">
        <v>761</v>
      </c>
      <c r="L94" t="s">
        <v>1623</v>
      </c>
      <c r="M94">
        <v>10477</v>
      </c>
      <c r="N94">
        <v>1</v>
      </c>
      <c r="O94" t="s">
        <v>1624</v>
      </c>
      <c r="P94">
        <v>1</v>
      </c>
    </row>
    <row r="95" spans="1:16">
      <c r="A95" t="s">
        <v>1452</v>
      </c>
      <c r="B95" t="s">
        <v>1453</v>
      </c>
      <c r="C95">
        <v>1</v>
      </c>
      <c r="D95" t="s">
        <v>142</v>
      </c>
      <c r="E95" t="s">
        <v>1454</v>
      </c>
      <c r="F95">
        <v>1</v>
      </c>
      <c r="G95">
        <v>94</v>
      </c>
      <c r="I95" t="s">
        <v>759</v>
      </c>
      <c r="J95" t="s">
        <v>760</v>
      </c>
      <c r="K95" t="s">
        <v>761</v>
      </c>
      <c r="L95" t="s">
        <v>762</v>
      </c>
      <c r="M95">
        <v>10475</v>
      </c>
      <c r="N95">
        <v>1</v>
      </c>
      <c r="O95" t="s">
        <v>1625</v>
      </c>
      <c r="P95">
        <v>1</v>
      </c>
    </row>
    <row r="96" spans="1:16">
      <c r="A96" t="s">
        <v>1452</v>
      </c>
      <c r="B96" t="s">
        <v>1453</v>
      </c>
      <c r="C96">
        <v>1</v>
      </c>
      <c r="D96" t="s">
        <v>142</v>
      </c>
      <c r="E96" t="s">
        <v>1454</v>
      </c>
      <c r="F96">
        <v>1</v>
      </c>
      <c r="G96">
        <v>95</v>
      </c>
      <c r="I96" t="s">
        <v>371</v>
      </c>
      <c r="J96" t="s">
        <v>372</v>
      </c>
      <c r="K96" t="s">
        <v>339</v>
      </c>
      <c r="L96" t="s">
        <v>373</v>
      </c>
      <c r="M96">
        <v>42461</v>
      </c>
      <c r="N96">
        <v>1</v>
      </c>
      <c r="O96" t="s">
        <v>1626</v>
      </c>
      <c r="P96">
        <v>1</v>
      </c>
    </row>
    <row r="97" spans="1:16">
      <c r="A97" t="s">
        <v>1452</v>
      </c>
      <c r="B97" t="s">
        <v>1453</v>
      </c>
      <c r="C97">
        <v>1</v>
      </c>
      <c r="D97" t="s">
        <v>142</v>
      </c>
      <c r="E97" t="s">
        <v>1454</v>
      </c>
      <c r="F97">
        <v>1</v>
      </c>
      <c r="G97">
        <v>96</v>
      </c>
      <c r="I97" t="s">
        <v>1627</v>
      </c>
      <c r="J97" t="s">
        <v>1628</v>
      </c>
      <c r="K97" t="s">
        <v>324</v>
      </c>
      <c r="L97" t="s">
        <v>1629</v>
      </c>
      <c r="M97">
        <v>10458</v>
      </c>
      <c r="N97">
        <v>6</v>
      </c>
      <c r="O97" t="s">
        <v>1630</v>
      </c>
      <c r="P97">
        <v>6</v>
      </c>
    </row>
    <row r="98" spans="1:16">
      <c r="A98" t="s">
        <v>1452</v>
      </c>
      <c r="B98" t="s">
        <v>1453</v>
      </c>
      <c r="C98">
        <v>1</v>
      </c>
      <c r="D98" t="s">
        <v>142</v>
      </c>
      <c r="E98" t="s">
        <v>1454</v>
      </c>
      <c r="F98">
        <v>1</v>
      </c>
      <c r="G98">
        <v>97</v>
      </c>
      <c r="I98" t="s">
        <v>1631</v>
      </c>
      <c r="J98" t="s">
        <v>1632</v>
      </c>
      <c r="K98" t="s">
        <v>1633</v>
      </c>
      <c r="L98" t="s">
        <v>1634</v>
      </c>
      <c r="M98">
        <v>10474</v>
      </c>
      <c r="N98">
        <v>1</v>
      </c>
      <c r="O98" t="s">
        <v>1635</v>
      </c>
      <c r="P98">
        <v>1</v>
      </c>
    </row>
    <row r="99" spans="1:16">
      <c r="A99" t="s">
        <v>1452</v>
      </c>
      <c r="B99" t="s">
        <v>1453</v>
      </c>
      <c r="C99">
        <v>1</v>
      </c>
      <c r="D99" t="s">
        <v>142</v>
      </c>
      <c r="E99" t="s">
        <v>1454</v>
      </c>
      <c r="F99">
        <v>1</v>
      </c>
      <c r="G99">
        <v>98</v>
      </c>
      <c r="I99" t="s">
        <v>1636</v>
      </c>
      <c r="J99" t="s">
        <v>1637</v>
      </c>
      <c r="K99" t="s">
        <v>761</v>
      </c>
      <c r="L99" t="s">
        <v>1638</v>
      </c>
      <c r="M99">
        <v>42318</v>
      </c>
      <c r="N99">
        <v>1</v>
      </c>
      <c r="O99" t="s">
        <v>1639</v>
      </c>
      <c r="P99">
        <v>1</v>
      </c>
    </row>
    <row r="100" spans="1:16">
      <c r="A100" t="s">
        <v>1452</v>
      </c>
      <c r="B100" t="s">
        <v>1453</v>
      </c>
      <c r="C100">
        <v>1</v>
      </c>
      <c r="D100" t="s">
        <v>142</v>
      </c>
      <c r="E100" t="s">
        <v>1454</v>
      </c>
      <c r="F100">
        <v>1</v>
      </c>
      <c r="G100">
        <v>99</v>
      </c>
      <c r="I100" t="s">
        <v>711</v>
      </c>
      <c r="J100" t="s">
        <v>712</v>
      </c>
      <c r="K100" t="s">
        <v>316</v>
      </c>
      <c r="L100" t="s">
        <v>713</v>
      </c>
      <c r="M100">
        <v>42462</v>
      </c>
      <c r="N100">
        <v>2</v>
      </c>
      <c r="O100" t="s">
        <v>1640</v>
      </c>
      <c r="P100">
        <v>2</v>
      </c>
    </row>
    <row r="101" spans="1:16">
      <c r="A101" t="s">
        <v>1452</v>
      </c>
      <c r="B101" t="s">
        <v>1453</v>
      </c>
      <c r="C101">
        <v>1</v>
      </c>
      <c r="D101" t="s">
        <v>142</v>
      </c>
      <c r="E101" t="s">
        <v>1454</v>
      </c>
      <c r="F101">
        <v>1</v>
      </c>
      <c r="G101">
        <v>100</v>
      </c>
      <c r="I101" t="s">
        <v>720</v>
      </c>
      <c r="J101" t="s">
        <v>721</v>
      </c>
      <c r="K101" t="s">
        <v>122</v>
      </c>
      <c r="L101" t="s">
        <v>722</v>
      </c>
      <c r="M101">
        <v>10390</v>
      </c>
      <c r="N101">
        <v>1</v>
      </c>
      <c r="O101" t="s">
        <v>1641</v>
      </c>
      <c r="P101">
        <v>1</v>
      </c>
    </row>
    <row r="102" spans="1:16">
      <c r="A102" t="s">
        <v>1452</v>
      </c>
      <c r="B102" t="s">
        <v>1453</v>
      </c>
      <c r="C102">
        <v>1</v>
      </c>
      <c r="D102" t="s">
        <v>142</v>
      </c>
      <c r="E102" t="s">
        <v>1454</v>
      </c>
      <c r="F102">
        <v>1</v>
      </c>
      <c r="G102">
        <v>101</v>
      </c>
      <c r="I102" t="s">
        <v>715</v>
      </c>
      <c r="J102" t="s">
        <v>716</v>
      </c>
      <c r="K102" t="s">
        <v>717</v>
      </c>
      <c r="L102" t="s">
        <v>718</v>
      </c>
      <c r="M102">
        <v>10457</v>
      </c>
      <c r="N102">
        <v>3</v>
      </c>
      <c r="O102" t="s">
        <v>1642</v>
      </c>
      <c r="P102">
        <v>3</v>
      </c>
    </row>
    <row r="103" spans="1:16">
      <c r="A103" t="s">
        <v>1452</v>
      </c>
      <c r="B103" t="s">
        <v>1453</v>
      </c>
      <c r="C103">
        <v>1</v>
      </c>
      <c r="D103" t="s">
        <v>142</v>
      </c>
      <c r="E103" t="s">
        <v>1454</v>
      </c>
      <c r="F103">
        <v>1</v>
      </c>
      <c r="G103">
        <v>102</v>
      </c>
      <c r="I103" t="s">
        <v>764</v>
      </c>
      <c r="J103" t="s">
        <v>765</v>
      </c>
      <c r="K103" t="s">
        <v>761</v>
      </c>
      <c r="L103" t="s">
        <v>766</v>
      </c>
      <c r="M103">
        <v>33831</v>
      </c>
      <c r="N103">
        <v>2</v>
      </c>
      <c r="O103" t="s">
        <v>1643</v>
      </c>
      <c r="P103">
        <v>2</v>
      </c>
    </row>
    <row r="104" spans="1:16">
      <c r="A104" t="s">
        <v>1452</v>
      </c>
      <c r="B104" t="s">
        <v>1453</v>
      </c>
      <c r="C104">
        <v>1</v>
      </c>
      <c r="D104" t="s">
        <v>142</v>
      </c>
      <c r="E104" t="s">
        <v>1454</v>
      </c>
      <c r="F104">
        <v>1</v>
      </c>
      <c r="G104">
        <v>103</v>
      </c>
      <c r="I104" t="s">
        <v>750</v>
      </c>
      <c r="J104" t="s">
        <v>751</v>
      </c>
      <c r="K104" t="s">
        <v>324</v>
      </c>
      <c r="L104" t="s">
        <v>752</v>
      </c>
      <c r="M104">
        <v>33926</v>
      </c>
      <c r="N104">
        <v>1</v>
      </c>
      <c r="O104" t="s">
        <v>1644</v>
      </c>
      <c r="P104">
        <v>1</v>
      </c>
    </row>
    <row r="105" spans="1:16">
      <c r="A105" t="s">
        <v>1452</v>
      </c>
      <c r="B105" t="s">
        <v>1453</v>
      </c>
      <c r="C105">
        <v>1</v>
      </c>
      <c r="D105" t="s">
        <v>142</v>
      </c>
      <c r="E105" t="s">
        <v>1454</v>
      </c>
      <c r="F105">
        <v>1</v>
      </c>
      <c r="G105">
        <v>104</v>
      </c>
      <c r="I105" t="s">
        <v>360</v>
      </c>
      <c r="J105" t="s">
        <v>361</v>
      </c>
      <c r="K105" t="s">
        <v>171</v>
      </c>
      <c r="L105" t="s">
        <v>363</v>
      </c>
      <c r="M105">
        <v>42347</v>
      </c>
      <c r="N105">
        <v>2</v>
      </c>
      <c r="O105" t="s">
        <v>1645</v>
      </c>
      <c r="P105">
        <v>2</v>
      </c>
    </row>
    <row r="106" spans="1:16">
      <c r="A106" t="s">
        <v>1452</v>
      </c>
      <c r="B106" t="s">
        <v>1453</v>
      </c>
      <c r="C106">
        <v>1</v>
      </c>
      <c r="D106" t="s">
        <v>142</v>
      </c>
      <c r="E106" t="s">
        <v>1454</v>
      </c>
      <c r="F106">
        <v>1</v>
      </c>
      <c r="G106">
        <v>105</v>
      </c>
      <c r="I106" t="s">
        <v>1646</v>
      </c>
      <c r="J106" t="s">
        <v>1647</v>
      </c>
      <c r="K106" t="s">
        <v>499</v>
      </c>
      <c r="L106" t="s">
        <v>1648</v>
      </c>
      <c r="M106">
        <v>42348</v>
      </c>
      <c r="N106">
        <v>1</v>
      </c>
      <c r="O106" t="s">
        <v>1649</v>
      </c>
      <c r="P106">
        <v>1</v>
      </c>
    </row>
    <row r="107" spans="1:16">
      <c r="A107" t="s">
        <v>1452</v>
      </c>
      <c r="B107" t="s">
        <v>1453</v>
      </c>
      <c r="C107">
        <v>1</v>
      </c>
      <c r="D107" t="s">
        <v>142</v>
      </c>
      <c r="E107" t="s">
        <v>1454</v>
      </c>
      <c r="F107">
        <v>1</v>
      </c>
      <c r="G107">
        <v>106</v>
      </c>
      <c r="I107" t="s">
        <v>61</v>
      </c>
      <c r="J107" t="s">
        <v>62</v>
      </c>
      <c r="K107" t="s">
        <v>63</v>
      </c>
      <c r="L107" t="s">
        <v>64</v>
      </c>
      <c r="M107">
        <v>10425</v>
      </c>
      <c r="N107">
        <v>1</v>
      </c>
      <c r="O107" t="s">
        <v>1650</v>
      </c>
      <c r="P107">
        <v>1</v>
      </c>
    </row>
    <row r="108" spans="1:16">
      <c r="A108" t="s">
        <v>1452</v>
      </c>
      <c r="B108" t="s">
        <v>1453</v>
      </c>
      <c r="C108">
        <v>1</v>
      </c>
      <c r="D108" t="s">
        <v>142</v>
      </c>
      <c r="E108" t="s">
        <v>1454</v>
      </c>
      <c r="F108">
        <v>1</v>
      </c>
      <c r="G108">
        <v>107</v>
      </c>
      <c r="I108" t="s">
        <v>1651</v>
      </c>
      <c r="J108" t="s">
        <v>1652</v>
      </c>
      <c r="K108" t="s">
        <v>1653</v>
      </c>
      <c r="L108" t="s">
        <v>1654</v>
      </c>
      <c r="M108">
        <v>10186</v>
      </c>
      <c r="N108">
        <v>1</v>
      </c>
      <c r="O108" t="s">
        <v>1655</v>
      </c>
      <c r="P108">
        <v>1</v>
      </c>
    </row>
    <row r="109" spans="1:16">
      <c r="A109" t="s">
        <v>1452</v>
      </c>
      <c r="B109" t="s">
        <v>1453</v>
      </c>
      <c r="C109">
        <v>1</v>
      </c>
      <c r="D109" t="s">
        <v>142</v>
      </c>
      <c r="E109" t="s">
        <v>1454</v>
      </c>
      <c r="F109">
        <v>1</v>
      </c>
      <c r="G109">
        <v>108</v>
      </c>
      <c r="I109" t="s">
        <v>180</v>
      </c>
      <c r="J109" t="s">
        <v>181</v>
      </c>
      <c r="K109" t="s">
        <v>182</v>
      </c>
      <c r="L109" t="s">
        <v>183</v>
      </c>
      <c r="M109">
        <v>10359</v>
      </c>
      <c r="N109">
        <v>1</v>
      </c>
      <c r="O109" t="s">
        <v>1656</v>
      </c>
      <c r="P109">
        <v>1</v>
      </c>
    </row>
    <row r="110" spans="1:16">
      <c r="A110" t="s">
        <v>1452</v>
      </c>
      <c r="B110" t="s">
        <v>1453</v>
      </c>
      <c r="C110">
        <v>1</v>
      </c>
      <c r="D110" t="s">
        <v>142</v>
      </c>
      <c r="E110" t="s">
        <v>1454</v>
      </c>
      <c r="F110">
        <v>1</v>
      </c>
      <c r="G110">
        <v>109</v>
      </c>
      <c r="I110" t="s">
        <v>1657</v>
      </c>
      <c r="J110" t="s">
        <v>1658</v>
      </c>
      <c r="K110" t="s">
        <v>774</v>
      </c>
      <c r="L110" t="s">
        <v>1659</v>
      </c>
      <c r="M110">
        <v>42426</v>
      </c>
      <c r="N110">
        <v>4</v>
      </c>
      <c r="O110" t="s">
        <v>1660</v>
      </c>
      <c r="P110">
        <v>4</v>
      </c>
    </row>
    <row r="111" spans="1:16">
      <c r="A111" t="s">
        <v>1452</v>
      </c>
      <c r="B111" t="s">
        <v>1453</v>
      </c>
      <c r="C111">
        <v>1</v>
      </c>
      <c r="D111" t="s">
        <v>142</v>
      </c>
      <c r="E111" t="s">
        <v>1454</v>
      </c>
      <c r="F111">
        <v>1</v>
      </c>
      <c r="G111">
        <v>110</v>
      </c>
      <c r="I111" t="s">
        <v>1661</v>
      </c>
      <c r="J111" t="s">
        <v>1662</v>
      </c>
      <c r="K111" t="s">
        <v>392</v>
      </c>
      <c r="L111" t="s">
        <v>1663</v>
      </c>
      <c r="M111">
        <v>33935</v>
      </c>
      <c r="N111">
        <v>2</v>
      </c>
      <c r="O111" t="s">
        <v>1664</v>
      </c>
      <c r="P111">
        <v>2</v>
      </c>
    </row>
    <row r="112" spans="1:16">
      <c r="A112" t="s">
        <v>1452</v>
      </c>
      <c r="B112" t="s">
        <v>1453</v>
      </c>
      <c r="C112">
        <v>1</v>
      </c>
      <c r="D112" t="s">
        <v>142</v>
      </c>
      <c r="E112" t="s">
        <v>1454</v>
      </c>
      <c r="F112">
        <v>1</v>
      </c>
      <c r="G112">
        <v>111</v>
      </c>
      <c r="I112" t="s">
        <v>772</v>
      </c>
      <c r="J112" t="s">
        <v>773</v>
      </c>
      <c r="K112" t="s">
        <v>774</v>
      </c>
      <c r="L112" t="s">
        <v>775</v>
      </c>
      <c r="M112">
        <v>42427</v>
      </c>
      <c r="N112">
        <v>4</v>
      </c>
      <c r="O112" t="s">
        <v>1665</v>
      </c>
      <c r="P112">
        <v>4</v>
      </c>
    </row>
    <row r="113" spans="1:16">
      <c r="A113" t="s">
        <v>1452</v>
      </c>
      <c r="B113" t="s">
        <v>1453</v>
      </c>
      <c r="C113">
        <v>1</v>
      </c>
      <c r="D113" t="s">
        <v>142</v>
      </c>
      <c r="E113" t="s">
        <v>1454</v>
      </c>
      <c r="F113">
        <v>1</v>
      </c>
      <c r="G113">
        <v>112</v>
      </c>
      <c r="I113" t="s">
        <v>777</v>
      </c>
      <c r="J113" t="s">
        <v>778</v>
      </c>
      <c r="K113" t="s">
        <v>18</v>
      </c>
      <c r="L113" t="s">
        <v>779</v>
      </c>
      <c r="M113">
        <v>10323</v>
      </c>
      <c r="N113">
        <v>1</v>
      </c>
      <c r="O113" t="s">
        <v>1666</v>
      </c>
      <c r="P113">
        <v>1</v>
      </c>
    </row>
    <row r="114" spans="1:16">
      <c r="A114" t="s">
        <v>1452</v>
      </c>
      <c r="B114" t="s">
        <v>1453</v>
      </c>
      <c r="C114">
        <v>1</v>
      </c>
      <c r="D114" t="s">
        <v>142</v>
      </c>
      <c r="E114" t="s">
        <v>1454</v>
      </c>
      <c r="F114">
        <v>1</v>
      </c>
      <c r="G114">
        <v>113</v>
      </c>
      <c r="I114" t="s">
        <v>781</v>
      </c>
      <c r="J114" t="s">
        <v>782</v>
      </c>
      <c r="K114" t="s">
        <v>18</v>
      </c>
      <c r="L114" t="s">
        <v>783</v>
      </c>
      <c r="M114">
        <v>10386</v>
      </c>
      <c r="N114">
        <v>1</v>
      </c>
      <c r="O114" t="s">
        <v>780</v>
      </c>
      <c r="P114">
        <v>1</v>
      </c>
    </row>
    <row r="115" spans="1:16">
      <c r="A115" t="s">
        <v>1452</v>
      </c>
      <c r="B115" t="s">
        <v>1453</v>
      </c>
      <c r="C115">
        <v>1</v>
      </c>
      <c r="D115" t="s">
        <v>142</v>
      </c>
      <c r="E115" t="s">
        <v>1454</v>
      </c>
      <c r="F115">
        <v>1</v>
      </c>
      <c r="G115">
        <v>114</v>
      </c>
      <c r="I115" t="s">
        <v>1667</v>
      </c>
      <c r="J115" t="s">
        <v>1668</v>
      </c>
      <c r="K115" t="s">
        <v>1669</v>
      </c>
      <c r="L115" t="s">
        <v>1670</v>
      </c>
      <c r="M115">
        <v>10466</v>
      </c>
      <c r="N115">
        <v>1</v>
      </c>
      <c r="O115" t="s">
        <v>1671</v>
      </c>
      <c r="P115">
        <v>1</v>
      </c>
    </row>
    <row r="116" spans="1:16">
      <c r="A116" t="s">
        <v>1452</v>
      </c>
      <c r="B116" t="s">
        <v>1453</v>
      </c>
      <c r="C116">
        <v>1</v>
      </c>
      <c r="D116" t="s">
        <v>142</v>
      </c>
      <c r="E116" t="s">
        <v>1454</v>
      </c>
      <c r="F116">
        <v>1</v>
      </c>
      <c r="G116">
        <v>115</v>
      </c>
      <c r="I116" t="s">
        <v>403</v>
      </c>
      <c r="J116" t="s">
        <v>789</v>
      </c>
      <c r="K116" t="s">
        <v>32</v>
      </c>
      <c r="L116" t="s">
        <v>1672</v>
      </c>
      <c r="M116">
        <v>10520</v>
      </c>
      <c r="N116">
        <v>18</v>
      </c>
      <c r="O116" t="s">
        <v>1673</v>
      </c>
      <c r="P116">
        <v>18</v>
      </c>
    </row>
    <row r="117" spans="1:16">
      <c r="A117" t="s">
        <v>1452</v>
      </c>
      <c r="B117" t="s">
        <v>1453</v>
      </c>
      <c r="C117">
        <v>1</v>
      </c>
      <c r="D117" t="s">
        <v>142</v>
      </c>
      <c r="E117" t="s">
        <v>1454</v>
      </c>
      <c r="F117">
        <v>1</v>
      </c>
      <c r="G117">
        <v>116</v>
      </c>
      <c r="I117" t="s">
        <v>1674</v>
      </c>
      <c r="J117" t="s">
        <v>1675</v>
      </c>
      <c r="K117" t="s">
        <v>392</v>
      </c>
      <c r="L117" t="s">
        <v>1676</v>
      </c>
      <c r="M117">
        <v>8452</v>
      </c>
      <c r="N117">
        <v>9</v>
      </c>
      <c r="O117" t="s">
        <v>1677</v>
      </c>
      <c r="P117">
        <v>9</v>
      </c>
    </row>
    <row r="118" spans="1:16">
      <c r="A118" t="s">
        <v>1452</v>
      </c>
      <c r="B118" t="s">
        <v>1453</v>
      </c>
      <c r="C118">
        <v>1</v>
      </c>
      <c r="D118" t="s">
        <v>142</v>
      </c>
      <c r="E118" t="s">
        <v>1454</v>
      </c>
      <c r="F118">
        <v>1</v>
      </c>
      <c r="G118">
        <v>117</v>
      </c>
      <c r="I118" t="s">
        <v>1678</v>
      </c>
      <c r="J118" t="s">
        <v>1679</v>
      </c>
      <c r="K118" t="s">
        <v>1680</v>
      </c>
      <c r="L118" t="s">
        <v>1681</v>
      </c>
      <c r="M118">
        <v>42334</v>
      </c>
      <c r="N118">
        <v>1</v>
      </c>
      <c r="O118" t="s">
        <v>1682</v>
      </c>
      <c r="P118">
        <v>1</v>
      </c>
    </row>
    <row r="119" spans="1:16">
      <c r="A119" t="s">
        <v>1452</v>
      </c>
      <c r="B119" t="s">
        <v>1453</v>
      </c>
      <c r="C119">
        <v>1</v>
      </c>
      <c r="D119" t="s">
        <v>142</v>
      </c>
      <c r="E119" t="s">
        <v>1454</v>
      </c>
      <c r="F119">
        <v>1</v>
      </c>
      <c r="G119">
        <v>118</v>
      </c>
      <c r="I119" t="s">
        <v>1683</v>
      </c>
      <c r="J119" t="s">
        <v>1684</v>
      </c>
      <c r="K119" t="s">
        <v>1680</v>
      </c>
      <c r="L119" t="s">
        <v>1685</v>
      </c>
      <c r="M119">
        <v>33823</v>
      </c>
      <c r="N119">
        <v>1</v>
      </c>
      <c r="O119" t="s">
        <v>1686</v>
      </c>
      <c r="P119">
        <v>1</v>
      </c>
    </row>
    <row r="120" spans="1:16">
      <c r="A120" t="s">
        <v>1452</v>
      </c>
      <c r="B120" t="s">
        <v>1453</v>
      </c>
      <c r="C120">
        <v>1</v>
      </c>
      <c r="D120" t="s">
        <v>142</v>
      </c>
      <c r="E120" t="s">
        <v>1454</v>
      </c>
      <c r="F120">
        <v>1</v>
      </c>
      <c r="G120">
        <v>119</v>
      </c>
      <c r="I120" t="s">
        <v>1687</v>
      </c>
      <c r="J120" t="s">
        <v>1688</v>
      </c>
      <c r="K120" t="s">
        <v>1680</v>
      </c>
      <c r="L120" t="s">
        <v>1689</v>
      </c>
      <c r="M120">
        <v>10465</v>
      </c>
      <c r="N120">
        <v>1</v>
      </c>
      <c r="O120" t="s">
        <v>1690</v>
      </c>
      <c r="P120">
        <v>1</v>
      </c>
    </row>
    <row r="121" spans="1:16">
      <c r="A121" t="s">
        <v>1452</v>
      </c>
      <c r="B121" t="s">
        <v>1453</v>
      </c>
      <c r="C121">
        <v>1</v>
      </c>
      <c r="D121" t="s">
        <v>142</v>
      </c>
      <c r="E121" t="s">
        <v>1454</v>
      </c>
      <c r="F121">
        <v>1</v>
      </c>
      <c r="G121">
        <v>120</v>
      </c>
      <c r="I121" t="s">
        <v>1691</v>
      </c>
      <c r="J121" t="s">
        <v>1692</v>
      </c>
      <c r="K121" t="s">
        <v>151</v>
      </c>
      <c r="L121" t="s">
        <v>1693</v>
      </c>
      <c r="M121">
        <v>42494</v>
      </c>
      <c r="N121">
        <v>19</v>
      </c>
      <c r="O121" t="s">
        <v>1694</v>
      </c>
      <c r="P121">
        <v>19</v>
      </c>
    </row>
    <row r="122" spans="1:16">
      <c r="A122" t="s">
        <v>1452</v>
      </c>
      <c r="B122" t="s">
        <v>1453</v>
      </c>
      <c r="C122">
        <v>1</v>
      </c>
      <c r="D122" t="s">
        <v>142</v>
      </c>
      <c r="E122" t="s">
        <v>1454</v>
      </c>
      <c r="F122">
        <v>1</v>
      </c>
      <c r="G122">
        <v>121</v>
      </c>
      <c r="I122" t="s">
        <v>75</v>
      </c>
      <c r="J122" t="s">
        <v>76</v>
      </c>
      <c r="K122" t="s">
        <v>32</v>
      </c>
      <c r="L122" t="s">
        <v>189</v>
      </c>
      <c r="M122">
        <v>10522</v>
      </c>
      <c r="N122">
        <v>18</v>
      </c>
      <c r="O122" t="s">
        <v>1695</v>
      </c>
      <c r="P122">
        <v>18</v>
      </c>
    </row>
    <row r="123" spans="1:16">
      <c r="A123" t="s">
        <v>1452</v>
      </c>
      <c r="B123" t="s">
        <v>1453</v>
      </c>
      <c r="C123">
        <v>1</v>
      </c>
      <c r="D123" t="s">
        <v>142</v>
      </c>
      <c r="E123" t="s">
        <v>1454</v>
      </c>
      <c r="F123">
        <v>1</v>
      </c>
      <c r="G123">
        <v>122</v>
      </c>
      <c r="I123" t="s">
        <v>405</v>
      </c>
      <c r="J123" t="s">
        <v>406</v>
      </c>
      <c r="K123" t="s">
        <v>32</v>
      </c>
      <c r="L123" t="s">
        <v>407</v>
      </c>
      <c r="M123">
        <v>33933</v>
      </c>
      <c r="N123">
        <v>29</v>
      </c>
      <c r="O123" t="s">
        <v>1696</v>
      </c>
      <c r="P123">
        <v>29</v>
      </c>
    </row>
    <row r="124" spans="1:16">
      <c r="A124" t="s">
        <v>1452</v>
      </c>
      <c r="B124" t="s">
        <v>1453</v>
      </c>
      <c r="C124">
        <v>1</v>
      </c>
      <c r="D124" t="s">
        <v>142</v>
      </c>
      <c r="E124" t="s">
        <v>1454</v>
      </c>
      <c r="F124">
        <v>1</v>
      </c>
      <c r="G124">
        <v>123</v>
      </c>
      <c r="I124" t="s">
        <v>408</v>
      </c>
      <c r="J124" t="s">
        <v>409</v>
      </c>
      <c r="K124" t="s">
        <v>151</v>
      </c>
      <c r="L124" t="s">
        <v>410</v>
      </c>
      <c r="M124">
        <v>42360</v>
      </c>
      <c r="N124">
        <v>1</v>
      </c>
      <c r="O124" t="s">
        <v>1697</v>
      </c>
      <c r="P124">
        <v>1</v>
      </c>
    </row>
    <row r="125" spans="1:16">
      <c r="A125" t="s">
        <v>1452</v>
      </c>
      <c r="B125" t="s">
        <v>1453</v>
      </c>
      <c r="C125">
        <v>1</v>
      </c>
      <c r="D125" t="s">
        <v>142</v>
      </c>
      <c r="E125" t="s">
        <v>1454</v>
      </c>
      <c r="F125">
        <v>1</v>
      </c>
      <c r="G125">
        <v>124</v>
      </c>
      <c r="I125" t="s">
        <v>1698</v>
      </c>
      <c r="J125" t="s">
        <v>1699</v>
      </c>
      <c r="K125" t="s">
        <v>1680</v>
      </c>
      <c r="L125" t="s">
        <v>1700</v>
      </c>
      <c r="M125">
        <v>33767</v>
      </c>
      <c r="N125">
        <v>1</v>
      </c>
      <c r="O125" t="s">
        <v>1701</v>
      </c>
      <c r="P125">
        <v>1</v>
      </c>
    </row>
    <row r="126" spans="1:16">
      <c r="A126" t="s">
        <v>1452</v>
      </c>
      <c r="B126" t="s">
        <v>1453</v>
      </c>
      <c r="C126">
        <v>1</v>
      </c>
      <c r="D126" t="s">
        <v>142</v>
      </c>
      <c r="E126" t="s">
        <v>1454</v>
      </c>
      <c r="F126">
        <v>1</v>
      </c>
      <c r="G126">
        <v>125</v>
      </c>
      <c r="I126" t="s">
        <v>1702</v>
      </c>
      <c r="J126" t="s">
        <v>1703</v>
      </c>
      <c r="K126" t="s">
        <v>401</v>
      </c>
      <c r="L126" t="s">
        <v>1704</v>
      </c>
      <c r="M126">
        <v>42451</v>
      </c>
      <c r="N126">
        <v>1</v>
      </c>
      <c r="O126" t="s">
        <v>1705</v>
      </c>
      <c r="P126">
        <v>1</v>
      </c>
    </row>
    <row r="127" spans="1:16">
      <c r="A127" t="s">
        <v>1452</v>
      </c>
      <c r="B127" t="s">
        <v>1453</v>
      </c>
      <c r="C127">
        <v>1</v>
      </c>
      <c r="D127" t="s">
        <v>142</v>
      </c>
      <c r="E127" t="s">
        <v>1454</v>
      </c>
      <c r="F127">
        <v>1</v>
      </c>
      <c r="G127">
        <v>126</v>
      </c>
      <c r="I127" t="s">
        <v>1706</v>
      </c>
      <c r="J127" t="s">
        <v>1707</v>
      </c>
      <c r="K127" t="s">
        <v>401</v>
      </c>
      <c r="L127" t="s">
        <v>1708</v>
      </c>
      <c r="M127">
        <v>10470</v>
      </c>
      <c r="N127">
        <v>1</v>
      </c>
      <c r="O127" t="s">
        <v>1709</v>
      </c>
      <c r="P127">
        <v>1</v>
      </c>
    </row>
    <row r="128" spans="1:16">
      <c r="A128" t="s">
        <v>1452</v>
      </c>
      <c r="B128" t="s">
        <v>1453</v>
      </c>
      <c r="C128">
        <v>1</v>
      </c>
      <c r="D128" t="s">
        <v>142</v>
      </c>
      <c r="E128" t="s">
        <v>1454</v>
      </c>
      <c r="F128">
        <v>1</v>
      </c>
      <c r="G128">
        <v>127</v>
      </c>
      <c r="I128" t="s">
        <v>1710</v>
      </c>
      <c r="J128" t="s">
        <v>1711</v>
      </c>
      <c r="K128" t="s">
        <v>151</v>
      </c>
      <c r="L128" t="s">
        <v>1712</v>
      </c>
      <c r="M128">
        <v>4742</v>
      </c>
      <c r="N128">
        <v>2</v>
      </c>
      <c r="O128" t="s">
        <v>1713</v>
      </c>
      <c r="P128">
        <v>2</v>
      </c>
    </row>
    <row r="129" spans="1:16">
      <c r="A129" t="s">
        <v>1452</v>
      </c>
      <c r="B129" t="s">
        <v>1453</v>
      </c>
      <c r="C129">
        <v>1</v>
      </c>
      <c r="D129" t="s">
        <v>142</v>
      </c>
      <c r="E129" t="s">
        <v>1454</v>
      </c>
      <c r="F129">
        <v>1</v>
      </c>
      <c r="G129">
        <v>128</v>
      </c>
      <c r="I129" t="s">
        <v>1714</v>
      </c>
      <c r="J129" t="s">
        <v>1715</v>
      </c>
      <c r="K129" t="s">
        <v>32</v>
      </c>
      <c r="L129" t="s">
        <v>1716</v>
      </c>
      <c r="M129">
        <v>42483</v>
      </c>
      <c r="N129">
        <v>1</v>
      </c>
      <c r="O129" t="s">
        <v>1717</v>
      </c>
      <c r="P129">
        <v>1</v>
      </c>
    </row>
    <row r="130" spans="1:16">
      <c r="A130" t="s">
        <v>1452</v>
      </c>
      <c r="B130" t="s">
        <v>1453</v>
      </c>
      <c r="C130">
        <v>1</v>
      </c>
      <c r="D130" t="s">
        <v>142</v>
      </c>
      <c r="E130" t="s">
        <v>1454</v>
      </c>
      <c r="F130">
        <v>1</v>
      </c>
      <c r="G130">
        <v>129</v>
      </c>
      <c r="I130" t="s">
        <v>193</v>
      </c>
      <c r="M130">
        <v>1135</v>
      </c>
      <c r="N130">
        <v>86</v>
      </c>
      <c r="O130" t="s">
        <v>1718</v>
      </c>
      <c r="P130">
        <v>86</v>
      </c>
    </row>
    <row r="131" spans="1:16">
      <c r="A131" t="s">
        <v>1452</v>
      </c>
      <c r="B131" t="s">
        <v>1453</v>
      </c>
      <c r="C131">
        <v>1</v>
      </c>
      <c r="D131" t="s">
        <v>142</v>
      </c>
      <c r="E131" t="s">
        <v>1454</v>
      </c>
      <c r="F131">
        <v>1</v>
      </c>
      <c r="G131">
        <v>130</v>
      </c>
      <c r="I131" t="s">
        <v>848</v>
      </c>
      <c r="J131" t="s">
        <v>849</v>
      </c>
      <c r="K131" t="s">
        <v>48</v>
      </c>
      <c r="L131" t="s">
        <v>850</v>
      </c>
      <c r="M131">
        <v>12496</v>
      </c>
      <c r="N131">
        <v>55</v>
      </c>
      <c r="O131" t="s">
        <v>1719</v>
      </c>
      <c r="P131">
        <v>55</v>
      </c>
    </row>
    <row r="132" spans="1:16">
      <c r="A132" t="s">
        <v>1452</v>
      </c>
      <c r="B132" t="s">
        <v>1453</v>
      </c>
      <c r="C132">
        <v>1</v>
      </c>
      <c r="D132" t="s">
        <v>142</v>
      </c>
      <c r="E132" t="s">
        <v>1454</v>
      </c>
      <c r="F132">
        <v>1</v>
      </c>
      <c r="G132">
        <v>131</v>
      </c>
      <c r="I132" t="s">
        <v>942</v>
      </c>
      <c r="J132" t="s">
        <v>943</v>
      </c>
      <c r="K132" t="s">
        <v>48</v>
      </c>
      <c r="L132" t="s">
        <v>944</v>
      </c>
      <c r="M132">
        <v>12187</v>
      </c>
      <c r="N132">
        <v>7</v>
      </c>
      <c r="O132" t="s">
        <v>1720</v>
      </c>
      <c r="P132">
        <v>7</v>
      </c>
    </row>
    <row r="133" spans="1:16">
      <c r="A133" t="s">
        <v>1452</v>
      </c>
      <c r="B133" t="s">
        <v>1453</v>
      </c>
      <c r="C133">
        <v>1</v>
      </c>
      <c r="D133" t="s">
        <v>142</v>
      </c>
      <c r="E133" t="s">
        <v>1454</v>
      </c>
      <c r="F133">
        <v>1</v>
      </c>
      <c r="G133">
        <v>132</v>
      </c>
      <c r="I133" t="s">
        <v>440</v>
      </c>
      <c r="J133" t="s">
        <v>895</v>
      </c>
      <c r="K133" t="s">
        <v>48</v>
      </c>
      <c r="L133" t="s">
        <v>896</v>
      </c>
      <c r="M133">
        <v>12723</v>
      </c>
      <c r="N133">
        <v>44</v>
      </c>
      <c r="O133" t="s">
        <v>1721</v>
      </c>
      <c r="P133">
        <v>44</v>
      </c>
    </row>
    <row r="134" spans="1:16">
      <c r="A134" t="s">
        <v>1452</v>
      </c>
      <c r="B134" t="s">
        <v>1453</v>
      </c>
      <c r="C134">
        <v>1</v>
      </c>
      <c r="D134" t="s">
        <v>142</v>
      </c>
      <c r="E134" t="s">
        <v>1454</v>
      </c>
      <c r="F134">
        <v>1</v>
      </c>
      <c r="G134">
        <v>133</v>
      </c>
      <c r="I134" t="s">
        <v>94</v>
      </c>
      <c r="J134" t="s">
        <v>95</v>
      </c>
      <c r="K134" t="s">
        <v>48</v>
      </c>
      <c r="L134" t="s">
        <v>96</v>
      </c>
      <c r="M134">
        <v>16369</v>
      </c>
      <c r="N134">
        <v>18</v>
      </c>
      <c r="O134" t="s">
        <v>1722</v>
      </c>
      <c r="P134">
        <v>18</v>
      </c>
    </row>
    <row r="135" spans="1:16">
      <c r="A135" t="s">
        <v>1452</v>
      </c>
      <c r="B135" t="s">
        <v>1453</v>
      </c>
      <c r="C135">
        <v>1</v>
      </c>
      <c r="D135" t="s">
        <v>142</v>
      </c>
      <c r="E135" t="s">
        <v>1454</v>
      </c>
      <c r="F135">
        <v>1</v>
      </c>
      <c r="G135">
        <v>134</v>
      </c>
      <c r="I135" t="s">
        <v>423</v>
      </c>
      <c r="J135" t="s">
        <v>898</v>
      </c>
      <c r="K135" t="s">
        <v>48</v>
      </c>
      <c r="L135" t="s">
        <v>899</v>
      </c>
      <c r="M135">
        <v>13006</v>
      </c>
      <c r="N135">
        <v>32</v>
      </c>
      <c r="O135" t="s">
        <v>1723</v>
      </c>
      <c r="P135">
        <v>32</v>
      </c>
    </row>
    <row r="136" spans="1:16">
      <c r="A136" t="s">
        <v>1452</v>
      </c>
      <c r="B136" t="s">
        <v>1453</v>
      </c>
      <c r="C136">
        <v>1</v>
      </c>
      <c r="D136" t="s">
        <v>142</v>
      </c>
      <c r="E136" t="s">
        <v>1454</v>
      </c>
      <c r="F136">
        <v>1</v>
      </c>
      <c r="G136">
        <v>135</v>
      </c>
      <c r="I136" t="s">
        <v>431</v>
      </c>
      <c r="J136" t="s">
        <v>436</v>
      </c>
      <c r="K136" t="s">
        <v>48</v>
      </c>
      <c r="L136" t="s">
        <v>437</v>
      </c>
      <c r="M136">
        <v>12346</v>
      </c>
      <c r="N136">
        <v>29</v>
      </c>
      <c r="O136" t="s">
        <v>1724</v>
      </c>
      <c r="P136">
        <v>29</v>
      </c>
    </row>
    <row r="137" spans="1:16">
      <c r="A137" t="s">
        <v>1452</v>
      </c>
      <c r="B137" t="s">
        <v>1453</v>
      </c>
      <c r="C137">
        <v>1</v>
      </c>
      <c r="D137" t="s">
        <v>142</v>
      </c>
      <c r="E137" t="s">
        <v>1454</v>
      </c>
      <c r="F137">
        <v>1</v>
      </c>
      <c r="G137">
        <v>136</v>
      </c>
      <c r="I137" t="s">
        <v>891</v>
      </c>
      <c r="J137" t="s">
        <v>1725</v>
      </c>
      <c r="K137" t="s">
        <v>48</v>
      </c>
      <c r="L137" t="s">
        <v>1726</v>
      </c>
      <c r="M137">
        <v>12416</v>
      </c>
      <c r="N137">
        <v>18</v>
      </c>
      <c r="O137" t="s">
        <v>1727</v>
      </c>
      <c r="P137">
        <v>18</v>
      </c>
    </row>
    <row r="138" spans="1:16">
      <c r="A138" t="s">
        <v>1452</v>
      </c>
      <c r="B138" t="s">
        <v>1453</v>
      </c>
      <c r="C138">
        <v>1</v>
      </c>
      <c r="D138" t="s">
        <v>142</v>
      </c>
      <c r="E138" t="s">
        <v>1454</v>
      </c>
      <c r="F138">
        <v>1</v>
      </c>
      <c r="G138">
        <v>137</v>
      </c>
      <c r="I138" t="s">
        <v>460</v>
      </c>
      <c r="J138" t="s">
        <v>1728</v>
      </c>
      <c r="K138" t="s">
        <v>48</v>
      </c>
      <c r="L138" t="s">
        <v>1729</v>
      </c>
      <c r="M138">
        <v>12378</v>
      </c>
      <c r="N138">
        <v>3</v>
      </c>
      <c r="O138" t="s">
        <v>1730</v>
      </c>
      <c r="P138">
        <v>3</v>
      </c>
    </row>
    <row r="139" spans="1:16">
      <c r="A139" t="s">
        <v>1452</v>
      </c>
      <c r="B139" t="s">
        <v>1453</v>
      </c>
      <c r="C139">
        <v>1</v>
      </c>
      <c r="D139" t="s">
        <v>142</v>
      </c>
      <c r="E139" t="s">
        <v>1454</v>
      </c>
      <c r="F139">
        <v>1</v>
      </c>
      <c r="G139">
        <v>138</v>
      </c>
      <c r="I139" t="s">
        <v>412</v>
      </c>
      <c r="J139" t="s">
        <v>418</v>
      </c>
      <c r="K139" t="s">
        <v>48</v>
      </c>
      <c r="L139" t="s">
        <v>419</v>
      </c>
      <c r="M139">
        <v>12197</v>
      </c>
      <c r="N139">
        <v>131</v>
      </c>
      <c r="O139" t="s">
        <v>1731</v>
      </c>
      <c r="P139">
        <v>131</v>
      </c>
    </row>
    <row r="140" spans="1:16">
      <c r="A140" t="s">
        <v>1452</v>
      </c>
      <c r="B140" t="s">
        <v>1453</v>
      </c>
      <c r="C140">
        <v>1</v>
      </c>
      <c r="D140" t="s">
        <v>142</v>
      </c>
      <c r="E140" t="s">
        <v>1454</v>
      </c>
      <c r="F140">
        <v>1</v>
      </c>
      <c r="G140">
        <v>139</v>
      </c>
      <c r="I140" t="s">
        <v>434</v>
      </c>
      <c r="J140" t="s">
        <v>868</v>
      </c>
      <c r="K140" t="s">
        <v>48</v>
      </c>
      <c r="L140" t="s">
        <v>869</v>
      </c>
      <c r="M140">
        <v>15179</v>
      </c>
      <c r="N140">
        <v>5</v>
      </c>
      <c r="O140" t="s">
        <v>1732</v>
      </c>
      <c r="P140">
        <v>5</v>
      </c>
    </row>
    <row r="141" spans="1:16">
      <c r="A141" t="s">
        <v>1452</v>
      </c>
      <c r="B141" t="s">
        <v>1453</v>
      </c>
      <c r="C141">
        <v>1</v>
      </c>
      <c r="D141" t="s">
        <v>142</v>
      </c>
      <c r="E141" t="s">
        <v>1454</v>
      </c>
      <c r="F141">
        <v>1</v>
      </c>
      <c r="G141">
        <v>140</v>
      </c>
      <c r="I141" t="s">
        <v>428</v>
      </c>
      <c r="J141" t="s">
        <v>840</v>
      </c>
      <c r="K141" t="s">
        <v>48</v>
      </c>
      <c r="L141" t="s">
        <v>841</v>
      </c>
      <c r="M141">
        <v>12186</v>
      </c>
      <c r="N141">
        <v>57</v>
      </c>
      <c r="O141" t="s">
        <v>1733</v>
      </c>
      <c r="P141">
        <v>57</v>
      </c>
    </row>
    <row r="142" spans="1:16">
      <c r="A142" t="s">
        <v>1452</v>
      </c>
      <c r="B142" t="s">
        <v>1453</v>
      </c>
      <c r="C142">
        <v>1</v>
      </c>
      <c r="D142" t="s">
        <v>142</v>
      </c>
      <c r="E142" t="s">
        <v>1454</v>
      </c>
      <c r="F142">
        <v>1</v>
      </c>
      <c r="G142">
        <v>141</v>
      </c>
      <c r="I142" t="s">
        <v>860</v>
      </c>
      <c r="J142" t="s">
        <v>888</v>
      </c>
      <c r="K142" t="s">
        <v>48</v>
      </c>
      <c r="L142" t="s">
        <v>889</v>
      </c>
      <c r="M142">
        <v>12751</v>
      </c>
      <c r="N142">
        <v>21</v>
      </c>
      <c r="O142" t="s">
        <v>1734</v>
      </c>
      <c r="P142">
        <v>21</v>
      </c>
    </row>
    <row r="143" spans="1:16">
      <c r="A143" t="s">
        <v>1452</v>
      </c>
      <c r="B143" t="s">
        <v>1453</v>
      </c>
      <c r="C143">
        <v>1</v>
      </c>
      <c r="D143" t="s">
        <v>142</v>
      </c>
      <c r="E143" t="s">
        <v>1454</v>
      </c>
      <c r="F143">
        <v>1</v>
      </c>
      <c r="G143">
        <v>142</v>
      </c>
      <c r="I143" t="s">
        <v>825</v>
      </c>
      <c r="J143" t="s">
        <v>826</v>
      </c>
      <c r="K143" t="s">
        <v>48</v>
      </c>
      <c r="L143" t="s">
        <v>827</v>
      </c>
      <c r="M143">
        <v>12412</v>
      </c>
      <c r="N143">
        <v>6</v>
      </c>
      <c r="O143" t="s">
        <v>1735</v>
      </c>
      <c r="P143">
        <v>6</v>
      </c>
    </row>
    <row r="144" spans="1:16">
      <c r="A144" t="s">
        <v>1452</v>
      </c>
      <c r="B144" t="s">
        <v>1453</v>
      </c>
      <c r="C144">
        <v>1</v>
      </c>
      <c r="D144" t="s">
        <v>142</v>
      </c>
      <c r="E144" t="s">
        <v>1454</v>
      </c>
      <c r="F144">
        <v>1</v>
      </c>
      <c r="G144">
        <v>143</v>
      </c>
      <c r="I144" t="s">
        <v>440</v>
      </c>
      <c r="J144" t="s">
        <v>441</v>
      </c>
      <c r="K144" t="s">
        <v>48</v>
      </c>
      <c r="L144" t="s">
        <v>442</v>
      </c>
      <c r="M144">
        <v>38266</v>
      </c>
      <c r="N144">
        <v>2</v>
      </c>
      <c r="O144" t="s">
        <v>1736</v>
      </c>
      <c r="P144">
        <v>2</v>
      </c>
    </row>
    <row r="145" spans="1:16">
      <c r="A145" t="s">
        <v>1452</v>
      </c>
      <c r="B145" t="s">
        <v>1453</v>
      </c>
      <c r="C145">
        <v>1</v>
      </c>
      <c r="D145" t="s">
        <v>142</v>
      </c>
      <c r="E145" t="s">
        <v>1454</v>
      </c>
      <c r="F145">
        <v>1</v>
      </c>
      <c r="G145">
        <v>144</v>
      </c>
      <c r="I145" t="s">
        <v>1737</v>
      </c>
      <c r="J145" t="s">
        <v>1738</v>
      </c>
      <c r="K145" t="s">
        <v>48</v>
      </c>
      <c r="L145" t="s">
        <v>1739</v>
      </c>
      <c r="M145">
        <v>13580</v>
      </c>
      <c r="N145">
        <v>1</v>
      </c>
      <c r="O145" t="s">
        <v>1421</v>
      </c>
      <c r="P145">
        <v>1</v>
      </c>
    </row>
    <row r="146" spans="1:16">
      <c r="A146" t="s">
        <v>1452</v>
      </c>
      <c r="B146" t="s">
        <v>1453</v>
      </c>
      <c r="C146">
        <v>1</v>
      </c>
      <c r="D146" t="s">
        <v>142</v>
      </c>
      <c r="E146" t="s">
        <v>1454</v>
      </c>
      <c r="F146">
        <v>1</v>
      </c>
      <c r="G146">
        <v>145</v>
      </c>
      <c r="I146" t="s">
        <v>1373</v>
      </c>
      <c r="J146" t="s">
        <v>1740</v>
      </c>
      <c r="K146" t="s">
        <v>48</v>
      </c>
      <c r="L146" t="s">
        <v>1741</v>
      </c>
      <c r="M146">
        <v>15339</v>
      </c>
      <c r="N146">
        <v>1</v>
      </c>
      <c r="O146" t="s">
        <v>1742</v>
      </c>
      <c r="P146">
        <v>1</v>
      </c>
    </row>
    <row r="147" spans="1:16">
      <c r="A147" t="s">
        <v>1452</v>
      </c>
      <c r="B147" t="s">
        <v>1453</v>
      </c>
      <c r="C147">
        <v>1</v>
      </c>
      <c r="D147" t="s">
        <v>142</v>
      </c>
      <c r="E147" t="s">
        <v>1454</v>
      </c>
      <c r="F147">
        <v>1</v>
      </c>
      <c r="G147">
        <v>146</v>
      </c>
      <c r="I147" t="s">
        <v>1391</v>
      </c>
      <c r="J147" t="s">
        <v>1392</v>
      </c>
      <c r="K147" t="s">
        <v>270</v>
      </c>
      <c r="L147" t="s">
        <v>1393</v>
      </c>
      <c r="M147">
        <v>10483</v>
      </c>
      <c r="N147">
        <v>1</v>
      </c>
      <c r="O147" t="s">
        <v>1743</v>
      </c>
      <c r="P147">
        <v>1</v>
      </c>
    </row>
    <row r="148" spans="1:16">
      <c r="A148" t="s">
        <v>1452</v>
      </c>
      <c r="B148" t="s">
        <v>1453</v>
      </c>
      <c r="C148">
        <v>1</v>
      </c>
      <c r="D148" t="s">
        <v>142</v>
      </c>
      <c r="E148" t="s">
        <v>1454</v>
      </c>
      <c r="F148">
        <v>1</v>
      </c>
      <c r="G148">
        <v>147</v>
      </c>
      <c r="I148" t="s">
        <v>1148</v>
      </c>
      <c r="J148" t="s">
        <v>1744</v>
      </c>
      <c r="K148" t="s">
        <v>48</v>
      </c>
      <c r="L148" t="s">
        <v>1745</v>
      </c>
      <c r="M148">
        <v>14790</v>
      </c>
      <c r="N148">
        <v>1</v>
      </c>
      <c r="O148" t="s">
        <v>1746</v>
      </c>
      <c r="P148">
        <v>1</v>
      </c>
    </row>
    <row r="149" spans="1:16">
      <c r="A149" t="s">
        <v>1452</v>
      </c>
      <c r="B149" t="s">
        <v>1453</v>
      </c>
      <c r="C149">
        <v>1</v>
      </c>
      <c r="D149" t="s">
        <v>142</v>
      </c>
      <c r="E149" t="s">
        <v>1454</v>
      </c>
      <c r="F149">
        <v>1</v>
      </c>
      <c r="G149">
        <v>148</v>
      </c>
      <c r="I149" t="s">
        <v>1747</v>
      </c>
      <c r="J149" t="s">
        <v>1748</v>
      </c>
      <c r="K149" t="s">
        <v>48</v>
      </c>
      <c r="L149" t="s">
        <v>1749</v>
      </c>
      <c r="M149">
        <v>14807</v>
      </c>
      <c r="N149">
        <v>1</v>
      </c>
      <c r="O149" t="s">
        <v>1750</v>
      </c>
      <c r="P149">
        <v>1</v>
      </c>
    </row>
    <row r="150" spans="1:16">
      <c r="A150" t="s">
        <v>1452</v>
      </c>
      <c r="B150" t="s">
        <v>1453</v>
      </c>
      <c r="C150">
        <v>1</v>
      </c>
      <c r="D150" t="s">
        <v>142</v>
      </c>
      <c r="E150" t="s">
        <v>1454</v>
      </c>
      <c r="F150">
        <v>1</v>
      </c>
      <c r="G150">
        <v>149</v>
      </c>
      <c r="I150" t="s">
        <v>1751</v>
      </c>
      <c r="J150" t="s">
        <v>1752</v>
      </c>
      <c r="K150" t="s">
        <v>48</v>
      </c>
      <c r="L150" t="s">
        <v>1753</v>
      </c>
      <c r="M150">
        <v>15301</v>
      </c>
      <c r="N150">
        <v>1</v>
      </c>
      <c r="O150" t="s">
        <v>1754</v>
      </c>
      <c r="P150">
        <v>1</v>
      </c>
    </row>
    <row r="151" spans="1:16">
      <c r="A151" t="s">
        <v>1452</v>
      </c>
      <c r="B151" t="s">
        <v>1453</v>
      </c>
      <c r="C151">
        <v>1</v>
      </c>
      <c r="D151" t="s">
        <v>142</v>
      </c>
      <c r="E151" t="s">
        <v>1454</v>
      </c>
      <c r="F151">
        <v>1</v>
      </c>
      <c r="G151">
        <v>150</v>
      </c>
      <c r="I151" t="s">
        <v>1755</v>
      </c>
      <c r="J151" t="s">
        <v>1756</v>
      </c>
      <c r="K151" t="s">
        <v>48</v>
      </c>
      <c r="L151" t="s">
        <v>1757</v>
      </c>
      <c r="M151">
        <v>13581</v>
      </c>
      <c r="N151">
        <v>2</v>
      </c>
      <c r="O151" t="s">
        <v>1758</v>
      </c>
      <c r="P151">
        <v>2</v>
      </c>
    </row>
    <row r="152" spans="1:16">
      <c r="A152" t="s">
        <v>1452</v>
      </c>
      <c r="B152" t="s">
        <v>1453</v>
      </c>
      <c r="C152">
        <v>1</v>
      </c>
      <c r="D152" t="s">
        <v>142</v>
      </c>
      <c r="E152" t="s">
        <v>1454</v>
      </c>
      <c r="F152">
        <v>1</v>
      </c>
      <c r="G152">
        <v>151</v>
      </c>
      <c r="I152" t="s">
        <v>918</v>
      </c>
      <c r="J152" t="s">
        <v>1759</v>
      </c>
      <c r="K152" t="s">
        <v>48</v>
      </c>
      <c r="L152" t="s">
        <v>1760</v>
      </c>
      <c r="M152">
        <v>15368</v>
      </c>
      <c r="N152">
        <v>1</v>
      </c>
      <c r="O152" t="s">
        <v>1761</v>
      </c>
      <c r="P152">
        <v>1</v>
      </c>
    </row>
    <row r="153" spans="1:16">
      <c r="A153" t="s">
        <v>1452</v>
      </c>
      <c r="B153" t="s">
        <v>1453</v>
      </c>
      <c r="C153">
        <v>1</v>
      </c>
      <c r="D153" t="s">
        <v>142</v>
      </c>
      <c r="E153" t="s">
        <v>1454</v>
      </c>
      <c r="F153">
        <v>1</v>
      </c>
      <c r="G153">
        <v>152</v>
      </c>
      <c r="I153" t="s">
        <v>206</v>
      </c>
      <c r="J153" t="s">
        <v>1762</v>
      </c>
      <c r="K153" t="s">
        <v>48</v>
      </c>
      <c r="L153" t="s">
        <v>1763</v>
      </c>
      <c r="M153">
        <v>14774</v>
      </c>
      <c r="N153">
        <v>2</v>
      </c>
      <c r="O153" t="s">
        <v>1764</v>
      </c>
      <c r="P153">
        <v>2</v>
      </c>
    </row>
    <row r="154" spans="1:16">
      <c r="A154" t="s">
        <v>1452</v>
      </c>
      <c r="B154" t="s">
        <v>1453</v>
      </c>
      <c r="C154">
        <v>1</v>
      </c>
      <c r="D154" t="s">
        <v>142</v>
      </c>
      <c r="E154" t="s">
        <v>1454</v>
      </c>
      <c r="F154">
        <v>1</v>
      </c>
      <c r="G154">
        <v>153</v>
      </c>
      <c r="I154" t="s">
        <v>1765</v>
      </c>
      <c r="J154" t="s">
        <v>1766</v>
      </c>
      <c r="K154" t="s">
        <v>48</v>
      </c>
      <c r="L154" t="s">
        <v>1767</v>
      </c>
      <c r="M154">
        <v>19213</v>
      </c>
      <c r="N154">
        <v>5</v>
      </c>
      <c r="O154" t="s">
        <v>1768</v>
      </c>
      <c r="P154">
        <v>5</v>
      </c>
    </row>
    <row r="155" spans="1:16">
      <c r="A155" t="s">
        <v>1452</v>
      </c>
      <c r="B155" t="s">
        <v>1453</v>
      </c>
      <c r="C155">
        <v>1</v>
      </c>
      <c r="D155" t="s">
        <v>142</v>
      </c>
      <c r="E155" t="s">
        <v>1454</v>
      </c>
      <c r="F155">
        <v>1</v>
      </c>
      <c r="G155">
        <v>154</v>
      </c>
      <c r="I155" t="s">
        <v>455</v>
      </c>
      <c r="J155" t="s">
        <v>882</v>
      </c>
      <c r="K155" t="s">
        <v>48</v>
      </c>
      <c r="L155" t="s">
        <v>883</v>
      </c>
      <c r="M155">
        <v>12295</v>
      </c>
      <c r="N155">
        <v>1</v>
      </c>
      <c r="O155" t="s">
        <v>1769</v>
      </c>
      <c r="P155">
        <v>1</v>
      </c>
    </row>
    <row r="156" spans="1:16">
      <c r="A156" t="s">
        <v>1452</v>
      </c>
      <c r="B156" t="s">
        <v>1453</v>
      </c>
      <c r="C156">
        <v>1</v>
      </c>
      <c r="D156" t="s">
        <v>142</v>
      </c>
      <c r="E156" t="s">
        <v>1454</v>
      </c>
      <c r="F156">
        <v>1</v>
      </c>
      <c r="G156">
        <v>155</v>
      </c>
      <c r="I156" t="s">
        <v>453</v>
      </c>
      <c r="J156" t="s">
        <v>885</v>
      </c>
      <c r="K156" t="s">
        <v>48</v>
      </c>
      <c r="L156" t="s">
        <v>886</v>
      </c>
      <c r="M156">
        <v>12755</v>
      </c>
      <c r="N156">
        <v>1</v>
      </c>
      <c r="O156" t="s">
        <v>1770</v>
      </c>
      <c r="P156">
        <v>1</v>
      </c>
    </row>
    <row r="157" spans="1:16">
      <c r="A157" t="s">
        <v>1452</v>
      </c>
      <c r="B157" t="s">
        <v>1453</v>
      </c>
      <c r="C157">
        <v>1</v>
      </c>
      <c r="D157" t="s">
        <v>142</v>
      </c>
      <c r="E157" t="s">
        <v>1454</v>
      </c>
      <c r="F157">
        <v>1</v>
      </c>
      <c r="G157">
        <v>156</v>
      </c>
      <c r="I157" t="s">
        <v>480</v>
      </c>
      <c r="J157" t="s">
        <v>960</v>
      </c>
      <c r="K157" t="s">
        <v>48</v>
      </c>
      <c r="L157" t="s">
        <v>961</v>
      </c>
      <c r="M157">
        <v>12560</v>
      </c>
      <c r="N157">
        <v>5</v>
      </c>
      <c r="O157" t="s">
        <v>1771</v>
      </c>
      <c r="P157">
        <v>5</v>
      </c>
    </row>
    <row r="158" spans="1:16">
      <c r="A158" t="s">
        <v>1452</v>
      </c>
      <c r="B158" t="s">
        <v>1453</v>
      </c>
      <c r="C158">
        <v>1</v>
      </c>
      <c r="D158" t="s">
        <v>142</v>
      </c>
      <c r="E158" t="s">
        <v>1454</v>
      </c>
      <c r="F158">
        <v>1</v>
      </c>
      <c r="G158">
        <v>157</v>
      </c>
      <c r="I158" t="s">
        <v>903</v>
      </c>
      <c r="J158" t="s">
        <v>904</v>
      </c>
      <c r="K158" t="s">
        <v>48</v>
      </c>
      <c r="L158" t="s">
        <v>905</v>
      </c>
      <c r="M158">
        <v>13010</v>
      </c>
      <c r="N158">
        <v>1</v>
      </c>
      <c r="O158" t="s">
        <v>1772</v>
      </c>
      <c r="P158">
        <v>1</v>
      </c>
    </row>
    <row r="159" spans="1:16">
      <c r="A159" t="s">
        <v>1452</v>
      </c>
      <c r="B159" t="s">
        <v>1453</v>
      </c>
      <c r="C159">
        <v>1</v>
      </c>
      <c r="D159" t="s">
        <v>142</v>
      </c>
      <c r="E159" t="s">
        <v>1454</v>
      </c>
      <c r="F159">
        <v>1</v>
      </c>
      <c r="G159">
        <v>158</v>
      </c>
      <c r="I159" t="s">
        <v>444</v>
      </c>
      <c r="J159" t="s">
        <v>816</v>
      </c>
      <c r="K159" t="s">
        <v>48</v>
      </c>
      <c r="L159" t="s">
        <v>817</v>
      </c>
      <c r="M159">
        <v>12712</v>
      </c>
      <c r="N159">
        <v>4</v>
      </c>
      <c r="O159" t="s">
        <v>1773</v>
      </c>
      <c r="P159">
        <v>4</v>
      </c>
    </row>
    <row r="160" spans="1:16">
      <c r="A160" t="s">
        <v>1452</v>
      </c>
      <c r="B160" t="s">
        <v>1453</v>
      </c>
      <c r="C160">
        <v>1</v>
      </c>
      <c r="D160" t="s">
        <v>142</v>
      </c>
      <c r="E160" t="s">
        <v>1454</v>
      </c>
      <c r="F160">
        <v>1</v>
      </c>
      <c r="G160">
        <v>159</v>
      </c>
      <c r="I160" t="s">
        <v>469</v>
      </c>
      <c r="J160" t="s">
        <v>927</v>
      </c>
      <c r="K160" t="s">
        <v>48</v>
      </c>
      <c r="L160" t="s">
        <v>928</v>
      </c>
      <c r="M160">
        <v>12438</v>
      </c>
      <c r="N160">
        <v>23</v>
      </c>
      <c r="O160" t="s">
        <v>1774</v>
      </c>
      <c r="P160">
        <v>23</v>
      </c>
    </row>
    <row r="161" spans="1:16">
      <c r="A161" t="s">
        <v>1452</v>
      </c>
      <c r="B161" t="s">
        <v>1453</v>
      </c>
      <c r="C161">
        <v>1</v>
      </c>
      <c r="D161" t="s">
        <v>142</v>
      </c>
      <c r="E161" t="s">
        <v>1454</v>
      </c>
      <c r="F161">
        <v>1</v>
      </c>
      <c r="G161">
        <v>160</v>
      </c>
      <c r="I161" t="s">
        <v>1775</v>
      </c>
      <c r="J161" t="s">
        <v>1776</v>
      </c>
      <c r="K161" t="s">
        <v>48</v>
      </c>
      <c r="L161" t="s">
        <v>1777</v>
      </c>
      <c r="M161">
        <v>15010</v>
      </c>
      <c r="N161">
        <v>1</v>
      </c>
      <c r="O161" t="s">
        <v>890</v>
      </c>
      <c r="P161">
        <v>1</v>
      </c>
    </row>
    <row r="162" spans="1:16">
      <c r="A162" t="s">
        <v>1452</v>
      </c>
      <c r="B162" t="s">
        <v>1453</v>
      </c>
      <c r="C162">
        <v>1</v>
      </c>
      <c r="D162" t="s">
        <v>142</v>
      </c>
      <c r="E162" t="s">
        <v>1454</v>
      </c>
      <c r="F162">
        <v>1</v>
      </c>
      <c r="G162">
        <v>161</v>
      </c>
      <c r="I162" t="s">
        <v>872</v>
      </c>
      <c r="J162" t="s">
        <v>1778</v>
      </c>
      <c r="K162" t="s">
        <v>48</v>
      </c>
      <c r="L162" t="s">
        <v>1779</v>
      </c>
      <c r="M162">
        <v>14785</v>
      </c>
      <c r="N162">
        <v>3</v>
      </c>
      <c r="O162" t="s">
        <v>1780</v>
      </c>
      <c r="P162">
        <v>3</v>
      </c>
    </row>
    <row r="163" spans="1:16">
      <c r="A163" t="s">
        <v>1452</v>
      </c>
      <c r="B163" t="s">
        <v>1453</v>
      </c>
      <c r="C163">
        <v>1</v>
      </c>
      <c r="D163" t="s">
        <v>142</v>
      </c>
      <c r="E163" t="s">
        <v>1454</v>
      </c>
      <c r="F163">
        <v>1</v>
      </c>
      <c r="G163">
        <v>162</v>
      </c>
      <c r="I163" t="s">
        <v>1781</v>
      </c>
      <c r="J163" t="s">
        <v>1782</v>
      </c>
      <c r="K163" t="s">
        <v>48</v>
      </c>
      <c r="L163" t="s">
        <v>1783</v>
      </c>
      <c r="M163">
        <v>16270</v>
      </c>
      <c r="N163">
        <v>8</v>
      </c>
      <c r="O163" t="s">
        <v>1784</v>
      </c>
      <c r="P163">
        <v>8</v>
      </c>
    </row>
    <row r="164" spans="1:16">
      <c r="A164" t="s">
        <v>1452</v>
      </c>
      <c r="B164" t="s">
        <v>1453</v>
      </c>
      <c r="C164">
        <v>1</v>
      </c>
      <c r="D164" t="s">
        <v>142</v>
      </c>
      <c r="E164" t="s">
        <v>1454</v>
      </c>
      <c r="F164">
        <v>1</v>
      </c>
      <c r="G164">
        <v>163</v>
      </c>
      <c r="I164" t="s">
        <v>1785</v>
      </c>
      <c r="J164" t="s">
        <v>1786</v>
      </c>
      <c r="K164" t="s">
        <v>48</v>
      </c>
      <c r="L164" t="s">
        <v>1787</v>
      </c>
      <c r="M164">
        <v>12435</v>
      </c>
      <c r="N164">
        <v>10</v>
      </c>
      <c r="O164" t="s">
        <v>1788</v>
      </c>
      <c r="P164">
        <v>10</v>
      </c>
    </row>
    <row r="165" spans="1:16">
      <c r="A165" t="s">
        <v>1452</v>
      </c>
      <c r="B165" t="s">
        <v>1453</v>
      </c>
      <c r="C165">
        <v>1</v>
      </c>
      <c r="D165" t="s">
        <v>142</v>
      </c>
      <c r="E165" t="s">
        <v>1454</v>
      </c>
      <c r="F165">
        <v>1</v>
      </c>
      <c r="G165">
        <v>164</v>
      </c>
      <c r="I165" t="s">
        <v>1789</v>
      </c>
      <c r="J165" t="s">
        <v>1790</v>
      </c>
      <c r="K165" t="s">
        <v>48</v>
      </c>
      <c r="L165" t="s">
        <v>1791</v>
      </c>
      <c r="M165">
        <v>15198</v>
      </c>
      <c r="N165">
        <v>1</v>
      </c>
      <c r="O165" t="s">
        <v>1792</v>
      </c>
      <c r="P165">
        <v>1</v>
      </c>
    </row>
    <row r="166" spans="1:16">
      <c r="A166" t="s">
        <v>1452</v>
      </c>
      <c r="B166" t="s">
        <v>1453</v>
      </c>
      <c r="C166">
        <v>1</v>
      </c>
      <c r="D166" t="s">
        <v>142</v>
      </c>
      <c r="E166" t="s">
        <v>1454</v>
      </c>
      <c r="F166">
        <v>1</v>
      </c>
      <c r="G166">
        <v>165</v>
      </c>
      <c r="I166" t="s">
        <v>820</v>
      </c>
      <c r="J166" t="s">
        <v>821</v>
      </c>
      <c r="K166" t="s">
        <v>48</v>
      </c>
      <c r="L166" t="s">
        <v>822</v>
      </c>
      <c r="M166">
        <v>12448</v>
      </c>
      <c r="N166">
        <v>2</v>
      </c>
      <c r="O166" t="s">
        <v>1793</v>
      </c>
      <c r="P166">
        <v>2</v>
      </c>
    </row>
    <row r="167" spans="1:16">
      <c r="A167" t="s">
        <v>1452</v>
      </c>
      <c r="B167" t="s">
        <v>1453</v>
      </c>
      <c r="C167">
        <v>1</v>
      </c>
      <c r="D167" t="s">
        <v>142</v>
      </c>
      <c r="E167" t="s">
        <v>1454</v>
      </c>
      <c r="F167">
        <v>1</v>
      </c>
      <c r="G167">
        <v>166</v>
      </c>
      <c r="I167" t="s">
        <v>1794</v>
      </c>
      <c r="J167" t="s">
        <v>1795</v>
      </c>
      <c r="K167" t="s">
        <v>48</v>
      </c>
      <c r="L167" t="s">
        <v>1796</v>
      </c>
      <c r="M167">
        <v>14773</v>
      </c>
      <c r="N167">
        <v>2</v>
      </c>
      <c r="O167" t="s">
        <v>1797</v>
      </c>
      <c r="P167">
        <v>2</v>
      </c>
    </row>
    <row r="168" spans="1:16">
      <c r="A168" t="s">
        <v>1452</v>
      </c>
      <c r="B168" t="s">
        <v>1453</v>
      </c>
      <c r="C168">
        <v>1</v>
      </c>
      <c r="D168" t="s">
        <v>142</v>
      </c>
      <c r="E168" t="s">
        <v>1454</v>
      </c>
      <c r="F168">
        <v>1</v>
      </c>
      <c r="G168">
        <v>167</v>
      </c>
      <c r="I168" t="s">
        <v>907</v>
      </c>
      <c r="J168" t="s">
        <v>908</v>
      </c>
      <c r="K168" t="s">
        <v>48</v>
      </c>
      <c r="L168" t="s">
        <v>909</v>
      </c>
      <c r="M168">
        <v>12579</v>
      </c>
      <c r="N168">
        <v>2</v>
      </c>
      <c r="O168" t="s">
        <v>1798</v>
      </c>
      <c r="P168">
        <v>2</v>
      </c>
    </row>
    <row r="169" spans="1:16">
      <c r="A169" t="s">
        <v>1452</v>
      </c>
      <c r="B169" t="s">
        <v>1453</v>
      </c>
      <c r="C169">
        <v>1</v>
      </c>
      <c r="D169" t="s">
        <v>142</v>
      </c>
      <c r="E169" t="s">
        <v>1454</v>
      </c>
      <c r="F169">
        <v>1</v>
      </c>
      <c r="G169">
        <v>168</v>
      </c>
      <c r="I169" t="s">
        <v>1799</v>
      </c>
      <c r="J169" t="s">
        <v>1800</v>
      </c>
      <c r="K169" t="s">
        <v>48</v>
      </c>
      <c r="L169" t="s">
        <v>1801</v>
      </c>
      <c r="M169">
        <v>26397</v>
      </c>
      <c r="N169">
        <v>1</v>
      </c>
      <c r="O169" t="s">
        <v>1802</v>
      </c>
      <c r="P169">
        <v>1</v>
      </c>
    </row>
    <row r="170" spans="1:16">
      <c r="A170" t="s">
        <v>1452</v>
      </c>
      <c r="B170" t="s">
        <v>1453</v>
      </c>
      <c r="C170">
        <v>1</v>
      </c>
      <c r="D170" t="s">
        <v>142</v>
      </c>
      <c r="E170" t="s">
        <v>1454</v>
      </c>
      <c r="F170">
        <v>1</v>
      </c>
      <c r="G170">
        <v>169</v>
      </c>
      <c r="I170" t="s">
        <v>463</v>
      </c>
      <c r="J170" t="s">
        <v>1803</v>
      </c>
      <c r="K170" t="s">
        <v>48</v>
      </c>
      <c r="L170" t="s">
        <v>1804</v>
      </c>
      <c r="M170">
        <v>12500</v>
      </c>
      <c r="N170">
        <v>2</v>
      </c>
      <c r="O170" t="s">
        <v>1805</v>
      </c>
      <c r="P170">
        <v>2</v>
      </c>
    </row>
    <row r="171" spans="1:16">
      <c r="A171" t="s">
        <v>1452</v>
      </c>
      <c r="B171" t="s">
        <v>1453</v>
      </c>
      <c r="C171">
        <v>1</v>
      </c>
      <c r="D171" t="s">
        <v>142</v>
      </c>
      <c r="E171" t="s">
        <v>1454</v>
      </c>
      <c r="F171">
        <v>1</v>
      </c>
      <c r="G171">
        <v>170</v>
      </c>
      <c r="I171" t="s">
        <v>949</v>
      </c>
      <c r="J171" t="s">
        <v>1806</v>
      </c>
      <c r="K171" t="s">
        <v>48</v>
      </c>
      <c r="L171" t="s">
        <v>1807</v>
      </c>
      <c r="M171">
        <v>16420</v>
      </c>
      <c r="N171">
        <v>1</v>
      </c>
      <c r="O171" t="s">
        <v>1808</v>
      </c>
      <c r="P171">
        <v>1</v>
      </c>
    </row>
    <row r="172" spans="1:16">
      <c r="A172" t="s">
        <v>1452</v>
      </c>
      <c r="B172" t="s">
        <v>1453</v>
      </c>
      <c r="C172">
        <v>1</v>
      </c>
      <c r="D172" t="s">
        <v>142</v>
      </c>
      <c r="E172" t="s">
        <v>1454</v>
      </c>
      <c r="F172">
        <v>1</v>
      </c>
      <c r="G172">
        <v>171</v>
      </c>
      <c r="I172" t="s">
        <v>1809</v>
      </c>
      <c r="J172" t="s">
        <v>1810</v>
      </c>
      <c r="K172" t="s">
        <v>48</v>
      </c>
      <c r="L172" t="s">
        <v>1811</v>
      </c>
      <c r="M172">
        <v>40128</v>
      </c>
      <c r="N172">
        <v>1</v>
      </c>
      <c r="O172" t="s">
        <v>1812</v>
      </c>
      <c r="P172">
        <v>1</v>
      </c>
    </row>
    <row r="173" spans="1:16">
      <c r="A173" t="s">
        <v>1452</v>
      </c>
      <c r="B173" t="s">
        <v>1453</v>
      </c>
      <c r="C173">
        <v>1</v>
      </c>
      <c r="D173" t="s">
        <v>142</v>
      </c>
      <c r="E173" t="s">
        <v>1454</v>
      </c>
      <c r="F173">
        <v>1</v>
      </c>
      <c r="G173">
        <v>172</v>
      </c>
      <c r="I173" t="s">
        <v>89</v>
      </c>
      <c r="J173" t="s">
        <v>1813</v>
      </c>
      <c r="K173" t="s">
        <v>48</v>
      </c>
      <c r="L173" t="s">
        <v>1814</v>
      </c>
      <c r="M173">
        <v>15307</v>
      </c>
      <c r="N173">
        <v>2</v>
      </c>
      <c r="O173" t="s">
        <v>1815</v>
      </c>
      <c r="P173">
        <v>2</v>
      </c>
    </row>
    <row r="174" spans="1:16">
      <c r="A174" t="s">
        <v>1452</v>
      </c>
      <c r="B174" t="s">
        <v>1453</v>
      </c>
      <c r="C174">
        <v>1</v>
      </c>
      <c r="D174" t="s">
        <v>142</v>
      </c>
      <c r="E174" t="s">
        <v>1454</v>
      </c>
      <c r="F174">
        <v>1</v>
      </c>
      <c r="G174">
        <v>173</v>
      </c>
      <c r="I174" t="s">
        <v>1816</v>
      </c>
      <c r="J174" t="s">
        <v>1817</v>
      </c>
      <c r="K174" t="s">
        <v>48</v>
      </c>
      <c r="L174" t="s">
        <v>1818</v>
      </c>
      <c r="M174">
        <v>39837</v>
      </c>
      <c r="N174">
        <v>1</v>
      </c>
      <c r="O174" t="s">
        <v>1819</v>
      </c>
      <c r="P174">
        <v>1</v>
      </c>
    </row>
    <row r="175" spans="1:16">
      <c r="A175" t="s">
        <v>1452</v>
      </c>
      <c r="B175" t="s">
        <v>1453</v>
      </c>
      <c r="C175">
        <v>1</v>
      </c>
      <c r="D175" t="s">
        <v>142</v>
      </c>
      <c r="E175" t="s">
        <v>1454</v>
      </c>
      <c r="F175">
        <v>1</v>
      </c>
      <c r="G175">
        <v>174</v>
      </c>
      <c r="I175" t="s">
        <v>1820</v>
      </c>
      <c r="J175" t="s">
        <v>1821</v>
      </c>
      <c r="K175" t="s">
        <v>48</v>
      </c>
      <c r="L175" t="s">
        <v>1822</v>
      </c>
      <c r="M175">
        <v>39824</v>
      </c>
      <c r="N175">
        <v>1</v>
      </c>
      <c r="O175" t="s">
        <v>1823</v>
      </c>
      <c r="P175">
        <v>1</v>
      </c>
    </row>
    <row r="176" spans="1:16">
      <c r="A176" t="s">
        <v>1452</v>
      </c>
      <c r="B176" t="s">
        <v>1453</v>
      </c>
      <c r="C176">
        <v>1</v>
      </c>
      <c r="D176" t="s">
        <v>142</v>
      </c>
      <c r="E176" t="s">
        <v>1454</v>
      </c>
      <c r="F176">
        <v>1</v>
      </c>
      <c r="G176">
        <v>175</v>
      </c>
      <c r="I176" t="s">
        <v>844</v>
      </c>
      <c r="J176" t="s">
        <v>845</v>
      </c>
      <c r="K176" t="s">
        <v>48</v>
      </c>
      <c r="L176" t="s">
        <v>846</v>
      </c>
      <c r="M176">
        <v>12335</v>
      </c>
      <c r="N176">
        <v>2</v>
      </c>
      <c r="O176" t="s">
        <v>1824</v>
      </c>
      <c r="P176">
        <v>2</v>
      </c>
    </row>
    <row r="177" spans="1:16">
      <c r="A177" t="s">
        <v>1452</v>
      </c>
      <c r="B177" t="s">
        <v>1453</v>
      </c>
      <c r="C177">
        <v>1</v>
      </c>
      <c r="D177" t="s">
        <v>142</v>
      </c>
      <c r="E177" t="s">
        <v>1454</v>
      </c>
      <c r="F177">
        <v>1</v>
      </c>
      <c r="G177">
        <v>176</v>
      </c>
      <c r="I177" t="s">
        <v>92</v>
      </c>
      <c r="J177" t="s">
        <v>911</v>
      </c>
      <c r="K177" t="s">
        <v>48</v>
      </c>
      <c r="L177" t="s">
        <v>912</v>
      </c>
      <c r="M177">
        <v>14916</v>
      </c>
      <c r="N177">
        <v>1</v>
      </c>
      <c r="O177" t="s">
        <v>1825</v>
      </c>
      <c r="P177">
        <v>1</v>
      </c>
    </row>
    <row r="178" spans="1:16">
      <c r="A178" t="s">
        <v>1452</v>
      </c>
      <c r="B178" t="s">
        <v>1453</v>
      </c>
      <c r="C178">
        <v>1</v>
      </c>
      <c r="D178" t="s">
        <v>142</v>
      </c>
      <c r="E178" t="s">
        <v>1454</v>
      </c>
      <c r="F178">
        <v>1</v>
      </c>
      <c r="G178">
        <v>177</v>
      </c>
      <c r="I178" t="s">
        <v>1826</v>
      </c>
      <c r="J178" t="s">
        <v>1827</v>
      </c>
      <c r="K178" t="s">
        <v>103</v>
      </c>
      <c r="L178" t="s">
        <v>1828</v>
      </c>
      <c r="M178">
        <v>9367</v>
      </c>
      <c r="N178">
        <v>1</v>
      </c>
      <c r="O178" t="s">
        <v>1829</v>
      </c>
      <c r="P178">
        <v>1</v>
      </c>
    </row>
    <row r="179" spans="1:16">
      <c r="A179" t="s">
        <v>1452</v>
      </c>
      <c r="B179" t="s">
        <v>1453</v>
      </c>
      <c r="C179">
        <v>1</v>
      </c>
      <c r="D179" t="s">
        <v>142</v>
      </c>
      <c r="E179" t="s">
        <v>1454</v>
      </c>
      <c r="F179">
        <v>1</v>
      </c>
      <c r="G179">
        <v>178</v>
      </c>
      <c r="I179" t="s">
        <v>1830</v>
      </c>
      <c r="J179" t="s">
        <v>1831</v>
      </c>
      <c r="K179" t="s">
        <v>103</v>
      </c>
      <c r="L179" t="s">
        <v>1832</v>
      </c>
      <c r="M179">
        <v>627</v>
      </c>
      <c r="N179">
        <v>1</v>
      </c>
      <c r="O179" t="s">
        <v>1833</v>
      </c>
      <c r="P179">
        <v>1</v>
      </c>
    </row>
    <row r="180" spans="1:16">
      <c r="A180" t="s">
        <v>1452</v>
      </c>
      <c r="B180" t="s">
        <v>1453</v>
      </c>
      <c r="C180">
        <v>1</v>
      </c>
      <c r="D180" t="s">
        <v>142</v>
      </c>
      <c r="E180" t="s">
        <v>1454</v>
      </c>
      <c r="F180">
        <v>1</v>
      </c>
      <c r="G180">
        <v>179</v>
      </c>
      <c r="I180" t="s">
        <v>1007</v>
      </c>
      <c r="J180" t="s">
        <v>1834</v>
      </c>
      <c r="K180" t="s">
        <v>48</v>
      </c>
      <c r="L180" t="s">
        <v>1835</v>
      </c>
      <c r="M180">
        <v>14855</v>
      </c>
      <c r="N180">
        <v>3</v>
      </c>
      <c r="O180" t="s">
        <v>1836</v>
      </c>
      <c r="P180">
        <v>3</v>
      </c>
    </row>
    <row r="181" spans="1:16">
      <c r="A181" t="s">
        <v>1452</v>
      </c>
      <c r="B181" t="s">
        <v>1453</v>
      </c>
      <c r="C181">
        <v>1</v>
      </c>
      <c r="D181" t="s">
        <v>142</v>
      </c>
      <c r="E181" t="s">
        <v>1454</v>
      </c>
      <c r="F181">
        <v>1</v>
      </c>
      <c r="G181">
        <v>180</v>
      </c>
      <c r="I181" t="s">
        <v>1003</v>
      </c>
      <c r="J181" t="s">
        <v>1837</v>
      </c>
      <c r="K181" t="s">
        <v>48</v>
      </c>
      <c r="L181" t="s">
        <v>1838</v>
      </c>
      <c r="M181">
        <v>15031</v>
      </c>
      <c r="N181">
        <v>1</v>
      </c>
      <c r="O181" t="s">
        <v>1839</v>
      </c>
      <c r="P181">
        <v>1</v>
      </c>
    </row>
    <row r="182" spans="1:16">
      <c r="A182" t="s">
        <v>1452</v>
      </c>
      <c r="B182" t="s">
        <v>1453</v>
      </c>
      <c r="C182">
        <v>1</v>
      </c>
      <c r="D182" t="s">
        <v>142</v>
      </c>
      <c r="E182" t="s">
        <v>1454</v>
      </c>
      <c r="F182">
        <v>1</v>
      </c>
      <c r="G182">
        <v>181</v>
      </c>
      <c r="I182" t="s">
        <v>999</v>
      </c>
      <c r="J182" t="s">
        <v>1000</v>
      </c>
      <c r="K182" t="s">
        <v>48</v>
      </c>
      <c r="L182" t="s">
        <v>1001</v>
      </c>
      <c r="M182">
        <v>18209</v>
      </c>
      <c r="N182">
        <v>1</v>
      </c>
      <c r="O182" t="s">
        <v>1840</v>
      </c>
      <c r="P182">
        <v>1</v>
      </c>
    </row>
    <row r="183" spans="1:16">
      <c r="A183" t="s">
        <v>1452</v>
      </c>
      <c r="B183" t="s">
        <v>1453</v>
      </c>
      <c r="C183">
        <v>1</v>
      </c>
      <c r="D183" t="s">
        <v>142</v>
      </c>
      <c r="E183" t="s">
        <v>1454</v>
      </c>
      <c r="F183">
        <v>1</v>
      </c>
      <c r="G183">
        <v>182</v>
      </c>
      <c r="I183" t="s">
        <v>1841</v>
      </c>
      <c r="J183" t="s">
        <v>1842</v>
      </c>
      <c r="K183" t="s">
        <v>48</v>
      </c>
      <c r="L183" t="s">
        <v>1843</v>
      </c>
      <c r="M183">
        <v>17954</v>
      </c>
      <c r="N183">
        <v>1</v>
      </c>
      <c r="O183" t="s">
        <v>1844</v>
      </c>
      <c r="P183">
        <v>1</v>
      </c>
    </row>
    <row r="184" spans="1:16">
      <c r="A184" t="s">
        <v>1452</v>
      </c>
      <c r="B184" t="s">
        <v>1453</v>
      </c>
      <c r="C184">
        <v>1</v>
      </c>
      <c r="D184" t="s">
        <v>142</v>
      </c>
      <c r="E184" t="s">
        <v>1454</v>
      </c>
      <c r="F184">
        <v>1</v>
      </c>
      <c r="G184">
        <v>183</v>
      </c>
      <c r="I184" t="s">
        <v>991</v>
      </c>
      <c r="J184" t="s">
        <v>992</v>
      </c>
      <c r="K184" t="s">
        <v>48</v>
      </c>
      <c r="L184" t="s">
        <v>993</v>
      </c>
      <c r="M184">
        <v>17647</v>
      </c>
      <c r="N184">
        <v>1</v>
      </c>
      <c r="O184" t="s">
        <v>1845</v>
      </c>
      <c r="P184">
        <v>1</v>
      </c>
    </row>
    <row r="185" spans="1:16">
      <c r="A185" t="s">
        <v>1452</v>
      </c>
      <c r="B185" t="s">
        <v>1453</v>
      </c>
      <c r="C185">
        <v>1</v>
      </c>
      <c r="D185" t="s">
        <v>142</v>
      </c>
      <c r="E185" t="s">
        <v>1454</v>
      </c>
      <c r="F185">
        <v>1</v>
      </c>
      <c r="G185">
        <v>184</v>
      </c>
      <c r="I185" t="s">
        <v>1846</v>
      </c>
      <c r="J185" t="s">
        <v>1847</v>
      </c>
      <c r="K185" t="s">
        <v>48</v>
      </c>
      <c r="L185" t="s">
        <v>1848</v>
      </c>
      <c r="M185">
        <v>18118</v>
      </c>
      <c r="N185">
        <v>1</v>
      </c>
      <c r="O185" t="s">
        <v>1849</v>
      </c>
      <c r="P185">
        <v>1</v>
      </c>
    </row>
    <row r="186" spans="1:16">
      <c r="A186" t="s">
        <v>1452</v>
      </c>
      <c r="B186" t="s">
        <v>1453</v>
      </c>
      <c r="C186">
        <v>1</v>
      </c>
      <c r="D186" t="s">
        <v>142</v>
      </c>
      <c r="E186" t="s">
        <v>1454</v>
      </c>
      <c r="F186">
        <v>1</v>
      </c>
      <c r="G186">
        <v>185</v>
      </c>
      <c r="I186" t="s">
        <v>1850</v>
      </c>
      <c r="J186" t="s">
        <v>1851</v>
      </c>
      <c r="K186" t="s">
        <v>48</v>
      </c>
      <c r="L186" t="s">
        <v>1852</v>
      </c>
      <c r="M186">
        <v>15070</v>
      </c>
      <c r="N186">
        <v>1</v>
      </c>
      <c r="O186" t="s">
        <v>1853</v>
      </c>
      <c r="P186">
        <v>1</v>
      </c>
    </row>
    <row r="187" spans="1:16">
      <c r="A187" t="s">
        <v>1452</v>
      </c>
      <c r="B187" t="s">
        <v>1453</v>
      </c>
      <c r="C187">
        <v>1</v>
      </c>
      <c r="D187" t="s">
        <v>142</v>
      </c>
      <c r="E187" t="s">
        <v>1454</v>
      </c>
      <c r="F187">
        <v>1</v>
      </c>
      <c r="G187">
        <v>186</v>
      </c>
      <c r="I187" t="s">
        <v>963</v>
      </c>
      <c r="J187" t="s">
        <v>964</v>
      </c>
      <c r="K187" t="s">
        <v>270</v>
      </c>
      <c r="L187" t="s">
        <v>965</v>
      </c>
      <c r="M187">
        <v>10471</v>
      </c>
      <c r="N187">
        <v>2</v>
      </c>
      <c r="O187" t="s">
        <v>1854</v>
      </c>
      <c r="P187">
        <v>2</v>
      </c>
    </row>
    <row r="188" spans="1:16">
      <c r="A188" t="s">
        <v>1452</v>
      </c>
      <c r="B188" t="s">
        <v>1453</v>
      </c>
      <c r="C188">
        <v>1</v>
      </c>
      <c r="D188" t="s">
        <v>142</v>
      </c>
      <c r="E188" t="s">
        <v>1454</v>
      </c>
      <c r="F188">
        <v>1</v>
      </c>
      <c r="G188">
        <v>187</v>
      </c>
      <c r="I188" t="s">
        <v>979</v>
      </c>
      <c r="J188" t="s">
        <v>980</v>
      </c>
      <c r="K188" t="s">
        <v>48</v>
      </c>
      <c r="L188" t="s">
        <v>981</v>
      </c>
      <c r="M188">
        <v>15192</v>
      </c>
      <c r="N188">
        <v>1</v>
      </c>
      <c r="O188" t="s">
        <v>1855</v>
      </c>
      <c r="P188">
        <v>1</v>
      </c>
    </row>
    <row r="189" spans="1:16">
      <c r="A189" t="s">
        <v>1452</v>
      </c>
      <c r="B189" t="s">
        <v>1453</v>
      </c>
      <c r="C189">
        <v>1</v>
      </c>
      <c r="D189" t="s">
        <v>142</v>
      </c>
      <c r="E189" t="s">
        <v>1454</v>
      </c>
      <c r="F189">
        <v>1</v>
      </c>
      <c r="G189">
        <v>188</v>
      </c>
      <c r="I189" t="s">
        <v>975</v>
      </c>
      <c r="J189" t="s">
        <v>976</v>
      </c>
      <c r="K189" t="s">
        <v>48</v>
      </c>
      <c r="L189" t="s">
        <v>977</v>
      </c>
      <c r="M189">
        <v>15557</v>
      </c>
      <c r="N189">
        <v>1</v>
      </c>
      <c r="O189" t="s">
        <v>1856</v>
      </c>
      <c r="P189">
        <v>1</v>
      </c>
    </row>
    <row r="190" spans="1:16">
      <c r="A190" t="s">
        <v>1452</v>
      </c>
      <c r="B190" t="s">
        <v>1453</v>
      </c>
      <c r="C190">
        <v>1</v>
      </c>
      <c r="D190" t="s">
        <v>142</v>
      </c>
      <c r="E190" t="s">
        <v>1454</v>
      </c>
      <c r="F190">
        <v>1</v>
      </c>
      <c r="G190">
        <v>189</v>
      </c>
      <c r="I190" t="s">
        <v>971</v>
      </c>
      <c r="J190" t="s">
        <v>972</v>
      </c>
      <c r="K190" t="s">
        <v>48</v>
      </c>
      <c r="L190" t="s">
        <v>973</v>
      </c>
      <c r="M190">
        <v>15156</v>
      </c>
      <c r="N190">
        <v>1</v>
      </c>
      <c r="O190" t="s">
        <v>1857</v>
      </c>
      <c r="P190">
        <v>1</v>
      </c>
    </row>
    <row r="191" spans="1:16">
      <c r="A191" t="s">
        <v>1452</v>
      </c>
      <c r="B191" t="s">
        <v>1453</v>
      </c>
      <c r="C191">
        <v>1</v>
      </c>
      <c r="D191" t="s">
        <v>142</v>
      </c>
      <c r="E191" t="s">
        <v>1454</v>
      </c>
      <c r="F191">
        <v>1</v>
      </c>
      <c r="G191">
        <v>190</v>
      </c>
      <c r="I191" t="s">
        <v>967</v>
      </c>
      <c r="J191" t="s">
        <v>968</v>
      </c>
      <c r="K191" t="s">
        <v>48</v>
      </c>
      <c r="L191" t="s">
        <v>969</v>
      </c>
      <c r="M191">
        <v>14869</v>
      </c>
      <c r="N191">
        <v>1</v>
      </c>
      <c r="O191" t="s">
        <v>1858</v>
      </c>
      <c r="P191">
        <v>1</v>
      </c>
    </row>
    <row r="192" spans="1:16">
      <c r="A192" t="s">
        <v>1452</v>
      </c>
      <c r="B192" t="s">
        <v>1453</v>
      </c>
      <c r="C192">
        <v>1</v>
      </c>
      <c r="D192" t="s">
        <v>142</v>
      </c>
      <c r="E192" t="s">
        <v>1454</v>
      </c>
      <c r="F192">
        <v>1</v>
      </c>
      <c r="G192">
        <v>191</v>
      </c>
      <c r="I192" t="s">
        <v>1859</v>
      </c>
      <c r="J192" t="s">
        <v>1860</v>
      </c>
      <c r="K192" t="s">
        <v>48</v>
      </c>
      <c r="L192" t="s">
        <v>1861</v>
      </c>
      <c r="M192">
        <v>14795</v>
      </c>
      <c r="N192">
        <v>1</v>
      </c>
      <c r="O192" t="s">
        <v>1862</v>
      </c>
      <c r="P192">
        <v>1</v>
      </c>
    </row>
    <row r="193" spans="1:16">
      <c r="A193" t="s">
        <v>1452</v>
      </c>
      <c r="B193" t="s">
        <v>1453</v>
      </c>
      <c r="C193">
        <v>1</v>
      </c>
      <c r="D193" t="s">
        <v>142</v>
      </c>
      <c r="E193" t="s">
        <v>1454</v>
      </c>
      <c r="F193">
        <v>1</v>
      </c>
      <c r="G193">
        <v>192</v>
      </c>
      <c r="I193" t="s">
        <v>1863</v>
      </c>
      <c r="J193" t="s">
        <v>1864</v>
      </c>
      <c r="K193" t="s">
        <v>48</v>
      </c>
      <c r="L193" t="s">
        <v>1865</v>
      </c>
      <c r="M193">
        <v>39749</v>
      </c>
      <c r="N193">
        <v>1</v>
      </c>
      <c r="O193" t="s">
        <v>1866</v>
      </c>
      <c r="P193">
        <v>1</v>
      </c>
    </row>
    <row r="194" spans="1:16">
      <c r="A194" t="s">
        <v>1452</v>
      </c>
      <c r="B194" t="s">
        <v>1453</v>
      </c>
      <c r="C194">
        <v>1</v>
      </c>
      <c r="D194" t="s">
        <v>142</v>
      </c>
      <c r="E194" t="s">
        <v>1454</v>
      </c>
      <c r="F194">
        <v>1</v>
      </c>
      <c r="G194">
        <v>193</v>
      </c>
      <c r="I194" t="s">
        <v>1867</v>
      </c>
      <c r="J194" t="s">
        <v>1868</v>
      </c>
      <c r="K194" t="s">
        <v>48</v>
      </c>
      <c r="L194" t="s">
        <v>1869</v>
      </c>
      <c r="M194">
        <v>15178</v>
      </c>
      <c r="N194">
        <v>1</v>
      </c>
      <c r="O194" t="s">
        <v>1870</v>
      </c>
      <c r="P194">
        <v>1</v>
      </c>
    </row>
    <row r="195" spans="1:16">
      <c r="A195" t="s">
        <v>1452</v>
      </c>
      <c r="B195" t="s">
        <v>1453</v>
      </c>
      <c r="C195">
        <v>1</v>
      </c>
      <c r="D195" t="s">
        <v>142</v>
      </c>
      <c r="E195" t="s">
        <v>1454</v>
      </c>
      <c r="F195">
        <v>1</v>
      </c>
      <c r="G195">
        <v>194</v>
      </c>
      <c r="I195" t="s">
        <v>1871</v>
      </c>
      <c r="J195" t="s">
        <v>1872</v>
      </c>
      <c r="K195" t="s">
        <v>48</v>
      </c>
      <c r="L195" t="s">
        <v>1873</v>
      </c>
      <c r="M195">
        <v>12566</v>
      </c>
      <c r="N195">
        <v>1</v>
      </c>
      <c r="O195" t="s">
        <v>1874</v>
      </c>
      <c r="P195">
        <v>1</v>
      </c>
    </row>
    <row r="196" spans="1:16">
      <c r="A196" t="s">
        <v>1452</v>
      </c>
      <c r="B196" t="s">
        <v>1453</v>
      </c>
      <c r="C196">
        <v>1</v>
      </c>
      <c r="D196" t="s">
        <v>142</v>
      </c>
      <c r="E196" t="s">
        <v>1454</v>
      </c>
      <c r="F196">
        <v>1</v>
      </c>
      <c r="G196">
        <v>195</v>
      </c>
      <c r="I196" t="s">
        <v>1875</v>
      </c>
      <c r="J196" t="s">
        <v>1876</v>
      </c>
      <c r="K196" t="s">
        <v>48</v>
      </c>
      <c r="L196" t="s">
        <v>1877</v>
      </c>
      <c r="M196">
        <v>12764</v>
      </c>
      <c r="N196">
        <v>1</v>
      </c>
      <c r="O196" t="s">
        <v>1878</v>
      </c>
      <c r="P196">
        <v>1</v>
      </c>
    </row>
    <row r="197" spans="1:16">
      <c r="A197" t="s">
        <v>1452</v>
      </c>
      <c r="B197" t="s">
        <v>1453</v>
      </c>
      <c r="C197">
        <v>1</v>
      </c>
      <c r="D197" t="s">
        <v>142</v>
      </c>
      <c r="E197" t="s">
        <v>1454</v>
      </c>
      <c r="F197">
        <v>1</v>
      </c>
      <c r="G197">
        <v>196</v>
      </c>
      <c r="I197" t="s">
        <v>1879</v>
      </c>
      <c r="J197" t="s">
        <v>1880</v>
      </c>
      <c r="K197" t="s">
        <v>48</v>
      </c>
      <c r="L197" t="s">
        <v>1881</v>
      </c>
      <c r="M197">
        <v>15513</v>
      </c>
      <c r="N197">
        <v>1</v>
      </c>
      <c r="O197" t="s">
        <v>1882</v>
      </c>
      <c r="P197">
        <v>1</v>
      </c>
    </row>
    <row r="198" spans="1:16">
      <c r="A198" t="s">
        <v>1452</v>
      </c>
      <c r="B198" t="s">
        <v>1453</v>
      </c>
      <c r="C198">
        <v>1</v>
      </c>
      <c r="D198" t="s">
        <v>142</v>
      </c>
      <c r="E198" t="s">
        <v>1454</v>
      </c>
      <c r="F198">
        <v>1</v>
      </c>
      <c r="G198">
        <v>197</v>
      </c>
      <c r="I198" t="s">
        <v>1883</v>
      </c>
      <c r="J198" t="s">
        <v>1884</v>
      </c>
      <c r="K198" t="s">
        <v>48</v>
      </c>
      <c r="L198" t="s">
        <v>1885</v>
      </c>
      <c r="M198">
        <v>14929</v>
      </c>
      <c r="N198">
        <v>1</v>
      </c>
      <c r="O198" t="s">
        <v>1886</v>
      </c>
      <c r="P198">
        <v>1</v>
      </c>
    </row>
    <row r="199" spans="1:16">
      <c r="A199" t="s">
        <v>1452</v>
      </c>
      <c r="B199" t="s">
        <v>1453</v>
      </c>
      <c r="C199">
        <v>1</v>
      </c>
      <c r="D199" t="s">
        <v>142</v>
      </c>
      <c r="E199" t="s">
        <v>1454</v>
      </c>
      <c r="F199">
        <v>1</v>
      </c>
      <c r="G199">
        <v>198</v>
      </c>
      <c r="I199" t="s">
        <v>1887</v>
      </c>
      <c r="J199" t="s">
        <v>1888</v>
      </c>
      <c r="K199" t="s">
        <v>48</v>
      </c>
      <c r="L199" t="s">
        <v>1889</v>
      </c>
      <c r="M199">
        <v>15465</v>
      </c>
      <c r="N199">
        <v>1</v>
      </c>
      <c r="O199" t="s">
        <v>1890</v>
      </c>
      <c r="P199">
        <v>1</v>
      </c>
    </row>
    <row r="200" spans="1:16">
      <c r="A200" t="s">
        <v>1452</v>
      </c>
      <c r="B200" t="s">
        <v>1453</v>
      </c>
      <c r="C200">
        <v>1</v>
      </c>
      <c r="D200" t="s">
        <v>142</v>
      </c>
      <c r="E200" t="s">
        <v>1454</v>
      </c>
      <c r="F200">
        <v>1</v>
      </c>
      <c r="G200">
        <v>199</v>
      </c>
      <c r="I200" t="s">
        <v>1891</v>
      </c>
      <c r="J200" t="s">
        <v>1892</v>
      </c>
      <c r="K200" t="s">
        <v>48</v>
      </c>
      <c r="L200" t="s">
        <v>1893</v>
      </c>
      <c r="M200">
        <v>14847</v>
      </c>
      <c r="N200">
        <v>4</v>
      </c>
      <c r="O200" t="s">
        <v>1894</v>
      </c>
      <c r="P200">
        <v>4</v>
      </c>
    </row>
    <row r="201" spans="1:16">
      <c r="A201" t="s">
        <v>1452</v>
      </c>
      <c r="B201" t="s">
        <v>1453</v>
      </c>
      <c r="C201">
        <v>1</v>
      </c>
      <c r="D201" t="s">
        <v>142</v>
      </c>
      <c r="E201" t="s">
        <v>1454</v>
      </c>
      <c r="F201">
        <v>1</v>
      </c>
      <c r="G201">
        <v>200</v>
      </c>
      <c r="I201" t="s">
        <v>1895</v>
      </c>
      <c r="J201" t="s">
        <v>1896</v>
      </c>
      <c r="K201" t="s">
        <v>48</v>
      </c>
      <c r="L201" t="s">
        <v>1897</v>
      </c>
      <c r="M201">
        <v>15523</v>
      </c>
      <c r="N201">
        <v>1</v>
      </c>
      <c r="O201" t="s">
        <v>1898</v>
      </c>
      <c r="P201">
        <v>1</v>
      </c>
    </row>
    <row r="202" spans="1:16">
      <c r="A202" t="s">
        <v>1452</v>
      </c>
      <c r="B202" t="s">
        <v>1453</v>
      </c>
      <c r="C202">
        <v>1</v>
      </c>
      <c r="D202" t="s">
        <v>142</v>
      </c>
      <c r="E202" t="s">
        <v>1454</v>
      </c>
      <c r="F202">
        <v>1</v>
      </c>
      <c r="G202">
        <v>201</v>
      </c>
      <c r="I202" t="s">
        <v>1899</v>
      </c>
      <c r="J202" t="s">
        <v>1900</v>
      </c>
      <c r="K202" t="s">
        <v>48</v>
      </c>
      <c r="L202" t="s">
        <v>1901</v>
      </c>
      <c r="M202">
        <v>14928</v>
      </c>
      <c r="N202">
        <v>1</v>
      </c>
      <c r="O202" t="s">
        <v>1902</v>
      </c>
      <c r="P202">
        <v>1</v>
      </c>
    </row>
    <row r="203" spans="1:16">
      <c r="A203" t="s">
        <v>1452</v>
      </c>
      <c r="B203" t="s">
        <v>1453</v>
      </c>
      <c r="C203">
        <v>1</v>
      </c>
      <c r="D203" t="s">
        <v>142</v>
      </c>
      <c r="E203" t="s">
        <v>1454</v>
      </c>
      <c r="F203">
        <v>1</v>
      </c>
      <c r="G203">
        <v>202</v>
      </c>
      <c r="I203" t="s">
        <v>1903</v>
      </c>
      <c r="J203" t="s">
        <v>1904</v>
      </c>
      <c r="K203" t="s">
        <v>48</v>
      </c>
      <c r="L203" t="s">
        <v>1905</v>
      </c>
      <c r="M203">
        <v>39844</v>
      </c>
      <c r="N203">
        <v>1</v>
      </c>
      <c r="O203" t="s">
        <v>1906</v>
      </c>
      <c r="P203">
        <v>1</v>
      </c>
    </row>
    <row r="204" spans="1:16">
      <c r="A204" t="s">
        <v>1452</v>
      </c>
      <c r="B204" t="s">
        <v>1453</v>
      </c>
      <c r="C204">
        <v>1</v>
      </c>
      <c r="D204" t="s">
        <v>142</v>
      </c>
      <c r="E204" t="s">
        <v>1454</v>
      </c>
      <c r="F204">
        <v>1</v>
      </c>
      <c r="G204">
        <v>203</v>
      </c>
      <c r="I204" t="s">
        <v>1907</v>
      </c>
      <c r="J204" t="s">
        <v>1908</v>
      </c>
      <c r="K204" t="s">
        <v>48</v>
      </c>
      <c r="L204" t="s">
        <v>1909</v>
      </c>
      <c r="M204">
        <v>14835</v>
      </c>
      <c r="N204">
        <v>1</v>
      </c>
      <c r="O204" t="s">
        <v>1910</v>
      </c>
      <c r="P204">
        <v>1</v>
      </c>
    </row>
    <row r="205" spans="1:16">
      <c r="A205" t="s">
        <v>1452</v>
      </c>
      <c r="B205" t="s">
        <v>1453</v>
      </c>
      <c r="C205">
        <v>1</v>
      </c>
      <c r="D205" t="s">
        <v>142</v>
      </c>
      <c r="E205" t="s">
        <v>1454</v>
      </c>
      <c r="F205">
        <v>1</v>
      </c>
      <c r="G205">
        <v>204</v>
      </c>
      <c r="I205" t="s">
        <v>864</v>
      </c>
      <c r="J205" t="s">
        <v>865</v>
      </c>
      <c r="K205" t="s">
        <v>48</v>
      </c>
      <c r="L205" t="s">
        <v>866</v>
      </c>
      <c r="M205">
        <v>12711</v>
      </c>
      <c r="N205">
        <v>1</v>
      </c>
      <c r="O205" t="s">
        <v>1911</v>
      </c>
      <c r="P205">
        <v>1</v>
      </c>
    </row>
    <row r="206" spans="1:16">
      <c r="A206" t="s">
        <v>1452</v>
      </c>
      <c r="B206" t="s">
        <v>1453</v>
      </c>
      <c r="C206">
        <v>1</v>
      </c>
      <c r="D206" t="s">
        <v>142</v>
      </c>
      <c r="E206" t="s">
        <v>1454</v>
      </c>
      <c r="F206">
        <v>1</v>
      </c>
      <c r="G206">
        <v>205</v>
      </c>
      <c r="I206" t="s">
        <v>1912</v>
      </c>
      <c r="J206" t="s">
        <v>1913</v>
      </c>
      <c r="K206" t="s">
        <v>48</v>
      </c>
      <c r="L206" t="s">
        <v>1914</v>
      </c>
      <c r="M206">
        <v>12851</v>
      </c>
      <c r="N206">
        <v>1</v>
      </c>
      <c r="O206" t="s">
        <v>1915</v>
      </c>
      <c r="P206">
        <v>1</v>
      </c>
    </row>
    <row r="207" spans="1:16">
      <c r="A207" t="s">
        <v>1452</v>
      </c>
      <c r="B207" t="s">
        <v>1453</v>
      </c>
      <c r="C207">
        <v>1</v>
      </c>
      <c r="D207" t="s">
        <v>142</v>
      </c>
      <c r="E207" t="s">
        <v>1454</v>
      </c>
      <c r="F207">
        <v>1</v>
      </c>
      <c r="G207">
        <v>206</v>
      </c>
      <c r="I207" t="s">
        <v>1025</v>
      </c>
      <c r="J207" t="s">
        <v>1026</v>
      </c>
      <c r="K207" t="s">
        <v>1916</v>
      </c>
      <c r="L207" t="s">
        <v>1028</v>
      </c>
      <c r="M207">
        <v>33790</v>
      </c>
      <c r="N207">
        <v>6</v>
      </c>
      <c r="O207" t="s">
        <v>1917</v>
      </c>
      <c r="P207">
        <v>6</v>
      </c>
    </row>
    <row r="208" spans="1:16">
      <c r="A208" t="s">
        <v>1452</v>
      </c>
      <c r="B208" t="s">
        <v>1453</v>
      </c>
      <c r="C208">
        <v>1</v>
      </c>
      <c r="D208" t="s">
        <v>142</v>
      </c>
      <c r="E208" t="s">
        <v>1454</v>
      </c>
      <c r="F208">
        <v>1</v>
      </c>
      <c r="G208">
        <v>207</v>
      </c>
      <c r="I208" t="s">
        <v>1034</v>
      </c>
      <c r="J208" t="s">
        <v>1035</v>
      </c>
      <c r="K208" t="s">
        <v>499</v>
      </c>
      <c r="L208" t="s">
        <v>1036</v>
      </c>
      <c r="M208">
        <v>33832</v>
      </c>
      <c r="N208">
        <v>4</v>
      </c>
      <c r="O208" t="s">
        <v>1918</v>
      </c>
      <c r="P208">
        <v>4</v>
      </c>
    </row>
    <row r="209" spans="1:16">
      <c r="A209" t="s">
        <v>1452</v>
      </c>
      <c r="B209" t="s">
        <v>1453</v>
      </c>
      <c r="C209">
        <v>1</v>
      </c>
      <c r="D209" t="s">
        <v>142</v>
      </c>
      <c r="E209" t="s">
        <v>1454</v>
      </c>
      <c r="F209">
        <v>1</v>
      </c>
      <c r="G209">
        <v>208</v>
      </c>
      <c r="I209" t="s">
        <v>1919</v>
      </c>
      <c r="J209" t="s">
        <v>1920</v>
      </c>
      <c r="K209" t="s">
        <v>392</v>
      </c>
      <c r="L209" t="s">
        <v>1921</v>
      </c>
      <c r="M209">
        <v>2578</v>
      </c>
      <c r="N209">
        <v>1</v>
      </c>
      <c r="O209" t="s">
        <v>502</v>
      </c>
      <c r="P209">
        <v>1</v>
      </c>
    </row>
    <row r="210" spans="1:16">
      <c r="A210" t="s">
        <v>1452</v>
      </c>
      <c r="B210" t="s">
        <v>1453</v>
      </c>
      <c r="C210">
        <v>1</v>
      </c>
      <c r="D210" t="s">
        <v>142</v>
      </c>
      <c r="E210" t="s">
        <v>1454</v>
      </c>
      <c r="F210">
        <v>1</v>
      </c>
      <c r="G210">
        <v>209</v>
      </c>
      <c r="I210" t="s">
        <v>110</v>
      </c>
      <c r="J210" t="s">
        <v>111</v>
      </c>
      <c r="K210" t="s">
        <v>108</v>
      </c>
      <c r="L210" t="s">
        <v>112</v>
      </c>
      <c r="M210">
        <v>5636</v>
      </c>
      <c r="N210">
        <v>11</v>
      </c>
      <c r="O210" t="s">
        <v>1922</v>
      </c>
      <c r="P210">
        <v>11</v>
      </c>
    </row>
    <row r="211" spans="1:16">
      <c r="A211" t="s">
        <v>1452</v>
      </c>
      <c r="B211" t="s">
        <v>1453</v>
      </c>
      <c r="C211">
        <v>1</v>
      </c>
      <c r="D211" t="s">
        <v>142</v>
      </c>
      <c r="E211" t="s">
        <v>1454</v>
      </c>
      <c r="F211">
        <v>1</v>
      </c>
      <c r="G211">
        <v>210</v>
      </c>
      <c r="I211" t="s">
        <v>506</v>
      </c>
      <c r="J211" t="s">
        <v>507</v>
      </c>
      <c r="K211" t="s">
        <v>324</v>
      </c>
      <c r="L211" t="s">
        <v>508</v>
      </c>
      <c r="M211">
        <v>42495</v>
      </c>
      <c r="N211">
        <v>8</v>
      </c>
      <c r="O211" t="s">
        <v>1923</v>
      </c>
      <c r="P211">
        <v>8</v>
      </c>
    </row>
    <row r="212" spans="1:16">
      <c r="A212" t="s">
        <v>1452</v>
      </c>
      <c r="B212" t="s">
        <v>1453</v>
      </c>
      <c r="C212">
        <v>1</v>
      </c>
      <c r="D212" t="s">
        <v>142</v>
      </c>
      <c r="E212" t="s">
        <v>1454</v>
      </c>
      <c r="F212">
        <v>1</v>
      </c>
      <c r="G212">
        <v>211</v>
      </c>
      <c r="I212" t="s">
        <v>1924</v>
      </c>
      <c r="J212" t="s">
        <v>1925</v>
      </c>
      <c r="K212" t="s">
        <v>324</v>
      </c>
      <c r="L212" t="s">
        <v>1926</v>
      </c>
      <c r="M212">
        <v>42329</v>
      </c>
      <c r="N212">
        <v>4</v>
      </c>
      <c r="O212" t="s">
        <v>1927</v>
      </c>
      <c r="P212">
        <v>4</v>
      </c>
    </row>
    <row r="213" spans="1:16">
      <c r="A213" t="s">
        <v>1452</v>
      </c>
      <c r="B213" t="s">
        <v>1453</v>
      </c>
      <c r="C213">
        <v>1</v>
      </c>
      <c r="D213" t="s">
        <v>142</v>
      </c>
      <c r="E213" t="s">
        <v>1454</v>
      </c>
      <c r="F213">
        <v>1</v>
      </c>
      <c r="G213">
        <v>212</v>
      </c>
      <c r="I213" t="s">
        <v>503</v>
      </c>
      <c r="J213" t="s">
        <v>504</v>
      </c>
      <c r="K213" t="s">
        <v>126</v>
      </c>
      <c r="L213" t="s">
        <v>505</v>
      </c>
      <c r="M213">
        <v>33791</v>
      </c>
      <c r="N213">
        <v>16</v>
      </c>
      <c r="O213" t="s">
        <v>1928</v>
      </c>
      <c r="P213">
        <v>16</v>
      </c>
    </row>
    <row r="214" spans="1:16">
      <c r="A214" t="s">
        <v>1452</v>
      </c>
      <c r="B214" t="s">
        <v>1453</v>
      </c>
      <c r="C214">
        <v>1</v>
      </c>
      <c r="D214" t="s">
        <v>142</v>
      </c>
      <c r="E214" t="s">
        <v>1454</v>
      </c>
      <c r="F214">
        <v>1</v>
      </c>
      <c r="G214">
        <v>213</v>
      </c>
      <c r="I214" t="s">
        <v>124</v>
      </c>
      <c r="J214" t="s">
        <v>125</v>
      </c>
      <c r="K214" t="s">
        <v>126</v>
      </c>
      <c r="L214" t="s">
        <v>127</v>
      </c>
      <c r="M214">
        <v>33785</v>
      </c>
      <c r="N214">
        <v>4</v>
      </c>
      <c r="O214" t="s">
        <v>1929</v>
      </c>
      <c r="P214">
        <v>4</v>
      </c>
    </row>
    <row r="215" spans="1:16">
      <c r="A215" t="s">
        <v>1452</v>
      </c>
      <c r="B215" t="s">
        <v>1453</v>
      </c>
      <c r="C215">
        <v>1</v>
      </c>
      <c r="D215" t="s">
        <v>142</v>
      </c>
      <c r="E215" t="s">
        <v>1454</v>
      </c>
      <c r="F215">
        <v>1</v>
      </c>
      <c r="G215">
        <v>214</v>
      </c>
      <c r="I215" t="s">
        <v>116</v>
      </c>
      <c r="J215" t="s">
        <v>117</v>
      </c>
      <c r="K215" t="s">
        <v>118</v>
      </c>
      <c r="L215" t="s">
        <v>119</v>
      </c>
      <c r="M215">
        <v>33782</v>
      </c>
      <c r="N215">
        <v>2</v>
      </c>
      <c r="O215" t="s">
        <v>1930</v>
      </c>
      <c r="P215">
        <v>2</v>
      </c>
    </row>
    <row r="216" spans="1:16">
      <c r="A216" t="s">
        <v>1452</v>
      </c>
      <c r="B216" t="s">
        <v>1453</v>
      </c>
      <c r="C216">
        <v>1</v>
      </c>
      <c r="D216" t="s">
        <v>142</v>
      </c>
      <c r="E216" t="s">
        <v>1454</v>
      </c>
      <c r="F216">
        <v>1</v>
      </c>
      <c r="G216">
        <v>215</v>
      </c>
      <c r="I216" t="s">
        <v>1931</v>
      </c>
      <c r="J216" t="s">
        <v>1932</v>
      </c>
      <c r="K216" t="s">
        <v>324</v>
      </c>
      <c r="L216" t="s">
        <v>1933</v>
      </c>
      <c r="M216">
        <v>42319</v>
      </c>
      <c r="N216">
        <v>5</v>
      </c>
      <c r="O216" t="s">
        <v>1934</v>
      </c>
      <c r="P216">
        <v>5</v>
      </c>
    </row>
    <row r="217" spans="1:16">
      <c r="A217" t="s">
        <v>1452</v>
      </c>
      <c r="B217" t="s">
        <v>1453</v>
      </c>
      <c r="C217">
        <v>1</v>
      </c>
      <c r="D217" t="s">
        <v>142</v>
      </c>
      <c r="E217" t="s">
        <v>1454</v>
      </c>
      <c r="F217">
        <v>1</v>
      </c>
      <c r="G217">
        <v>216</v>
      </c>
      <c r="I217" t="s">
        <v>1935</v>
      </c>
      <c r="J217" t="s">
        <v>1936</v>
      </c>
      <c r="K217" t="s">
        <v>1162</v>
      </c>
      <c r="L217" t="s">
        <v>1937</v>
      </c>
      <c r="M217">
        <v>33888</v>
      </c>
      <c r="N217">
        <v>3</v>
      </c>
      <c r="O217" t="s">
        <v>1938</v>
      </c>
      <c r="P217">
        <v>3</v>
      </c>
    </row>
    <row r="218" spans="1:16">
      <c r="A218" t="s">
        <v>1452</v>
      </c>
      <c r="B218" t="s">
        <v>1453</v>
      </c>
      <c r="C218">
        <v>1</v>
      </c>
      <c r="D218" t="s">
        <v>142</v>
      </c>
      <c r="E218" t="s">
        <v>1454</v>
      </c>
      <c r="F218">
        <v>1</v>
      </c>
      <c r="G218">
        <v>217</v>
      </c>
      <c r="I218" t="s">
        <v>1939</v>
      </c>
      <c r="J218" t="s">
        <v>1940</v>
      </c>
      <c r="K218" t="s">
        <v>216</v>
      </c>
      <c r="L218" t="s">
        <v>1941</v>
      </c>
      <c r="M218">
        <v>33889</v>
      </c>
      <c r="N218">
        <v>1</v>
      </c>
      <c r="O218" t="s">
        <v>1942</v>
      </c>
      <c r="P218">
        <v>1</v>
      </c>
    </row>
    <row r="219" spans="1:16">
      <c r="A219" t="s">
        <v>1452</v>
      </c>
      <c r="B219" t="s">
        <v>1453</v>
      </c>
      <c r="C219">
        <v>1</v>
      </c>
      <c r="D219" t="s">
        <v>142</v>
      </c>
      <c r="E219" t="s">
        <v>1454</v>
      </c>
      <c r="F219">
        <v>1</v>
      </c>
      <c r="G219">
        <v>218</v>
      </c>
      <c r="I219" t="s">
        <v>120</v>
      </c>
      <c r="J219" t="s">
        <v>121</v>
      </c>
      <c r="K219" t="s">
        <v>122</v>
      </c>
      <c r="L219" t="s">
        <v>123</v>
      </c>
      <c r="M219">
        <v>10350</v>
      </c>
      <c r="N219">
        <v>10</v>
      </c>
      <c r="O219" t="s">
        <v>1943</v>
      </c>
      <c r="P219">
        <v>10</v>
      </c>
    </row>
    <row r="220" spans="1:16">
      <c r="A220" t="s">
        <v>1452</v>
      </c>
      <c r="B220" t="s">
        <v>1453</v>
      </c>
      <c r="C220">
        <v>1</v>
      </c>
      <c r="D220" t="s">
        <v>142</v>
      </c>
      <c r="E220" t="s">
        <v>1454</v>
      </c>
      <c r="F220">
        <v>1</v>
      </c>
      <c r="G220">
        <v>219</v>
      </c>
      <c r="I220" t="s">
        <v>1944</v>
      </c>
      <c r="J220" t="s">
        <v>1945</v>
      </c>
      <c r="K220" t="s">
        <v>122</v>
      </c>
      <c r="L220" t="s">
        <v>1946</v>
      </c>
      <c r="M220">
        <v>33830</v>
      </c>
      <c r="N220">
        <v>4</v>
      </c>
      <c r="O220" t="s">
        <v>1947</v>
      </c>
      <c r="P220">
        <v>4</v>
      </c>
    </row>
    <row r="221" spans="1:16">
      <c r="A221" t="s">
        <v>1452</v>
      </c>
      <c r="B221" t="s">
        <v>1453</v>
      </c>
      <c r="C221">
        <v>1</v>
      </c>
      <c r="D221" t="s">
        <v>142</v>
      </c>
      <c r="E221" t="s">
        <v>1454</v>
      </c>
      <c r="F221">
        <v>1</v>
      </c>
      <c r="G221">
        <v>220</v>
      </c>
      <c r="I221" t="s">
        <v>1948</v>
      </c>
      <c r="J221" t="s">
        <v>1949</v>
      </c>
      <c r="K221" t="s">
        <v>1950</v>
      </c>
      <c r="L221" t="s">
        <v>1951</v>
      </c>
      <c r="M221">
        <v>42407</v>
      </c>
      <c r="N221">
        <v>3</v>
      </c>
      <c r="O221" t="s">
        <v>1952</v>
      </c>
      <c r="P221">
        <v>3</v>
      </c>
    </row>
    <row r="222" spans="1:16">
      <c r="A222" t="s">
        <v>1452</v>
      </c>
      <c r="B222" t="s">
        <v>1453</v>
      </c>
      <c r="C222">
        <v>1</v>
      </c>
      <c r="D222" t="s">
        <v>142</v>
      </c>
      <c r="E222" t="s">
        <v>1454</v>
      </c>
      <c r="F222">
        <v>1</v>
      </c>
      <c r="G222">
        <v>221</v>
      </c>
      <c r="I222" t="s">
        <v>1043</v>
      </c>
      <c r="J222" t="s">
        <v>1044</v>
      </c>
      <c r="K222" t="s">
        <v>122</v>
      </c>
      <c r="L222" t="s">
        <v>1045</v>
      </c>
      <c r="M222">
        <v>10351</v>
      </c>
      <c r="N222">
        <v>8</v>
      </c>
      <c r="O222" t="s">
        <v>1953</v>
      </c>
      <c r="P222">
        <v>8</v>
      </c>
    </row>
    <row r="223" spans="1:16">
      <c r="A223" t="s">
        <v>1452</v>
      </c>
      <c r="B223" t="s">
        <v>1453</v>
      </c>
      <c r="C223">
        <v>1</v>
      </c>
      <c r="D223" t="s">
        <v>142</v>
      </c>
      <c r="E223" t="s">
        <v>1454</v>
      </c>
      <c r="F223">
        <v>1</v>
      </c>
      <c r="G223">
        <v>222</v>
      </c>
      <c r="I223" t="s">
        <v>1954</v>
      </c>
      <c r="J223" t="s">
        <v>1955</v>
      </c>
      <c r="K223" t="s">
        <v>1950</v>
      </c>
      <c r="L223" t="s">
        <v>1956</v>
      </c>
      <c r="M223">
        <v>33870</v>
      </c>
      <c r="N223">
        <v>1</v>
      </c>
      <c r="O223" t="s">
        <v>1957</v>
      </c>
      <c r="P223">
        <v>1</v>
      </c>
    </row>
    <row r="224" spans="1:16">
      <c r="A224" t="s">
        <v>1452</v>
      </c>
      <c r="B224" t="s">
        <v>1453</v>
      </c>
      <c r="C224">
        <v>1</v>
      </c>
      <c r="D224" t="s">
        <v>142</v>
      </c>
      <c r="E224" t="s">
        <v>1454</v>
      </c>
      <c r="F224">
        <v>1</v>
      </c>
      <c r="G224">
        <v>223</v>
      </c>
      <c r="I224" t="s">
        <v>1060</v>
      </c>
      <c r="J224" t="s">
        <v>1061</v>
      </c>
      <c r="K224" t="s">
        <v>1950</v>
      </c>
      <c r="L224" t="s">
        <v>1062</v>
      </c>
      <c r="M224">
        <v>10476</v>
      </c>
      <c r="N224">
        <v>2</v>
      </c>
      <c r="O224" t="s">
        <v>1958</v>
      </c>
      <c r="P224">
        <v>2</v>
      </c>
    </row>
    <row r="225" spans="1:16">
      <c r="A225" t="s">
        <v>1452</v>
      </c>
      <c r="B225" t="s">
        <v>1453</v>
      </c>
      <c r="C225">
        <v>1</v>
      </c>
      <c r="D225" t="s">
        <v>142</v>
      </c>
      <c r="E225" t="s">
        <v>1454</v>
      </c>
      <c r="F225">
        <v>1</v>
      </c>
      <c r="G225">
        <v>224</v>
      </c>
      <c r="I225" t="s">
        <v>1038</v>
      </c>
      <c r="J225" t="s">
        <v>1039</v>
      </c>
      <c r="K225" t="s">
        <v>1959</v>
      </c>
      <c r="L225" t="s">
        <v>1041</v>
      </c>
      <c r="M225">
        <v>10387</v>
      </c>
      <c r="N225">
        <v>14</v>
      </c>
      <c r="O225" t="s">
        <v>1960</v>
      </c>
      <c r="P225">
        <v>14</v>
      </c>
    </row>
    <row r="226" spans="1:16">
      <c r="A226" t="s">
        <v>1452</v>
      </c>
      <c r="B226" t="s">
        <v>1453</v>
      </c>
      <c r="C226">
        <v>1</v>
      </c>
      <c r="D226" t="s">
        <v>142</v>
      </c>
      <c r="E226" t="s">
        <v>1454</v>
      </c>
      <c r="F226">
        <v>1</v>
      </c>
      <c r="G226">
        <v>225</v>
      </c>
      <c r="I226" t="s">
        <v>1961</v>
      </c>
      <c r="J226" t="s">
        <v>1962</v>
      </c>
      <c r="K226" t="s">
        <v>1950</v>
      </c>
      <c r="L226" t="s">
        <v>1963</v>
      </c>
      <c r="M226">
        <v>33824</v>
      </c>
      <c r="N226">
        <v>1</v>
      </c>
      <c r="O226" t="s">
        <v>1964</v>
      </c>
      <c r="P226">
        <v>1</v>
      </c>
    </row>
    <row r="227" spans="1:16">
      <c r="A227" t="s">
        <v>1452</v>
      </c>
      <c r="B227" t="s">
        <v>1453</v>
      </c>
      <c r="C227">
        <v>1</v>
      </c>
      <c r="D227" t="s">
        <v>142</v>
      </c>
      <c r="E227" t="s">
        <v>1454</v>
      </c>
      <c r="F227">
        <v>1</v>
      </c>
      <c r="G227">
        <v>226</v>
      </c>
      <c r="I227" t="s">
        <v>1965</v>
      </c>
      <c r="J227" t="s">
        <v>1966</v>
      </c>
      <c r="K227" t="s">
        <v>324</v>
      </c>
      <c r="L227" t="s">
        <v>1967</v>
      </c>
      <c r="M227">
        <v>33934</v>
      </c>
      <c r="N227">
        <v>1</v>
      </c>
      <c r="O227" t="s">
        <v>1968</v>
      </c>
      <c r="P227">
        <v>1</v>
      </c>
    </row>
    <row r="228" spans="1:16">
      <c r="A228" t="s">
        <v>1452</v>
      </c>
      <c r="B228" t="s">
        <v>1453</v>
      </c>
      <c r="C228">
        <v>1</v>
      </c>
      <c r="D228" t="s">
        <v>142</v>
      </c>
      <c r="E228" t="s">
        <v>1454</v>
      </c>
      <c r="F228">
        <v>1</v>
      </c>
      <c r="G228">
        <v>227</v>
      </c>
      <c r="I228" t="s">
        <v>131</v>
      </c>
      <c r="J228" t="s">
        <v>132</v>
      </c>
      <c r="K228" t="s">
        <v>133</v>
      </c>
      <c r="L228" t="s">
        <v>134</v>
      </c>
      <c r="M228">
        <v>10415</v>
      </c>
      <c r="N228">
        <v>2</v>
      </c>
      <c r="O228" t="s">
        <v>1969</v>
      </c>
      <c r="P228">
        <v>2</v>
      </c>
    </row>
    <row r="229" spans="1:16">
      <c r="A229" t="s">
        <v>1452</v>
      </c>
      <c r="B229" t="s">
        <v>1453</v>
      </c>
      <c r="C229">
        <v>1</v>
      </c>
      <c r="D229" t="s">
        <v>142</v>
      </c>
      <c r="E229" t="s">
        <v>1454</v>
      </c>
      <c r="F229">
        <v>1</v>
      </c>
      <c r="G229">
        <v>228</v>
      </c>
      <c r="I229" t="s">
        <v>1075</v>
      </c>
      <c r="J229" t="s">
        <v>1076</v>
      </c>
      <c r="K229" t="s">
        <v>133</v>
      </c>
      <c r="L229" t="s">
        <v>1077</v>
      </c>
      <c r="M229">
        <v>42437</v>
      </c>
      <c r="N229">
        <v>1</v>
      </c>
      <c r="O229" t="s">
        <v>1970</v>
      </c>
      <c r="P229">
        <v>1</v>
      </c>
    </row>
    <row r="230" spans="1:16">
      <c r="A230" t="s">
        <v>1452</v>
      </c>
      <c r="B230" t="s">
        <v>1453</v>
      </c>
      <c r="C230">
        <v>1</v>
      </c>
      <c r="D230" t="s">
        <v>142</v>
      </c>
      <c r="E230" t="s">
        <v>1454</v>
      </c>
      <c r="F230">
        <v>1</v>
      </c>
      <c r="G230">
        <v>229</v>
      </c>
      <c r="I230" t="s">
        <v>1227</v>
      </c>
      <c r="J230" t="s">
        <v>1228</v>
      </c>
      <c r="K230" t="s">
        <v>133</v>
      </c>
      <c r="L230" t="s">
        <v>1229</v>
      </c>
      <c r="M230">
        <v>42403</v>
      </c>
      <c r="N230">
        <v>3</v>
      </c>
      <c r="O230" t="s">
        <v>1971</v>
      </c>
      <c r="P230">
        <v>3</v>
      </c>
    </row>
    <row r="231" spans="1:16">
      <c r="A231" t="s">
        <v>1452</v>
      </c>
      <c r="B231" t="s">
        <v>1453</v>
      </c>
      <c r="C231">
        <v>1</v>
      </c>
      <c r="D231" t="s">
        <v>142</v>
      </c>
      <c r="E231" t="s">
        <v>1454</v>
      </c>
      <c r="F231">
        <v>1</v>
      </c>
      <c r="G231">
        <v>230</v>
      </c>
      <c r="I231" t="s">
        <v>1972</v>
      </c>
      <c r="J231" t="s">
        <v>1973</v>
      </c>
      <c r="K231" t="s">
        <v>133</v>
      </c>
      <c r="L231" t="s">
        <v>1974</v>
      </c>
      <c r="M231">
        <v>42404</v>
      </c>
      <c r="N231">
        <v>2</v>
      </c>
      <c r="O231" t="s">
        <v>1975</v>
      </c>
      <c r="P231">
        <v>2</v>
      </c>
    </row>
    <row r="232" spans="1:16">
      <c r="A232" t="s">
        <v>1452</v>
      </c>
      <c r="B232" t="s">
        <v>1453</v>
      </c>
      <c r="C232">
        <v>1</v>
      </c>
      <c r="D232" t="s">
        <v>142</v>
      </c>
      <c r="E232" t="s">
        <v>1454</v>
      </c>
      <c r="F232">
        <v>1</v>
      </c>
      <c r="G232">
        <v>231</v>
      </c>
      <c r="I232" t="s">
        <v>1976</v>
      </c>
      <c r="J232" t="s">
        <v>1977</v>
      </c>
      <c r="K232" t="s">
        <v>133</v>
      </c>
      <c r="L232" t="s">
        <v>1978</v>
      </c>
      <c r="M232">
        <v>10427</v>
      </c>
      <c r="N232">
        <v>2</v>
      </c>
      <c r="O232" t="s">
        <v>1979</v>
      </c>
      <c r="P232">
        <v>2</v>
      </c>
    </row>
    <row r="233" spans="1:16">
      <c r="A233" t="s">
        <v>1452</v>
      </c>
      <c r="B233" t="s">
        <v>1453</v>
      </c>
      <c r="C233">
        <v>1</v>
      </c>
      <c r="D233" t="s">
        <v>142</v>
      </c>
      <c r="E233" t="s">
        <v>1454</v>
      </c>
      <c r="F233">
        <v>1</v>
      </c>
      <c r="G233">
        <v>232</v>
      </c>
      <c r="I233" t="s">
        <v>1980</v>
      </c>
      <c r="J233" t="s">
        <v>1981</v>
      </c>
      <c r="K233" t="s">
        <v>1122</v>
      </c>
      <c r="L233" t="s">
        <v>1982</v>
      </c>
      <c r="M233">
        <v>10438</v>
      </c>
      <c r="N233">
        <v>1</v>
      </c>
      <c r="O233" t="s">
        <v>1983</v>
      </c>
      <c r="P233">
        <v>1</v>
      </c>
    </row>
    <row r="234" spans="1:16">
      <c r="A234" t="s">
        <v>1452</v>
      </c>
      <c r="B234" t="s">
        <v>1453</v>
      </c>
      <c r="C234">
        <v>1</v>
      </c>
      <c r="D234" t="s">
        <v>142</v>
      </c>
      <c r="E234" t="s">
        <v>1454</v>
      </c>
      <c r="F234">
        <v>1</v>
      </c>
      <c r="G234">
        <v>233</v>
      </c>
      <c r="I234" t="s">
        <v>1984</v>
      </c>
      <c r="J234" t="s">
        <v>1985</v>
      </c>
      <c r="K234" t="s">
        <v>133</v>
      </c>
      <c r="L234" t="s">
        <v>1986</v>
      </c>
      <c r="M234">
        <v>42326</v>
      </c>
      <c r="N234">
        <v>2</v>
      </c>
      <c r="O234" t="s">
        <v>1987</v>
      </c>
      <c r="P234">
        <v>2</v>
      </c>
    </row>
    <row r="235" spans="1:16">
      <c r="A235" t="s">
        <v>1452</v>
      </c>
      <c r="B235" t="s">
        <v>1453</v>
      </c>
      <c r="C235">
        <v>1</v>
      </c>
      <c r="D235" t="s">
        <v>142</v>
      </c>
      <c r="E235" t="s">
        <v>1454</v>
      </c>
      <c r="F235">
        <v>1</v>
      </c>
      <c r="G235">
        <v>234</v>
      </c>
      <c r="I235" t="s">
        <v>1988</v>
      </c>
      <c r="J235" t="s">
        <v>1989</v>
      </c>
      <c r="K235" t="s">
        <v>133</v>
      </c>
      <c r="L235" t="s">
        <v>1990</v>
      </c>
      <c r="M235">
        <v>10411</v>
      </c>
      <c r="N235">
        <v>1</v>
      </c>
      <c r="O235" t="s">
        <v>1991</v>
      </c>
      <c r="P235">
        <v>1</v>
      </c>
    </row>
    <row r="236" spans="1:16">
      <c r="A236" t="s">
        <v>1452</v>
      </c>
      <c r="B236" t="s">
        <v>1453</v>
      </c>
      <c r="C236">
        <v>1</v>
      </c>
      <c r="D236" t="s">
        <v>142</v>
      </c>
      <c r="E236" t="s">
        <v>1454</v>
      </c>
      <c r="F236">
        <v>1</v>
      </c>
      <c r="G236">
        <v>235</v>
      </c>
      <c r="I236" t="s">
        <v>1992</v>
      </c>
      <c r="J236" t="s">
        <v>1993</v>
      </c>
      <c r="K236" t="s">
        <v>1122</v>
      </c>
      <c r="L236" t="s">
        <v>1994</v>
      </c>
      <c r="M236">
        <v>10398</v>
      </c>
      <c r="N236">
        <v>1</v>
      </c>
      <c r="O236" t="s">
        <v>1236</v>
      </c>
      <c r="P236">
        <v>1</v>
      </c>
    </row>
    <row r="237" spans="1:16">
      <c r="A237" t="s">
        <v>1452</v>
      </c>
      <c r="B237" t="s">
        <v>1453</v>
      </c>
      <c r="C237">
        <v>1</v>
      </c>
      <c r="D237" t="s">
        <v>142</v>
      </c>
      <c r="E237" t="s">
        <v>1454</v>
      </c>
      <c r="F237">
        <v>1</v>
      </c>
      <c r="G237">
        <v>236</v>
      </c>
      <c r="I237" t="s">
        <v>1995</v>
      </c>
      <c r="J237" t="s">
        <v>1996</v>
      </c>
      <c r="K237" t="s">
        <v>1122</v>
      </c>
      <c r="L237" t="s">
        <v>1997</v>
      </c>
      <c r="M237">
        <v>10395</v>
      </c>
      <c r="N237">
        <v>1</v>
      </c>
      <c r="O237" t="s">
        <v>1998</v>
      </c>
      <c r="P237">
        <v>1</v>
      </c>
    </row>
    <row r="238" spans="1:16">
      <c r="A238" t="s">
        <v>1452</v>
      </c>
      <c r="B238" t="s">
        <v>1453</v>
      </c>
      <c r="C238">
        <v>1</v>
      </c>
      <c r="D238" t="s">
        <v>142</v>
      </c>
      <c r="E238" t="s">
        <v>1454</v>
      </c>
      <c r="F238">
        <v>1</v>
      </c>
      <c r="G238">
        <v>237</v>
      </c>
      <c r="I238" t="s">
        <v>1999</v>
      </c>
      <c r="J238" t="s">
        <v>2000</v>
      </c>
      <c r="K238" t="s">
        <v>133</v>
      </c>
      <c r="L238" t="s">
        <v>2001</v>
      </c>
      <c r="M238">
        <v>10439</v>
      </c>
      <c r="N238">
        <v>1</v>
      </c>
      <c r="O238" t="s">
        <v>2002</v>
      </c>
      <c r="P238">
        <v>1</v>
      </c>
    </row>
    <row r="239" spans="1:16">
      <c r="A239" t="s">
        <v>1452</v>
      </c>
      <c r="B239" t="s">
        <v>1453</v>
      </c>
      <c r="C239">
        <v>1</v>
      </c>
      <c r="D239" t="s">
        <v>142</v>
      </c>
      <c r="E239" t="s">
        <v>1454</v>
      </c>
      <c r="F239">
        <v>1</v>
      </c>
      <c r="G239">
        <v>238</v>
      </c>
      <c r="I239" t="s">
        <v>2003</v>
      </c>
      <c r="J239" t="s">
        <v>2004</v>
      </c>
      <c r="K239" t="s">
        <v>1122</v>
      </c>
      <c r="L239" t="s">
        <v>2005</v>
      </c>
      <c r="M239">
        <v>10399</v>
      </c>
      <c r="N239">
        <v>1</v>
      </c>
      <c r="O239" t="s">
        <v>2006</v>
      </c>
      <c r="P239">
        <v>1</v>
      </c>
    </row>
    <row r="240" spans="1:16">
      <c r="A240" t="s">
        <v>1452</v>
      </c>
      <c r="B240" t="s">
        <v>1453</v>
      </c>
      <c r="C240">
        <v>1</v>
      </c>
      <c r="D240" t="s">
        <v>142</v>
      </c>
      <c r="E240" t="s">
        <v>1454</v>
      </c>
      <c r="F240">
        <v>1</v>
      </c>
      <c r="G240">
        <v>239</v>
      </c>
      <c r="I240" t="s">
        <v>2007</v>
      </c>
      <c r="J240" t="s">
        <v>2008</v>
      </c>
      <c r="K240" t="s">
        <v>2009</v>
      </c>
      <c r="L240" t="s">
        <v>2010</v>
      </c>
      <c r="M240">
        <v>9582</v>
      </c>
      <c r="N240">
        <v>2</v>
      </c>
      <c r="O240" t="s">
        <v>2011</v>
      </c>
      <c r="P240">
        <v>2</v>
      </c>
    </row>
    <row r="241" spans="1:16">
      <c r="A241" t="s">
        <v>1452</v>
      </c>
      <c r="B241" t="s">
        <v>1453</v>
      </c>
      <c r="C241">
        <v>1</v>
      </c>
      <c r="D241" t="s">
        <v>142</v>
      </c>
      <c r="E241" t="s">
        <v>1454</v>
      </c>
      <c r="F241">
        <v>1</v>
      </c>
      <c r="G241">
        <v>240</v>
      </c>
      <c r="I241" t="s">
        <v>2012</v>
      </c>
      <c r="J241" t="s">
        <v>2013</v>
      </c>
      <c r="K241" t="s">
        <v>1122</v>
      </c>
      <c r="L241" t="s">
        <v>2014</v>
      </c>
      <c r="M241">
        <v>10407</v>
      </c>
      <c r="N241">
        <v>1</v>
      </c>
      <c r="O241" t="s">
        <v>2015</v>
      </c>
      <c r="P241">
        <v>1</v>
      </c>
    </row>
    <row r="242" spans="1:16">
      <c r="A242" t="s">
        <v>1452</v>
      </c>
      <c r="B242" t="s">
        <v>1453</v>
      </c>
      <c r="C242">
        <v>1</v>
      </c>
      <c r="D242" t="s">
        <v>142</v>
      </c>
      <c r="E242" t="s">
        <v>1454</v>
      </c>
      <c r="F242">
        <v>1</v>
      </c>
      <c r="G242">
        <v>241</v>
      </c>
      <c r="I242" t="s">
        <v>2016</v>
      </c>
      <c r="J242" t="s">
        <v>2017</v>
      </c>
      <c r="K242" t="s">
        <v>1122</v>
      </c>
      <c r="L242" t="s">
        <v>2018</v>
      </c>
      <c r="M242">
        <v>10405</v>
      </c>
      <c r="N242">
        <v>1</v>
      </c>
      <c r="O242" t="s">
        <v>2019</v>
      </c>
      <c r="P242">
        <v>1</v>
      </c>
    </row>
    <row r="243" spans="1:16">
      <c r="A243" t="s">
        <v>1452</v>
      </c>
      <c r="B243" t="s">
        <v>1453</v>
      </c>
      <c r="C243">
        <v>1</v>
      </c>
      <c r="D243" t="s">
        <v>142</v>
      </c>
      <c r="E243" t="s">
        <v>1454</v>
      </c>
      <c r="F243">
        <v>1</v>
      </c>
      <c r="G243">
        <v>242</v>
      </c>
      <c r="I243" t="s">
        <v>2020</v>
      </c>
      <c r="J243" t="s">
        <v>2021</v>
      </c>
      <c r="K243" t="s">
        <v>2022</v>
      </c>
      <c r="L243" t="s">
        <v>2023</v>
      </c>
      <c r="M243">
        <v>42366</v>
      </c>
      <c r="N243">
        <v>2</v>
      </c>
      <c r="O243" t="s">
        <v>2024</v>
      </c>
      <c r="P243">
        <v>2</v>
      </c>
    </row>
    <row r="244" spans="1:16">
      <c r="A244" t="s">
        <v>1452</v>
      </c>
      <c r="B244" t="s">
        <v>1453</v>
      </c>
      <c r="C244">
        <v>1</v>
      </c>
      <c r="D244" t="s">
        <v>142</v>
      </c>
      <c r="E244" t="s">
        <v>1454</v>
      </c>
      <c r="F244">
        <v>1</v>
      </c>
      <c r="G244">
        <v>243</v>
      </c>
      <c r="I244" t="s">
        <v>2025</v>
      </c>
      <c r="J244" t="s">
        <v>2026</v>
      </c>
      <c r="K244" t="s">
        <v>2027</v>
      </c>
      <c r="L244" t="s">
        <v>2028</v>
      </c>
      <c r="M244">
        <v>42367</v>
      </c>
      <c r="N244">
        <v>1</v>
      </c>
      <c r="O244" t="s">
        <v>2029</v>
      </c>
      <c r="P244">
        <v>1</v>
      </c>
    </row>
    <row r="245" spans="1:16">
      <c r="A245" t="s">
        <v>1452</v>
      </c>
      <c r="B245" t="s">
        <v>1453</v>
      </c>
      <c r="C245">
        <v>1</v>
      </c>
      <c r="D245" t="s">
        <v>142</v>
      </c>
      <c r="E245" t="s">
        <v>1454</v>
      </c>
      <c r="F245">
        <v>1</v>
      </c>
      <c r="G245">
        <v>244</v>
      </c>
      <c r="I245" t="s">
        <v>1064</v>
      </c>
      <c r="J245" t="s">
        <v>1065</v>
      </c>
      <c r="K245" t="s">
        <v>133</v>
      </c>
      <c r="L245" t="s">
        <v>1066</v>
      </c>
      <c r="M245">
        <v>42444</v>
      </c>
      <c r="N245">
        <v>1</v>
      </c>
      <c r="O245" t="s">
        <v>2030</v>
      </c>
      <c r="P245">
        <v>1</v>
      </c>
    </row>
    <row r="246" spans="1:16">
      <c r="A246" t="s">
        <v>1452</v>
      </c>
      <c r="B246" t="s">
        <v>1453</v>
      </c>
      <c r="C246">
        <v>1</v>
      </c>
      <c r="D246" t="s">
        <v>142</v>
      </c>
      <c r="E246" t="s">
        <v>1454</v>
      </c>
      <c r="F246">
        <v>1</v>
      </c>
      <c r="G246">
        <v>245</v>
      </c>
      <c r="I246" t="s">
        <v>135</v>
      </c>
      <c r="J246" t="s">
        <v>136</v>
      </c>
      <c r="K246" t="s">
        <v>137</v>
      </c>
      <c r="L246" t="s">
        <v>138</v>
      </c>
      <c r="M246">
        <v>10437</v>
      </c>
      <c r="N246">
        <v>1</v>
      </c>
      <c r="O246" t="s">
        <v>2031</v>
      </c>
      <c r="P246">
        <v>1</v>
      </c>
    </row>
    <row r="247" spans="1:16">
      <c r="A247" t="s">
        <v>1452</v>
      </c>
      <c r="B247" t="s">
        <v>1453</v>
      </c>
      <c r="C247">
        <v>1</v>
      </c>
      <c r="D247" t="s">
        <v>142</v>
      </c>
      <c r="E247" t="s">
        <v>1454</v>
      </c>
      <c r="F247">
        <v>1</v>
      </c>
      <c r="G247">
        <v>246</v>
      </c>
      <c r="I247" t="s">
        <v>2032</v>
      </c>
      <c r="J247" t="s">
        <v>2033</v>
      </c>
      <c r="K247" t="s">
        <v>133</v>
      </c>
      <c r="L247" t="s">
        <v>2034</v>
      </c>
      <c r="M247">
        <v>10434</v>
      </c>
      <c r="N247">
        <v>1</v>
      </c>
      <c r="O247" t="s">
        <v>2035</v>
      </c>
      <c r="P247">
        <v>1</v>
      </c>
    </row>
    <row r="248" spans="1:16">
      <c r="A248" t="s">
        <v>1452</v>
      </c>
      <c r="B248" t="s">
        <v>1453</v>
      </c>
      <c r="C248">
        <v>1</v>
      </c>
      <c r="D248" t="s">
        <v>142</v>
      </c>
      <c r="E248" t="s">
        <v>1454</v>
      </c>
      <c r="F248">
        <v>1</v>
      </c>
      <c r="G248">
        <v>247</v>
      </c>
      <c r="I248" t="s">
        <v>2036</v>
      </c>
      <c r="J248" t="s">
        <v>2037</v>
      </c>
      <c r="K248" t="s">
        <v>133</v>
      </c>
      <c r="L248" t="s">
        <v>2038</v>
      </c>
      <c r="M248">
        <v>42324</v>
      </c>
      <c r="N248">
        <v>2</v>
      </c>
      <c r="O248" t="s">
        <v>2039</v>
      </c>
      <c r="P248">
        <v>2</v>
      </c>
    </row>
    <row r="249" spans="1:16">
      <c r="A249" t="s">
        <v>1452</v>
      </c>
      <c r="B249" t="s">
        <v>1453</v>
      </c>
      <c r="C249">
        <v>1</v>
      </c>
      <c r="D249" t="s">
        <v>142</v>
      </c>
      <c r="E249" t="s">
        <v>1454</v>
      </c>
      <c r="F249">
        <v>1</v>
      </c>
      <c r="G249">
        <v>248</v>
      </c>
      <c r="I249" t="s">
        <v>2040</v>
      </c>
      <c r="J249" t="s">
        <v>2041</v>
      </c>
      <c r="K249" t="s">
        <v>2042</v>
      </c>
      <c r="L249" t="s">
        <v>2043</v>
      </c>
      <c r="M249">
        <v>42522</v>
      </c>
      <c r="N249">
        <v>3</v>
      </c>
      <c r="O249" t="s">
        <v>2044</v>
      </c>
      <c r="P249">
        <v>3</v>
      </c>
    </row>
    <row r="250" spans="1:16">
      <c r="A250" t="s">
        <v>1452</v>
      </c>
      <c r="B250" t="s">
        <v>1453</v>
      </c>
      <c r="C250">
        <v>1</v>
      </c>
      <c r="D250" t="s">
        <v>142</v>
      </c>
      <c r="E250" t="s">
        <v>1454</v>
      </c>
      <c r="F250">
        <v>1</v>
      </c>
      <c r="G250">
        <v>249</v>
      </c>
      <c r="I250" t="s">
        <v>2045</v>
      </c>
      <c r="J250" t="s">
        <v>2046</v>
      </c>
      <c r="K250" t="s">
        <v>2047</v>
      </c>
      <c r="L250" t="s">
        <v>2048</v>
      </c>
      <c r="M250">
        <v>1026</v>
      </c>
      <c r="N250">
        <v>1</v>
      </c>
      <c r="O250" t="s">
        <v>2049</v>
      </c>
      <c r="P250">
        <v>1</v>
      </c>
    </row>
    <row r="251" spans="1:16">
      <c r="A251" t="s">
        <v>1452</v>
      </c>
      <c r="B251" t="s">
        <v>1453</v>
      </c>
      <c r="C251">
        <v>1</v>
      </c>
      <c r="D251" t="s">
        <v>142</v>
      </c>
      <c r="E251" t="s">
        <v>1454</v>
      </c>
      <c r="F251">
        <v>1</v>
      </c>
      <c r="G251">
        <v>250</v>
      </c>
      <c r="I251" t="s">
        <v>2050</v>
      </c>
      <c r="J251" t="s">
        <v>2051</v>
      </c>
      <c r="K251" t="s">
        <v>2052</v>
      </c>
      <c r="L251" t="s">
        <v>2053</v>
      </c>
      <c r="M251">
        <v>2317</v>
      </c>
      <c r="N251">
        <v>1</v>
      </c>
      <c r="O251" t="s">
        <v>2054</v>
      </c>
      <c r="P251">
        <v>1</v>
      </c>
    </row>
    <row r="252" spans="1:16">
      <c r="N252" s="32">
        <f>SUM(N2:N251)</f>
        <v>2049</v>
      </c>
      <c r="P252" s="32">
        <f>SUM(P2:P251)</f>
        <v>2049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Лист12"/>
  <dimension ref="A1:P16"/>
  <sheetViews>
    <sheetView workbookViewId="0">
      <selection activeCell="L11" sqref="L11"/>
    </sheetView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 s="2" customFormat="1">
      <c r="A2" s="2" t="s">
        <v>2055</v>
      </c>
      <c r="B2" s="2" t="s">
        <v>2056</v>
      </c>
      <c r="C2" s="2">
        <v>1</v>
      </c>
      <c r="D2" s="2" t="s">
        <v>142</v>
      </c>
      <c r="E2" s="2" t="s">
        <v>2057</v>
      </c>
      <c r="F2" s="2">
        <v>1</v>
      </c>
      <c r="G2" s="2">
        <v>1</v>
      </c>
      <c r="I2" s="2" t="s">
        <v>24</v>
      </c>
      <c r="J2" s="2" t="s">
        <v>25</v>
      </c>
      <c r="K2" s="2" t="s">
        <v>22</v>
      </c>
      <c r="L2" s="2" t="s">
        <v>26</v>
      </c>
      <c r="M2" s="2">
        <v>2054</v>
      </c>
      <c r="N2" s="2">
        <v>3</v>
      </c>
      <c r="O2" s="2" t="s">
        <v>2058</v>
      </c>
      <c r="P2" s="2">
        <v>3</v>
      </c>
    </row>
    <row r="3" spans="1:16">
      <c r="A3" t="s">
        <v>2055</v>
      </c>
      <c r="B3" t="s">
        <v>2056</v>
      </c>
      <c r="C3">
        <v>1</v>
      </c>
      <c r="D3" t="s">
        <v>142</v>
      </c>
      <c r="E3" t="s">
        <v>2057</v>
      </c>
      <c r="F3">
        <v>1</v>
      </c>
      <c r="G3">
        <v>2</v>
      </c>
      <c r="I3" t="s">
        <v>20</v>
      </c>
      <c r="J3" t="s">
        <v>21</v>
      </c>
      <c r="K3" t="s">
        <v>22</v>
      </c>
      <c r="L3" t="s">
        <v>23</v>
      </c>
      <c r="M3">
        <v>42431</v>
      </c>
      <c r="N3">
        <v>1</v>
      </c>
      <c r="O3" t="s">
        <v>2059</v>
      </c>
      <c r="P3">
        <v>1</v>
      </c>
    </row>
    <row r="4" spans="1:16">
      <c r="A4" t="s">
        <v>2055</v>
      </c>
      <c r="B4" t="s">
        <v>2056</v>
      </c>
      <c r="C4">
        <v>1</v>
      </c>
      <c r="D4" t="s">
        <v>142</v>
      </c>
      <c r="E4" t="s">
        <v>2057</v>
      </c>
      <c r="F4">
        <v>1</v>
      </c>
      <c r="G4">
        <v>3</v>
      </c>
      <c r="I4" t="s">
        <v>1651</v>
      </c>
      <c r="J4" t="s">
        <v>1652</v>
      </c>
      <c r="K4" t="s">
        <v>2060</v>
      </c>
      <c r="L4" t="s">
        <v>1654</v>
      </c>
      <c r="M4">
        <v>10186</v>
      </c>
      <c r="N4">
        <v>1</v>
      </c>
      <c r="O4" t="s">
        <v>164</v>
      </c>
      <c r="P4">
        <v>1</v>
      </c>
    </row>
    <row r="5" spans="1:16">
      <c r="A5" t="s">
        <v>2055</v>
      </c>
      <c r="B5" t="s">
        <v>2056</v>
      </c>
      <c r="C5">
        <v>1</v>
      </c>
      <c r="D5" t="s">
        <v>142</v>
      </c>
      <c r="E5" t="s">
        <v>2057</v>
      </c>
      <c r="F5">
        <v>1</v>
      </c>
      <c r="G5">
        <v>4</v>
      </c>
      <c r="I5" t="s">
        <v>1125</v>
      </c>
      <c r="J5" t="s">
        <v>1126</v>
      </c>
      <c r="K5" t="s">
        <v>1127</v>
      </c>
      <c r="L5" t="s">
        <v>1128</v>
      </c>
      <c r="M5">
        <v>33891</v>
      </c>
      <c r="N5">
        <v>8</v>
      </c>
      <c r="O5" t="s">
        <v>2061</v>
      </c>
      <c r="P5">
        <v>8</v>
      </c>
    </row>
    <row r="6" spans="1:16">
      <c r="A6" t="s">
        <v>2055</v>
      </c>
      <c r="B6" t="s">
        <v>2056</v>
      </c>
      <c r="C6">
        <v>1</v>
      </c>
      <c r="D6" t="s">
        <v>142</v>
      </c>
      <c r="E6" t="s">
        <v>2057</v>
      </c>
      <c r="F6">
        <v>1</v>
      </c>
      <c r="G6">
        <v>5</v>
      </c>
      <c r="I6" t="s">
        <v>188</v>
      </c>
      <c r="J6" t="s">
        <v>76</v>
      </c>
      <c r="K6" t="s">
        <v>32</v>
      </c>
      <c r="L6" t="s">
        <v>189</v>
      </c>
      <c r="M6">
        <v>10522</v>
      </c>
      <c r="N6">
        <v>1</v>
      </c>
      <c r="O6" t="s">
        <v>1368</v>
      </c>
      <c r="P6">
        <v>1</v>
      </c>
    </row>
    <row r="7" spans="1:16">
      <c r="A7" t="s">
        <v>2055</v>
      </c>
      <c r="B7" t="s">
        <v>2056</v>
      </c>
      <c r="C7">
        <v>1</v>
      </c>
      <c r="D7" t="s">
        <v>142</v>
      </c>
      <c r="E7" t="s">
        <v>2057</v>
      </c>
      <c r="F7">
        <v>1</v>
      </c>
      <c r="G7">
        <v>6</v>
      </c>
      <c r="I7" t="s">
        <v>206</v>
      </c>
      <c r="J7" t="s">
        <v>207</v>
      </c>
      <c r="K7" t="s">
        <v>48</v>
      </c>
      <c r="L7" t="s">
        <v>208</v>
      </c>
      <c r="M7">
        <v>39516</v>
      </c>
      <c r="N7">
        <v>18</v>
      </c>
      <c r="O7" t="s">
        <v>2062</v>
      </c>
      <c r="P7">
        <v>18</v>
      </c>
    </row>
    <row r="8" spans="1:16">
      <c r="A8" t="s">
        <v>2055</v>
      </c>
      <c r="B8" t="s">
        <v>2056</v>
      </c>
      <c r="C8">
        <v>1</v>
      </c>
      <c r="D8" t="s">
        <v>142</v>
      </c>
      <c r="E8" t="s">
        <v>2057</v>
      </c>
      <c r="F8">
        <v>1</v>
      </c>
      <c r="G8">
        <v>7</v>
      </c>
      <c r="I8" t="s">
        <v>1144</v>
      </c>
      <c r="J8" t="s">
        <v>1145</v>
      </c>
      <c r="K8" t="s">
        <v>48</v>
      </c>
      <c r="L8" t="s">
        <v>1146</v>
      </c>
      <c r="M8">
        <v>40086</v>
      </c>
      <c r="N8">
        <v>8</v>
      </c>
      <c r="O8" t="s">
        <v>2063</v>
      </c>
      <c r="P8">
        <v>8</v>
      </c>
    </row>
    <row r="9" spans="1:16">
      <c r="A9" t="s">
        <v>2055</v>
      </c>
      <c r="B9" t="s">
        <v>2056</v>
      </c>
      <c r="C9">
        <v>1</v>
      </c>
      <c r="D9" t="s">
        <v>142</v>
      </c>
      <c r="E9" t="s">
        <v>2057</v>
      </c>
      <c r="F9">
        <v>1</v>
      </c>
      <c r="G9">
        <v>8</v>
      </c>
      <c r="I9" t="s">
        <v>199</v>
      </c>
      <c r="J9" t="s">
        <v>1157</v>
      </c>
      <c r="K9" t="s">
        <v>48</v>
      </c>
      <c r="L9" t="s">
        <v>1158</v>
      </c>
      <c r="M9">
        <v>39912</v>
      </c>
      <c r="N9">
        <v>3</v>
      </c>
      <c r="O9" t="s">
        <v>2064</v>
      </c>
      <c r="P9">
        <v>3</v>
      </c>
    </row>
    <row r="10" spans="1:16">
      <c r="A10" t="s">
        <v>2055</v>
      </c>
      <c r="B10" t="s">
        <v>2056</v>
      </c>
      <c r="C10">
        <v>1</v>
      </c>
      <c r="D10" t="s">
        <v>142</v>
      </c>
      <c r="E10" t="s">
        <v>2057</v>
      </c>
      <c r="F10">
        <v>1</v>
      </c>
      <c r="G10">
        <v>9</v>
      </c>
      <c r="I10" t="s">
        <v>872</v>
      </c>
      <c r="J10" t="s">
        <v>873</v>
      </c>
      <c r="K10" t="s">
        <v>48</v>
      </c>
      <c r="L10" t="s">
        <v>874</v>
      </c>
      <c r="M10">
        <v>39527</v>
      </c>
      <c r="N10">
        <v>3</v>
      </c>
      <c r="O10" t="s">
        <v>2065</v>
      </c>
      <c r="P10">
        <v>3</v>
      </c>
    </row>
    <row r="11" spans="1:16">
      <c r="A11" t="s">
        <v>2055</v>
      </c>
      <c r="B11" t="s">
        <v>2056</v>
      </c>
      <c r="C11">
        <v>1</v>
      </c>
      <c r="D11" t="s">
        <v>142</v>
      </c>
      <c r="E11" t="s">
        <v>2057</v>
      </c>
      <c r="F11">
        <v>1</v>
      </c>
      <c r="G11">
        <v>10</v>
      </c>
      <c r="I11" t="s">
        <v>1139</v>
      </c>
      <c r="J11" t="s">
        <v>1140</v>
      </c>
      <c r="K11" t="s">
        <v>48</v>
      </c>
      <c r="L11" t="s">
        <v>1141</v>
      </c>
      <c r="M11">
        <v>25053</v>
      </c>
      <c r="N11">
        <v>8</v>
      </c>
      <c r="O11" t="s">
        <v>2066</v>
      </c>
      <c r="P11">
        <v>8</v>
      </c>
    </row>
    <row r="12" spans="1:16">
      <c r="A12" t="s">
        <v>2055</v>
      </c>
      <c r="B12" t="s">
        <v>2056</v>
      </c>
      <c r="C12">
        <v>1</v>
      </c>
      <c r="D12" t="s">
        <v>142</v>
      </c>
      <c r="E12" t="s">
        <v>2057</v>
      </c>
      <c r="F12">
        <v>1</v>
      </c>
      <c r="G12">
        <v>11</v>
      </c>
      <c r="I12" t="s">
        <v>1160</v>
      </c>
      <c r="J12" t="s">
        <v>1161</v>
      </c>
      <c r="K12" t="s">
        <v>1162</v>
      </c>
      <c r="L12" t="s">
        <v>1163</v>
      </c>
      <c r="M12">
        <v>33794</v>
      </c>
      <c r="N12">
        <v>8</v>
      </c>
      <c r="O12" t="s">
        <v>2067</v>
      </c>
      <c r="P12">
        <v>8</v>
      </c>
    </row>
    <row r="13" spans="1:16">
      <c r="A13" t="s">
        <v>2055</v>
      </c>
      <c r="B13" t="s">
        <v>2056</v>
      </c>
      <c r="C13">
        <v>1</v>
      </c>
      <c r="D13" t="s">
        <v>142</v>
      </c>
      <c r="E13" t="s">
        <v>2057</v>
      </c>
      <c r="F13">
        <v>1</v>
      </c>
      <c r="G13">
        <v>12</v>
      </c>
      <c r="I13" t="s">
        <v>506</v>
      </c>
      <c r="J13" t="s">
        <v>507</v>
      </c>
      <c r="K13" t="s">
        <v>324</v>
      </c>
      <c r="L13" t="s">
        <v>508</v>
      </c>
      <c r="M13">
        <v>42495</v>
      </c>
      <c r="N13">
        <v>8</v>
      </c>
      <c r="O13" t="s">
        <v>2068</v>
      </c>
      <c r="P13">
        <v>8</v>
      </c>
    </row>
    <row r="14" spans="1:16">
      <c r="A14" t="s">
        <v>2055</v>
      </c>
      <c r="B14" t="s">
        <v>2056</v>
      </c>
      <c r="C14">
        <v>1</v>
      </c>
      <c r="D14" t="s">
        <v>142</v>
      </c>
      <c r="E14" t="s">
        <v>2057</v>
      </c>
      <c r="F14">
        <v>1</v>
      </c>
      <c r="G14">
        <v>13</v>
      </c>
      <c r="I14" t="s">
        <v>1171</v>
      </c>
      <c r="J14" t="s">
        <v>1172</v>
      </c>
      <c r="K14" t="s">
        <v>392</v>
      </c>
      <c r="L14" t="s">
        <v>1173</v>
      </c>
      <c r="M14">
        <v>42534</v>
      </c>
      <c r="N14">
        <v>8</v>
      </c>
      <c r="O14" t="s">
        <v>2069</v>
      </c>
      <c r="P14">
        <v>8</v>
      </c>
    </row>
    <row r="15" spans="1:16">
      <c r="A15" t="s">
        <v>2055</v>
      </c>
      <c r="B15" t="s">
        <v>2056</v>
      </c>
      <c r="C15">
        <v>1</v>
      </c>
      <c r="D15" t="s">
        <v>142</v>
      </c>
      <c r="E15" t="s">
        <v>2057</v>
      </c>
      <c r="F15">
        <v>1</v>
      </c>
      <c r="G15">
        <v>14</v>
      </c>
      <c r="I15" t="s">
        <v>2070</v>
      </c>
      <c r="J15" t="s">
        <v>2071</v>
      </c>
      <c r="K15" t="s">
        <v>2072</v>
      </c>
      <c r="L15" t="s">
        <v>2073</v>
      </c>
      <c r="M15">
        <v>33887</v>
      </c>
      <c r="N15">
        <v>2</v>
      </c>
      <c r="O15" t="s">
        <v>2074</v>
      </c>
      <c r="P15">
        <v>2</v>
      </c>
    </row>
    <row r="16" spans="1:16">
      <c r="A16" t="s">
        <v>2055</v>
      </c>
      <c r="B16" t="s">
        <v>2056</v>
      </c>
      <c r="C16">
        <v>1</v>
      </c>
      <c r="D16" t="s">
        <v>142</v>
      </c>
      <c r="E16" t="s">
        <v>2057</v>
      </c>
      <c r="F16">
        <v>1</v>
      </c>
      <c r="G16">
        <v>15</v>
      </c>
      <c r="I16" t="s">
        <v>1075</v>
      </c>
      <c r="J16" t="s">
        <v>1076</v>
      </c>
      <c r="K16" t="s">
        <v>514</v>
      </c>
      <c r="L16" t="s">
        <v>1077</v>
      </c>
      <c r="M16">
        <v>42437</v>
      </c>
      <c r="N16">
        <v>1</v>
      </c>
      <c r="O16" t="s">
        <v>1067</v>
      </c>
      <c r="P1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Лист13"/>
  <dimension ref="A1:P190"/>
  <sheetViews>
    <sheetView workbookViewId="0">
      <selection activeCell="J71" sqref="J71"/>
    </sheetView>
  </sheetViews>
  <sheetFormatPr defaultRowHeight="15"/>
  <cols>
    <col min="10" max="10" width="35" customWidth="1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139</v>
      </c>
      <c r="P1" s="1" t="s">
        <v>140</v>
      </c>
    </row>
    <row r="2" spans="1:16" s="2" customFormat="1">
      <c r="A2" s="2" t="s">
        <v>2075</v>
      </c>
      <c r="B2" s="2" t="s">
        <v>2076</v>
      </c>
      <c r="C2" s="2">
        <v>3</v>
      </c>
      <c r="D2" s="2" t="s">
        <v>15</v>
      </c>
      <c r="E2" s="2" t="s">
        <v>2077</v>
      </c>
      <c r="F2" s="2">
        <v>1</v>
      </c>
      <c r="G2" s="2">
        <v>1</v>
      </c>
      <c r="I2" s="2" t="s">
        <v>2078</v>
      </c>
      <c r="J2" s="2" t="s">
        <v>2079</v>
      </c>
      <c r="K2" s="2" t="s">
        <v>2080</v>
      </c>
      <c r="L2" s="2" t="s">
        <v>2081</v>
      </c>
      <c r="M2" s="2">
        <v>149</v>
      </c>
      <c r="N2" s="2">
        <v>3</v>
      </c>
      <c r="O2" s="2" t="s">
        <v>2082</v>
      </c>
      <c r="P2" s="2">
        <v>3</v>
      </c>
    </row>
    <row r="3" spans="1:16">
      <c r="A3" t="s">
        <v>2075</v>
      </c>
      <c r="B3" t="s">
        <v>2076</v>
      </c>
      <c r="C3">
        <v>3</v>
      </c>
      <c r="D3" t="s">
        <v>15</v>
      </c>
      <c r="E3" t="s">
        <v>2077</v>
      </c>
      <c r="F3">
        <v>1</v>
      </c>
      <c r="G3">
        <v>2</v>
      </c>
      <c r="I3" t="s">
        <v>2083</v>
      </c>
      <c r="J3" t="s">
        <v>2084</v>
      </c>
      <c r="K3" t="s">
        <v>2085</v>
      </c>
      <c r="L3" t="s">
        <v>2086</v>
      </c>
      <c r="M3">
        <v>308</v>
      </c>
      <c r="N3">
        <v>1</v>
      </c>
      <c r="O3" t="s">
        <v>2087</v>
      </c>
      <c r="P3">
        <v>1</v>
      </c>
    </row>
    <row r="4" spans="1:16">
      <c r="A4" t="s">
        <v>2075</v>
      </c>
      <c r="B4" t="s">
        <v>2076</v>
      </c>
      <c r="C4">
        <v>3</v>
      </c>
      <c r="D4" t="s">
        <v>15</v>
      </c>
      <c r="E4" t="s">
        <v>2077</v>
      </c>
      <c r="F4">
        <v>1</v>
      </c>
      <c r="G4">
        <v>3</v>
      </c>
      <c r="I4" t="s">
        <v>2088</v>
      </c>
      <c r="J4" t="s">
        <v>2089</v>
      </c>
      <c r="K4" t="s">
        <v>2085</v>
      </c>
      <c r="L4" t="s">
        <v>2090</v>
      </c>
      <c r="M4">
        <v>3473</v>
      </c>
      <c r="N4">
        <v>1</v>
      </c>
      <c r="O4" t="s">
        <v>548</v>
      </c>
      <c r="P4">
        <v>1</v>
      </c>
    </row>
    <row r="5" spans="1:16">
      <c r="A5" t="s">
        <v>2075</v>
      </c>
      <c r="B5" t="s">
        <v>2076</v>
      </c>
      <c r="C5">
        <v>3</v>
      </c>
      <c r="D5" t="s">
        <v>15</v>
      </c>
      <c r="E5" t="s">
        <v>2077</v>
      </c>
      <c r="F5">
        <v>1</v>
      </c>
      <c r="G5">
        <v>4</v>
      </c>
      <c r="I5" t="s">
        <v>2091</v>
      </c>
      <c r="J5" t="s">
        <v>2092</v>
      </c>
      <c r="K5" t="s">
        <v>18</v>
      </c>
      <c r="L5" t="s">
        <v>2093</v>
      </c>
      <c r="M5">
        <v>10404</v>
      </c>
      <c r="N5">
        <v>1</v>
      </c>
      <c r="O5" t="s">
        <v>232</v>
      </c>
      <c r="P5">
        <v>1</v>
      </c>
    </row>
    <row r="6" spans="1:16">
      <c r="A6" t="s">
        <v>2075</v>
      </c>
      <c r="B6" t="s">
        <v>2076</v>
      </c>
      <c r="C6">
        <v>3</v>
      </c>
      <c r="D6" t="s">
        <v>15</v>
      </c>
      <c r="E6" t="s">
        <v>2077</v>
      </c>
      <c r="F6">
        <v>1</v>
      </c>
      <c r="G6">
        <v>5</v>
      </c>
      <c r="I6" t="s">
        <v>2094</v>
      </c>
      <c r="J6" t="s">
        <v>2095</v>
      </c>
      <c r="K6" t="s">
        <v>22</v>
      </c>
      <c r="L6" t="s">
        <v>2096</v>
      </c>
      <c r="M6">
        <v>10408</v>
      </c>
      <c r="N6">
        <v>96</v>
      </c>
      <c r="O6" t="s">
        <v>2097</v>
      </c>
      <c r="P6">
        <v>96</v>
      </c>
    </row>
    <row r="7" spans="1:16">
      <c r="A7" t="s">
        <v>2075</v>
      </c>
      <c r="B7" t="s">
        <v>2076</v>
      </c>
      <c r="C7">
        <v>3</v>
      </c>
      <c r="D7" t="s">
        <v>15</v>
      </c>
      <c r="E7" t="s">
        <v>2077</v>
      </c>
      <c r="F7">
        <v>1</v>
      </c>
      <c r="G7">
        <v>6</v>
      </c>
      <c r="I7" t="s">
        <v>2098</v>
      </c>
      <c r="J7" t="s">
        <v>2099</v>
      </c>
      <c r="K7" t="s">
        <v>22</v>
      </c>
      <c r="L7" t="s">
        <v>2100</v>
      </c>
      <c r="M7">
        <v>1796</v>
      </c>
      <c r="N7">
        <v>73</v>
      </c>
      <c r="O7" t="s">
        <v>2101</v>
      </c>
      <c r="P7">
        <v>73</v>
      </c>
    </row>
    <row r="8" spans="1:16">
      <c r="A8" t="s">
        <v>2075</v>
      </c>
      <c r="B8" t="s">
        <v>2076</v>
      </c>
      <c r="C8">
        <v>3</v>
      </c>
      <c r="D8" t="s">
        <v>15</v>
      </c>
      <c r="E8" t="s">
        <v>2077</v>
      </c>
      <c r="F8">
        <v>1</v>
      </c>
      <c r="G8">
        <v>7</v>
      </c>
      <c r="I8" t="s">
        <v>294</v>
      </c>
      <c r="J8" t="s">
        <v>295</v>
      </c>
      <c r="K8" t="s">
        <v>22</v>
      </c>
      <c r="L8" t="s">
        <v>296</v>
      </c>
      <c r="M8">
        <v>4020</v>
      </c>
      <c r="N8">
        <v>131</v>
      </c>
      <c r="O8" t="s">
        <v>2102</v>
      </c>
      <c r="P8">
        <v>131</v>
      </c>
    </row>
    <row r="9" spans="1:16">
      <c r="A9" t="s">
        <v>2075</v>
      </c>
      <c r="B9" t="s">
        <v>2076</v>
      </c>
      <c r="C9">
        <v>3</v>
      </c>
      <c r="D9" t="s">
        <v>15</v>
      </c>
      <c r="E9" t="s">
        <v>2077</v>
      </c>
      <c r="F9">
        <v>1</v>
      </c>
      <c r="G9">
        <v>8</v>
      </c>
      <c r="I9" t="s">
        <v>2103</v>
      </c>
      <c r="J9" t="s">
        <v>2104</v>
      </c>
      <c r="K9" t="s">
        <v>1570</v>
      </c>
      <c r="L9" t="s">
        <v>2105</v>
      </c>
      <c r="M9">
        <v>3190</v>
      </c>
      <c r="N9">
        <v>5</v>
      </c>
      <c r="O9" t="s">
        <v>2106</v>
      </c>
      <c r="P9">
        <v>5</v>
      </c>
    </row>
    <row r="10" spans="1:16">
      <c r="A10" t="s">
        <v>2075</v>
      </c>
      <c r="B10" t="s">
        <v>2076</v>
      </c>
      <c r="C10">
        <v>3</v>
      </c>
      <c r="D10" t="s">
        <v>15</v>
      </c>
      <c r="E10" t="s">
        <v>2077</v>
      </c>
      <c r="F10">
        <v>1</v>
      </c>
      <c r="G10">
        <v>9</v>
      </c>
      <c r="I10" t="s">
        <v>24</v>
      </c>
      <c r="J10" t="s">
        <v>25</v>
      </c>
      <c r="K10" t="s">
        <v>22</v>
      </c>
      <c r="L10" t="s">
        <v>26</v>
      </c>
      <c r="M10">
        <v>2054</v>
      </c>
      <c r="N10">
        <v>232</v>
      </c>
      <c r="O10" t="s">
        <v>2107</v>
      </c>
      <c r="P10">
        <v>232</v>
      </c>
    </row>
    <row r="11" spans="1:16">
      <c r="A11" t="s">
        <v>2075</v>
      </c>
      <c r="B11" t="s">
        <v>2076</v>
      </c>
      <c r="C11">
        <v>3</v>
      </c>
      <c r="D11" t="s">
        <v>15</v>
      </c>
      <c r="E11" t="s">
        <v>2077</v>
      </c>
      <c r="F11">
        <v>1</v>
      </c>
      <c r="G11">
        <v>10</v>
      </c>
      <c r="I11" t="s">
        <v>2108</v>
      </c>
      <c r="J11" t="s">
        <v>156</v>
      </c>
      <c r="K11" t="s">
        <v>22</v>
      </c>
      <c r="L11" t="s">
        <v>157</v>
      </c>
      <c r="M11">
        <v>3995</v>
      </c>
      <c r="N11">
        <v>69</v>
      </c>
      <c r="O11" t="s">
        <v>2109</v>
      </c>
      <c r="P11">
        <v>69</v>
      </c>
    </row>
    <row r="12" spans="1:16">
      <c r="A12" t="s">
        <v>2075</v>
      </c>
      <c r="B12" t="s">
        <v>2076</v>
      </c>
      <c r="C12">
        <v>3</v>
      </c>
      <c r="D12" t="s">
        <v>15</v>
      </c>
      <c r="E12" t="s">
        <v>2077</v>
      </c>
      <c r="F12">
        <v>1</v>
      </c>
      <c r="G12">
        <v>11</v>
      </c>
      <c r="I12" t="s">
        <v>2110</v>
      </c>
      <c r="J12" t="s">
        <v>2111</v>
      </c>
      <c r="K12" t="s">
        <v>22</v>
      </c>
      <c r="L12" t="s">
        <v>2112</v>
      </c>
      <c r="M12">
        <v>10409</v>
      </c>
      <c r="N12">
        <v>8</v>
      </c>
      <c r="O12" t="s">
        <v>2113</v>
      </c>
      <c r="P12">
        <v>8</v>
      </c>
    </row>
    <row r="13" spans="1:16">
      <c r="A13" t="s">
        <v>2075</v>
      </c>
      <c r="B13" t="s">
        <v>2076</v>
      </c>
      <c r="C13">
        <v>3</v>
      </c>
      <c r="D13" t="s">
        <v>15</v>
      </c>
      <c r="E13" t="s">
        <v>2077</v>
      </c>
      <c r="F13">
        <v>1</v>
      </c>
      <c r="G13">
        <v>12</v>
      </c>
      <c r="I13" t="s">
        <v>2114</v>
      </c>
      <c r="J13" t="s">
        <v>2115</v>
      </c>
      <c r="K13" t="s">
        <v>22</v>
      </c>
      <c r="L13" t="s">
        <v>2116</v>
      </c>
      <c r="M13">
        <v>10480</v>
      </c>
      <c r="N13">
        <v>8</v>
      </c>
      <c r="O13" t="s">
        <v>2117</v>
      </c>
      <c r="P13">
        <v>8</v>
      </c>
    </row>
    <row r="14" spans="1:16">
      <c r="A14" t="s">
        <v>2075</v>
      </c>
      <c r="B14" t="s">
        <v>2076</v>
      </c>
      <c r="C14">
        <v>3</v>
      </c>
      <c r="D14" t="s">
        <v>15</v>
      </c>
      <c r="E14" t="s">
        <v>2077</v>
      </c>
      <c r="F14">
        <v>1</v>
      </c>
      <c r="G14">
        <v>13</v>
      </c>
      <c r="I14" t="s">
        <v>611</v>
      </c>
      <c r="J14" t="s">
        <v>612</v>
      </c>
      <c r="K14" t="s">
        <v>22</v>
      </c>
      <c r="L14" t="s">
        <v>613</v>
      </c>
      <c r="M14">
        <v>4777</v>
      </c>
      <c r="N14">
        <v>7</v>
      </c>
      <c r="O14" t="s">
        <v>2118</v>
      </c>
      <c r="P14">
        <v>7</v>
      </c>
    </row>
    <row r="15" spans="1:16">
      <c r="A15" t="s">
        <v>2075</v>
      </c>
      <c r="B15" t="s">
        <v>2076</v>
      </c>
      <c r="C15">
        <v>3</v>
      </c>
      <c r="D15" t="s">
        <v>15</v>
      </c>
      <c r="E15" t="s">
        <v>2077</v>
      </c>
      <c r="F15">
        <v>1</v>
      </c>
      <c r="G15">
        <v>14</v>
      </c>
      <c r="I15" t="s">
        <v>1312</v>
      </c>
      <c r="J15" t="s">
        <v>1313</v>
      </c>
      <c r="K15" t="s">
        <v>22</v>
      </c>
      <c r="L15" t="s">
        <v>1314</v>
      </c>
      <c r="M15">
        <v>8542</v>
      </c>
      <c r="N15">
        <v>31</v>
      </c>
      <c r="O15" t="s">
        <v>2119</v>
      </c>
      <c r="P15">
        <v>31</v>
      </c>
    </row>
    <row r="16" spans="1:16">
      <c r="A16" t="s">
        <v>2075</v>
      </c>
      <c r="B16" t="s">
        <v>2076</v>
      </c>
      <c r="C16">
        <v>3</v>
      </c>
      <c r="D16" t="s">
        <v>15</v>
      </c>
      <c r="E16" t="s">
        <v>2077</v>
      </c>
      <c r="F16">
        <v>1</v>
      </c>
      <c r="G16">
        <v>15</v>
      </c>
      <c r="I16" t="s">
        <v>2120</v>
      </c>
      <c r="J16" t="s">
        <v>2121</v>
      </c>
      <c r="K16" t="s">
        <v>22</v>
      </c>
      <c r="L16" t="s">
        <v>2122</v>
      </c>
      <c r="M16">
        <v>423</v>
      </c>
      <c r="N16">
        <v>23</v>
      </c>
      <c r="O16" t="s">
        <v>2123</v>
      </c>
      <c r="P16">
        <v>23</v>
      </c>
    </row>
    <row r="17" spans="1:16">
      <c r="A17" t="s">
        <v>2075</v>
      </c>
      <c r="B17" t="s">
        <v>2076</v>
      </c>
      <c r="C17">
        <v>3</v>
      </c>
      <c r="D17" t="s">
        <v>15</v>
      </c>
      <c r="E17" t="s">
        <v>2077</v>
      </c>
      <c r="F17">
        <v>1</v>
      </c>
      <c r="G17">
        <v>16</v>
      </c>
      <c r="I17" t="s">
        <v>2124</v>
      </c>
      <c r="J17" t="s">
        <v>2125</v>
      </c>
      <c r="K17" t="s">
        <v>22</v>
      </c>
      <c r="L17" t="s">
        <v>2126</v>
      </c>
      <c r="M17">
        <v>3967</v>
      </c>
      <c r="N17">
        <v>36</v>
      </c>
      <c r="O17" t="s">
        <v>2127</v>
      </c>
      <c r="P17">
        <v>36</v>
      </c>
    </row>
    <row r="18" spans="1:16">
      <c r="A18" t="s">
        <v>2075</v>
      </c>
      <c r="B18" t="s">
        <v>2076</v>
      </c>
      <c r="C18">
        <v>3</v>
      </c>
      <c r="D18" t="s">
        <v>15</v>
      </c>
      <c r="E18" t="s">
        <v>2077</v>
      </c>
      <c r="F18">
        <v>1</v>
      </c>
      <c r="G18">
        <v>17</v>
      </c>
      <c r="I18" t="s">
        <v>2128</v>
      </c>
      <c r="J18" t="s">
        <v>2129</v>
      </c>
      <c r="K18" t="s">
        <v>1570</v>
      </c>
      <c r="L18" t="s">
        <v>2130</v>
      </c>
      <c r="M18">
        <v>1596</v>
      </c>
      <c r="N18">
        <v>5</v>
      </c>
      <c r="O18" t="s">
        <v>2131</v>
      </c>
      <c r="P18">
        <v>5</v>
      </c>
    </row>
    <row r="19" spans="1:16">
      <c r="A19" t="s">
        <v>2075</v>
      </c>
      <c r="B19" t="s">
        <v>2076</v>
      </c>
      <c r="C19">
        <v>3</v>
      </c>
      <c r="D19" t="s">
        <v>15</v>
      </c>
      <c r="E19" t="s">
        <v>2077</v>
      </c>
      <c r="F19">
        <v>1</v>
      </c>
      <c r="G19">
        <v>18</v>
      </c>
      <c r="I19" t="s">
        <v>2132</v>
      </c>
      <c r="J19" t="s">
        <v>2133</v>
      </c>
      <c r="K19" t="s">
        <v>22</v>
      </c>
      <c r="L19" t="s">
        <v>2134</v>
      </c>
      <c r="M19">
        <v>2408</v>
      </c>
      <c r="N19">
        <v>73</v>
      </c>
      <c r="O19" t="s">
        <v>2135</v>
      </c>
      <c r="P19">
        <v>73</v>
      </c>
    </row>
    <row r="20" spans="1:16">
      <c r="A20" t="s">
        <v>2075</v>
      </c>
      <c r="B20" t="s">
        <v>2076</v>
      </c>
      <c r="C20">
        <v>3</v>
      </c>
      <c r="D20" t="s">
        <v>15</v>
      </c>
      <c r="E20" t="s">
        <v>2077</v>
      </c>
      <c r="F20">
        <v>1</v>
      </c>
      <c r="G20">
        <v>19</v>
      </c>
      <c r="I20" t="s">
        <v>2136</v>
      </c>
      <c r="J20" t="s">
        <v>2137</v>
      </c>
      <c r="K20" t="s">
        <v>1570</v>
      </c>
      <c r="L20" t="s">
        <v>2138</v>
      </c>
      <c r="M20">
        <v>1573</v>
      </c>
      <c r="N20">
        <v>9</v>
      </c>
      <c r="O20" t="s">
        <v>2139</v>
      </c>
      <c r="P20">
        <v>9</v>
      </c>
    </row>
    <row r="21" spans="1:16">
      <c r="A21" t="s">
        <v>2075</v>
      </c>
      <c r="B21" t="s">
        <v>2076</v>
      </c>
      <c r="C21">
        <v>3</v>
      </c>
      <c r="D21" t="s">
        <v>15</v>
      </c>
      <c r="E21" t="s">
        <v>2077</v>
      </c>
      <c r="F21">
        <v>1</v>
      </c>
      <c r="G21">
        <v>20</v>
      </c>
      <c r="I21" t="s">
        <v>2140</v>
      </c>
      <c r="J21" t="s">
        <v>2141</v>
      </c>
      <c r="K21" t="s">
        <v>22</v>
      </c>
      <c r="L21" t="s">
        <v>2142</v>
      </c>
      <c r="M21">
        <v>252</v>
      </c>
      <c r="N21">
        <v>3</v>
      </c>
      <c r="O21" t="s">
        <v>2143</v>
      </c>
      <c r="P21">
        <v>3</v>
      </c>
    </row>
    <row r="22" spans="1:16">
      <c r="A22" t="s">
        <v>2075</v>
      </c>
      <c r="B22" t="s">
        <v>2076</v>
      </c>
      <c r="C22">
        <v>3</v>
      </c>
      <c r="D22" t="s">
        <v>15</v>
      </c>
      <c r="E22" t="s">
        <v>2077</v>
      </c>
      <c r="F22">
        <v>1</v>
      </c>
      <c r="G22">
        <v>21</v>
      </c>
      <c r="I22" t="s">
        <v>1107</v>
      </c>
      <c r="J22" t="s">
        <v>1108</v>
      </c>
      <c r="K22" t="s">
        <v>22</v>
      </c>
      <c r="L22" t="s">
        <v>1109</v>
      </c>
      <c r="M22">
        <v>4095</v>
      </c>
      <c r="N22">
        <v>9</v>
      </c>
      <c r="O22" t="s">
        <v>2144</v>
      </c>
      <c r="P22">
        <v>9</v>
      </c>
    </row>
    <row r="23" spans="1:16">
      <c r="A23" t="s">
        <v>2075</v>
      </c>
      <c r="B23" t="s">
        <v>2076</v>
      </c>
      <c r="C23">
        <v>3</v>
      </c>
      <c r="D23" t="s">
        <v>15</v>
      </c>
      <c r="E23" t="s">
        <v>2077</v>
      </c>
      <c r="F23">
        <v>1</v>
      </c>
      <c r="G23">
        <v>22</v>
      </c>
      <c r="I23" t="s">
        <v>34</v>
      </c>
      <c r="J23" t="s">
        <v>35</v>
      </c>
      <c r="K23" t="s">
        <v>22</v>
      </c>
      <c r="L23" t="s">
        <v>36</v>
      </c>
      <c r="M23">
        <v>4320</v>
      </c>
      <c r="N23">
        <v>15</v>
      </c>
      <c r="O23" t="s">
        <v>2145</v>
      </c>
      <c r="P23">
        <v>15</v>
      </c>
    </row>
    <row r="24" spans="1:16">
      <c r="A24" t="s">
        <v>2075</v>
      </c>
      <c r="B24" t="s">
        <v>2076</v>
      </c>
      <c r="C24">
        <v>3</v>
      </c>
      <c r="D24" t="s">
        <v>15</v>
      </c>
      <c r="E24" t="s">
        <v>2077</v>
      </c>
      <c r="F24">
        <v>1</v>
      </c>
      <c r="G24">
        <v>23</v>
      </c>
      <c r="I24" t="s">
        <v>2146</v>
      </c>
      <c r="J24" t="s">
        <v>2147</v>
      </c>
      <c r="K24" t="s">
        <v>22</v>
      </c>
      <c r="L24" t="s">
        <v>2148</v>
      </c>
      <c r="M24">
        <v>4041</v>
      </c>
      <c r="N24">
        <v>6</v>
      </c>
      <c r="O24" t="s">
        <v>2149</v>
      </c>
      <c r="P24">
        <v>6</v>
      </c>
    </row>
    <row r="25" spans="1:16">
      <c r="A25" t="s">
        <v>2075</v>
      </c>
      <c r="B25" t="s">
        <v>2076</v>
      </c>
      <c r="C25">
        <v>3</v>
      </c>
      <c r="D25" t="s">
        <v>15</v>
      </c>
      <c r="E25" t="s">
        <v>2077</v>
      </c>
      <c r="F25">
        <v>1</v>
      </c>
      <c r="G25">
        <v>24</v>
      </c>
      <c r="I25" t="s">
        <v>53</v>
      </c>
      <c r="J25" t="s">
        <v>54</v>
      </c>
      <c r="K25" t="s">
        <v>22</v>
      </c>
      <c r="L25" t="s">
        <v>55</v>
      </c>
      <c r="M25">
        <v>1168</v>
      </c>
      <c r="N25">
        <v>3</v>
      </c>
      <c r="O25" t="s">
        <v>2150</v>
      </c>
      <c r="P25">
        <v>3</v>
      </c>
    </row>
    <row r="26" spans="1:16">
      <c r="A26" t="s">
        <v>2075</v>
      </c>
      <c r="B26" t="s">
        <v>2076</v>
      </c>
      <c r="C26">
        <v>3</v>
      </c>
      <c r="D26" t="s">
        <v>15</v>
      </c>
      <c r="E26" t="s">
        <v>2077</v>
      </c>
      <c r="F26">
        <v>1</v>
      </c>
      <c r="G26">
        <v>25</v>
      </c>
      <c r="I26" t="s">
        <v>2151</v>
      </c>
      <c r="J26" t="s">
        <v>2152</v>
      </c>
      <c r="K26" t="s">
        <v>22</v>
      </c>
      <c r="L26" t="s">
        <v>2153</v>
      </c>
      <c r="M26">
        <v>10410</v>
      </c>
      <c r="N26">
        <v>1</v>
      </c>
      <c r="O26" t="s">
        <v>2154</v>
      </c>
      <c r="P26">
        <v>1</v>
      </c>
    </row>
    <row r="27" spans="1:16">
      <c r="A27" t="s">
        <v>2075</v>
      </c>
      <c r="B27" t="s">
        <v>2076</v>
      </c>
      <c r="C27">
        <v>3</v>
      </c>
      <c r="D27" t="s">
        <v>15</v>
      </c>
      <c r="E27" t="s">
        <v>2077</v>
      </c>
      <c r="F27">
        <v>1</v>
      </c>
      <c r="G27">
        <v>26</v>
      </c>
      <c r="I27" t="s">
        <v>1288</v>
      </c>
      <c r="J27" t="s">
        <v>1289</v>
      </c>
      <c r="K27" t="s">
        <v>22</v>
      </c>
      <c r="L27" t="s">
        <v>1290</v>
      </c>
      <c r="M27">
        <v>1148</v>
      </c>
      <c r="N27">
        <v>1</v>
      </c>
      <c r="O27" t="s">
        <v>2155</v>
      </c>
      <c r="P27">
        <v>1</v>
      </c>
    </row>
    <row r="28" spans="1:16">
      <c r="A28" t="s">
        <v>2075</v>
      </c>
      <c r="B28" t="s">
        <v>2076</v>
      </c>
      <c r="C28">
        <v>3</v>
      </c>
      <c r="D28" t="s">
        <v>15</v>
      </c>
      <c r="E28" t="s">
        <v>2077</v>
      </c>
      <c r="F28">
        <v>1</v>
      </c>
      <c r="G28">
        <v>27</v>
      </c>
      <c r="I28" t="s">
        <v>37</v>
      </c>
      <c r="J28" t="s">
        <v>2156</v>
      </c>
      <c r="K28" t="s">
        <v>22</v>
      </c>
      <c r="L28" t="s">
        <v>2157</v>
      </c>
      <c r="M28">
        <v>10508</v>
      </c>
      <c r="N28">
        <v>3</v>
      </c>
      <c r="O28" t="s">
        <v>2158</v>
      </c>
      <c r="P28">
        <v>3</v>
      </c>
    </row>
    <row r="29" spans="1:16">
      <c r="A29" t="s">
        <v>2075</v>
      </c>
      <c r="B29" t="s">
        <v>2076</v>
      </c>
      <c r="C29">
        <v>3</v>
      </c>
      <c r="D29" t="s">
        <v>15</v>
      </c>
      <c r="E29" t="s">
        <v>2077</v>
      </c>
      <c r="F29">
        <v>1</v>
      </c>
      <c r="G29">
        <v>28</v>
      </c>
      <c r="I29" t="s">
        <v>2159</v>
      </c>
      <c r="J29" t="s">
        <v>2160</v>
      </c>
      <c r="K29" t="s">
        <v>22</v>
      </c>
      <c r="L29" t="s">
        <v>2161</v>
      </c>
      <c r="M29">
        <v>10507</v>
      </c>
      <c r="N29">
        <v>1</v>
      </c>
      <c r="O29" t="s">
        <v>2162</v>
      </c>
      <c r="P29">
        <v>1</v>
      </c>
    </row>
    <row r="30" spans="1:16">
      <c r="A30" t="s">
        <v>2075</v>
      </c>
      <c r="B30" t="s">
        <v>2076</v>
      </c>
      <c r="C30">
        <v>3</v>
      </c>
      <c r="D30" t="s">
        <v>15</v>
      </c>
      <c r="E30" t="s">
        <v>2077</v>
      </c>
      <c r="F30">
        <v>1</v>
      </c>
      <c r="G30">
        <v>29</v>
      </c>
      <c r="I30" t="s">
        <v>2163</v>
      </c>
      <c r="J30" t="s">
        <v>2164</v>
      </c>
      <c r="K30" t="s">
        <v>22</v>
      </c>
      <c r="L30" t="s">
        <v>2165</v>
      </c>
      <c r="M30">
        <v>1659</v>
      </c>
      <c r="N30">
        <v>1</v>
      </c>
      <c r="O30" t="s">
        <v>2166</v>
      </c>
      <c r="P30">
        <v>1</v>
      </c>
    </row>
    <row r="31" spans="1:16">
      <c r="A31" t="s">
        <v>2075</v>
      </c>
      <c r="B31" t="s">
        <v>2076</v>
      </c>
      <c r="C31">
        <v>3</v>
      </c>
      <c r="D31" t="s">
        <v>15</v>
      </c>
      <c r="E31" t="s">
        <v>2077</v>
      </c>
      <c r="F31">
        <v>1</v>
      </c>
      <c r="G31">
        <v>30</v>
      </c>
      <c r="I31" t="s">
        <v>2167</v>
      </c>
      <c r="J31" t="s">
        <v>2168</v>
      </c>
      <c r="K31" t="s">
        <v>48</v>
      </c>
      <c r="L31" t="s">
        <v>2169</v>
      </c>
      <c r="M31">
        <v>4144</v>
      </c>
      <c r="N31">
        <v>1</v>
      </c>
      <c r="O31" t="s">
        <v>2170</v>
      </c>
      <c r="P31">
        <v>1</v>
      </c>
    </row>
    <row r="32" spans="1:16">
      <c r="A32" t="s">
        <v>2075</v>
      </c>
      <c r="B32" t="s">
        <v>2076</v>
      </c>
      <c r="C32">
        <v>3</v>
      </c>
      <c r="D32" t="s">
        <v>15</v>
      </c>
      <c r="E32" t="s">
        <v>2077</v>
      </c>
      <c r="F32">
        <v>1</v>
      </c>
      <c r="G32">
        <v>31</v>
      </c>
      <c r="I32" t="s">
        <v>2171</v>
      </c>
      <c r="J32" t="s">
        <v>2172</v>
      </c>
      <c r="K32" t="s">
        <v>22</v>
      </c>
      <c r="L32" t="s">
        <v>2173</v>
      </c>
      <c r="M32">
        <v>10505</v>
      </c>
      <c r="N32">
        <v>3</v>
      </c>
      <c r="O32" t="s">
        <v>2174</v>
      </c>
      <c r="P32">
        <v>3</v>
      </c>
    </row>
    <row r="33" spans="1:16">
      <c r="A33" t="s">
        <v>2075</v>
      </c>
      <c r="B33" t="s">
        <v>2076</v>
      </c>
      <c r="C33">
        <v>3</v>
      </c>
      <c r="D33" t="s">
        <v>15</v>
      </c>
      <c r="E33" t="s">
        <v>2077</v>
      </c>
      <c r="F33">
        <v>1</v>
      </c>
      <c r="G33">
        <v>32</v>
      </c>
      <c r="I33" t="s">
        <v>2175</v>
      </c>
      <c r="J33" t="s">
        <v>2176</v>
      </c>
      <c r="K33" t="s">
        <v>22</v>
      </c>
      <c r="L33" t="s">
        <v>2177</v>
      </c>
      <c r="M33">
        <v>10506</v>
      </c>
      <c r="N33">
        <v>2</v>
      </c>
      <c r="O33" t="s">
        <v>2178</v>
      </c>
      <c r="P33">
        <v>2</v>
      </c>
    </row>
    <row r="34" spans="1:16">
      <c r="A34" t="s">
        <v>2075</v>
      </c>
      <c r="B34" t="s">
        <v>2076</v>
      </c>
      <c r="C34">
        <v>3</v>
      </c>
      <c r="D34" t="s">
        <v>15</v>
      </c>
      <c r="E34" t="s">
        <v>2077</v>
      </c>
      <c r="F34">
        <v>1</v>
      </c>
      <c r="G34">
        <v>33</v>
      </c>
      <c r="I34" t="s">
        <v>2179</v>
      </c>
      <c r="J34" t="s">
        <v>2180</v>
      </c>
      <c r="K34" t="s">
        <v>22</v>
      </c>
      <c r="L34" t="s">
        <v>2181</v>
      </c>
      <c r="M34">
        <v>2279</v>
      </c>
      <c r="N34">
        <v>2</v>
      </c>
      <c r="O34" t="s">
        <v>2182</v>
      </c>
      <c r="P34">
        <v>2</v>
      </c>
    </row>
    <row r="35" spans="1:16">
      <c r="A35" t="s">
        <v>2075</v>
      </c>
      <c r="B35" t="s">
        <v>2076</v>
      </c>
      <c r="C35">
        <v>3</v>
      </c>
      <c r="D35" t="s">
        <v>15</v>
      </c>
      <c r="E35" t="s">
        <v>2077</v>
      </c>
      <c r="F35">
        <v>1</v>
      </c>
      <c r="G35">
        <v>34</v>
      </c>
      <c r="I35" t="s">
        <v>2183</v>
      </c>
      <c r="J35" t="s">
        <v>2184</v>
      </c>
      <c r="K35" t="s">
        <v>339</v>
      </c>
      <c r="L35" t="s">
        <v>2185</v>
      </c>
      <c r="M35">
        <v>10357</v>
      </c>
      <c r="N35">
        <v>1</v>
      </c>
      <c r="O35" t="s">
        <v>164</v>
      </c>
      <c r="P35">
        <v>1</v>
      </c>
    </row>
    <row r="36" spans="1:16">
      <c r="A36" t="s">
        <v>2075</v>
      </c>
      <c r="B36" t="s">
        <v>2076</v>
      </c>
      <c r="C36">
        <v>3</v>
      </c>
      <c r="D36" t="s">
        <v>15</v>
      </c>
      <c r="E36" t="s">
        <v>2077</v>
      </c>
      <c r="F36">
        <v>1</v>
      </c>
      <c r="G36">
        <v>35</v>
      </c>
      <c r="I36" t="s">
        <v>706</v>
      </c>
      <c r="J36" t="s">
        <v>707</v>
      </c>
      <c r="K36" t="s">
        <v>708</v>
      </c>
      <c r="L36" t="s">
        <v>709</v>
      </c>
      <c r="M36">
        <v>9574</v>
      </c>
      <c r="N36">
        <v>1</v>
      </c>
      <c r="O36" t="s">
        <v>322</v>
      </c>
      <c r="P36">
        <v>1</v>
      </c>
    </row>
    <row r="37" spans="1:16">
      <c r="A37" t="s">
        <v>2075</v>
      </c>
      <c r="B37" t="s">
        <v>2076</v>
      </c>
      <c r="C37">
        <v>3</v>
      </c>
      <c r="D37" t="s">
        <v>15</v>
      </c>
      <c r="E37" t="s">
        <v>2077</v>
      </c>
      <c r="F37">
        <v>1</v>
      </c>
      <c r="G37">
        <v>36</v>
      </c>
      <c r="I37" t="s">
        <v>2186</v>
      </c>
      <c r="J37" t="s">
        <v>2187</v>
      </c>
      <c r="K37" t="s">
        <v>2188</v>
      </c>
      <c r="L37" t="s">
        <v>2189</v>
      </c>
      <c r="M37">
        <v>791</v>
      </c>
      <c r="N37">
        <v>1</v>
      </c>
      <c r="O37" t="s">
        <v>2190</v>
      </c>
      <c r="P37">
        <v>1</v>
      </c>
    </row>
    <row r="38" spans="1:16">
      <c r="A38" t="s">
        <v>2075</v>
      </c>
      <c r="B38" t="s">
        <v>2076</v>
      </c>
      <c r="C38">
        <v>3</v>
      </c>
      <c r="D38" t="s">
        <v>15</v>
      </c>
      <c r="E38" t="s">
        <v>2077</v>
      </c>
      <c r="F38">
        <v>1</v>
      </c>
      <c r="G38">
        <v>37</v>
      </c>
      <c r="I38" t="s">
        <v>2191</v>
      </c>
      <c r="J38" t="s">
        <v>2192</v>
      </c>
      <c r="K38" t="s">
        <v>2193</v>
      </c>
      <c r="L38" t="s">
        <v>2194</v>
      </c>
      <c r="M38">
        <v>8609</v>
      </c>
      <c r="N38">
        <v>2</v>
      </c>
      <c r="O38" t="s">
        <v>2195</v>
      </c>
      <c r="P38">
        <v>2</v>
      </c>
    </row>
    <row r="39" spans="1:16">
      <c r="A39" t="s">
        <v>2075</v>
      </c>
      <c r="B39" t="s">
        <v>2076</v>
      </c>
      <c r="C39">
        <v>3</v>
      </c>
      <c r="D39" t="s">
        <v>15</v>
      </c>
      <c r="E39" t="s">
        <v>2077</v>
      </c>
      <c r="F39">
        <v>1</v>
      </c>
      <c r="G39">
        <v>38</v>
      </c>
      <c r="I39" t="s">
        <v>2196</v>
      </c>
      <c r="J39" t="s">
        <v>2197</v>
      </c>
      <c r="K39" t="s">
        <v>662</v>
      </c>
      <c r="L39" t="s">
        <v>2198</v>
      </c>
      <c r="M39">
        <v>10320</v>
      </c>
      <c r="N39">
        <v>1</v>
      </c>
      <c r="O39" t="s">
        <v>2199</v>
      </c>
      <c r="P39">
        <v>1</v>
      </c>
    </row>
    <row r="40" spans="1:16">
      <c r="A40" t="s">
        <v>2075</v>
      </c>
      <c r="B40" t="s">
        <v>2076</v>
      </c>
      <c r="C40">
        <v>3</v>
      </c>
      <c r="D40" t="s">
        <v>15</v>
      </c>
      <c r="E40" t="s">
        <v>2077</v>
      </c>
      <c r="F40">
        <v>1</v>
      </c>
      <c r="G40">
        <v>39</v>
      </c>
      <c r="I40" t="s">
        <v>2200</v>
      </c>
      <c r="J40" t="s">
        <v>2201</v>
      </c>
      <c r="K40" t="s">
        <v>122</v>
      </c>
      <c r="L40" t="s">
        <v>2202</v>
      </c>
      <c r="M40">
        <v>3785</v>
      </c>
      <c r="N40">
        <v>1</v>
      </c>
      <c r="O40" t="s">
        <v>2203</v>
      </c>
      <c r="P40">
        <v>1</v>
      </c>
    </row>
    <row r="41" spans="1:16">
      <c r="A41" t="s">
        <v>2075</v>
      </c>
      <c r="B41" t="s">
        <v>2076</v>
      </c>
      <c r="C41">
        <v>3</v>
      </c>
      <c r="D41" t="s">
        <v>15</v>
      </c>
      <c r="E41" t="s">
        <v>2077</v>
      </c>
      <c r="F41">
        <v>1</v>
      </c>
      <c r="G41">
        <v>40</v>
      </c>
      <c r="I41" t="s">
        <v>2204</v>
      </c>
      <c r="J41" t="s">
        <v>2205</v>
      </c>
      <c r="K41" t="s">
        <v>324</v>
      </c>
      <c r="L41" t="s">
        <v>2206</v>
      </c>
      <c r="M41">
        <v>3055</v>
      </c>
      <c r="N41">
        <v>8</v>
      </c>
      <c r="O41" t="s">
        <v>2207</v>
      </c>
      <c r="P41">
        <v>8</v>
      </c>
    </row>
    <row r="42" spans="1:16">
      <c r="A42" t="s">
        <v>2075</v>
      </c>
      <c r="B42" t="s">
        <v>2076</v>
      </c>
      <c r="C42">
        <v>3</v>
      </c>
      <c r="D42" t="s">
        <v>15</v>
      </c>
      <c r="E42" t="s">
        <v>2077</v>
      </c>
      <c r="F42">
        <v>1</v>
      </c>
      <c r="G42">
        <v>41</v>
      </c>
      <c r="I42" t="s">
        <v>2208</v>
      </c>
      <c r="J42" t="s">
        <v>2209</v>
      </c>
      <c r="K42" t="s">
        <v>339</v>
      </c>
      <c r="L42" t="s">
        <v>2210</v>
      </c>
      <c r="M42">
        <v>8770</v>
      </c>
      <c r="N42">
        <v>4</v>
      </c>
      <c r="O42" t="s">
        <v>2211</v>
      </c>
      <c r="P42">
        <v>4</v>
      </c>
    </row>
    <row r="43" spans="1:16">
      <c r="A43" t="s">
        <v>2075</v>
      </c>
      <c r="B43" t="s">
        <v>2076</v>
      </c>
      <c r="C43">
        <v>3</v>
      </c>
      <c r="D43" t="s">
        <v>15</v>
      </c>
      <c r="E43" t="s">
        <v>2077</v>
      </c>
      <c r="F43">
        <v>1</v>
      </c>
      <c r="G43">
        <v>42</v>
      </c>
      <c r="I43" t="s">
        <v>2212</v>
      </c>
      <c r="J43" t="s">
        <v>2213</v>
      </c>
      <c r="K43" t="s">
        <v>324</v>
      </c>
      <c r="L43" t="s">
        <v>2214</v>
      </c>
      <c r="M43">
        <v>4134</v>
      </c>
      <c r="N43">
        <v>1</v>
      </c>
      <c r="O43" t="s">
        <v>2215</v>
      </c>
      <c r="P43">
        <v>1</v>
      </c>
    </row>
    <row r="44" spans="1:16">
      <c r="A44" t="s">
        <v>2075</v>
      </c>
      <c r="B44" t="s">
        <v>2076</v>
      </c>
      <c r="C44">
        <v>3</v>
      </c>
      <c r="D44" t="s">
        <v>15</v>
      </c>
      <c r="E44" t="s">
        <v>2077</v>
      </c>
      <c r="F44">
        <v>1</v>
      </c>
      <c r="G44">
        <v>43</v>
      </c>
      <c r="I44" t="s">
        <v>2216</v>
      </c>
      <c r="J44" t="s">
        <v>2217</v>
      </c>
      <c r="K44" t="s">
        <v>122</v>
      </c>
      <c r="L44" t="s">
        <v>2218</v>
      </c>
      <c r="M44">
        <v>7774</v>
      </c>
      <c r="N44">
        <v>1</v>
      </c>
      <c r="O44" t="s">
        <v>2219</v>
      </c>
      <c r="P44">
        <v>1</v>
      </c>
    </row>
    <row r="45" spans="1:16">
      <c r="A45" t="s">
        <v>2075</v>
      </c>
      <c r="B45" t="s">
        <v>2076</v>
      </c>
      <c r="C45">
        <v>3</v>
      </c>
      <c r="D45" t="s">
        <v>15</v>
      </c>
      <c r="E45" t="s">
        <v>2077</v>
      </c>
      <c r="F45">
        <v>1</v>
      </c>
      <c r="G45">
        <v>44</v>
      </c>
      <c r="I45" t="s">
        <v>2220</v>
      </c>
      <c r="J45" t="s">
        <v>2221</v>
      </c>
      <c r="K45" t="s">
        <v>2222</v>
      </c>
      <c r="L45" t="s">
        <v>2223</v>
      </c>
      <c r="M45">
        <v>8277</v>
      </c>
      <c r="N45">
        <v>1</v>
      </c>
      <c r="O45" t="s">
        <v>2224</v>
      </c>
      <c r="P45">
        <v>1</v>
      </c>
    </row>
    <row r="46" spans="1:16">
      <c r="A46" t="s">
        <v>2075</v>
      </c>
      <c r="B46" t="s">
        <v>2076</v>
      </c>
      <c r="C46">
        <v>3</v>
      </c>
      <c r="D46" t="s">
        <v>15</v>
      </c>
      <c r="E46" t="s">
        <v>2077</v>
      </c>
      <c r="F46">
        <v>1</v>
      </c>
      <c r="G46">
        <v>45</v>
      </c>
      <c r="I46" t="s">
        <v>2225</v>
      </c>
      <c r="J46" t="s">
        <v>2226</v>
      </c>
      <c r="K46" t="s">
        <v>2227</v>
      </c>
      <c r="L46" t="s">
        <v>2228</v>
      </c>
      <c r="M46">
        <v>1853</v>
      </c>
      <c r="N46">
        <v>1</v>
      </c>
      <c r="O46" t="s">
        <v>2229</v>
      </c>
      <c r="P46">
        <v>1</v>
      </c>
    </row>
    <row r="47" spans="1:16">
      <c r="A47" t="s">
        <v>2075</v>
      </c>
      <c r="B47" t="s">
        <v>2076</v>
      </c>
      <c r="C47">
        <v>3</v>
      </c>
      <c r="D47" t="s">
        <v>15</v>
      </c>
      <c r="E47" t="s">
        <v>2077</v>
      </c>
      <c r="F47">
        <v>1</v>
      </c>
      <c r="G47">
        <v>46</v>
      </c>
      <c r="I47" t="s">
        <v>2230</v>
      </c>
      <c r="J47" t="s">
        <v>2231</v>
      </c>
      <c r="K47" t="s">
        <v>339</v>
      </c>
      <c r="L47" t="s">
        <v>2232</v>
      </c>
      <c r="M47">
        <v>1555</v>
      </c>
      <c r="N47">
        <v>2</v>
      </c>
      <c r="O47" t="s">
        <v>2233</v>
      </c>
      <c r="P47">
        <v>2</v>
      </c>
    </row>
    <row r="48" spans="1:16">
      <c r="A48" t="s">
        <v>2075</v>
      </c>
      <c r="B48" t="s">
        <v>2076</v>
      </c>
      <c r="C48">
        <v>3</v>
      </c>
      <c r="D48" t="s">
        <v>15</v>
      </c>
      <c r="E48" t="s">
        <v>2077</v>
      </c>
      <c r="F48">
        <v>1</v>
      </c>
      <c r="G48">
        <v>47</v>
      </c>
      <c r="I48" t="s">
        <v>2234</v>
      </c>
      <c r="J48" t="s">
        <v>2235</v>
      </c>
      <c r="K48" t="s">
        <v>351</v>
      </c>
      <c r="L48" t="s">
        <v>2236</v>
      </c>
      <c r="M48">
        <v>4801</v>
      </c>
      <c r="N48">
        <v>1</v>
      </c>
      <c r="O48" t="s">
        <v>2237</v>
      </c>
      <c r="P48">
        <v>1</v>
      </c>
    </row>
    <row r="49" spans="1:16">
      <c r="A49" t="s">
        <v>2075</v>
      </c>
      <c r="B49" t="s">
        <v>2076</v>
      </c>
      <c r="C49">
        <v>3</v>
      </c>
      <c r="D49" t="s">
        <v>15</v>
      </c>
      <c r="E49" t="s">
        <v>2077</v>
      </c>
      <c r="F49">
        <v>1</v>
      </c>
      <c r="G49">
        <v>48</v>
      </c>
      <c r="I49" t="s">
        <v>2238</v>
      </c>
      <c r="J49" t="s">
        <v>2239</v>
      </c>
      <c r="K49" t="s">
        <v>2240</v>
      </c>
      <c r="L49" t="s">
        <v>2241</v>
      </c>
      <c r="M49">
        <v>4685</v>
      </c>
      <c r="N49">
        <v>1</v>
      </c>
      <c r="O49" t="s">
        <v>2242</v>
      </c>
      <c r="P49">
        <v>1</v>
      </c>
    </row>
    <row r="50" spans="1:16">
      <c r="A50" t="s">
        <v>2075</v>
      </c>
      <c r="B50" t="s">
        <v>2076</v>
      </c>
      <c r="C50">
        <v>3</v>
      </c>
      <c r="D50" t="s">
        <v>15</v>
      </c>
      <c r="E50" t="s">
        <v>2077</v>
      </c>
      <c r="F50">
        <v>1</v>
      </c>
      <c r="G50">
        <v>49</v>
      </c>
      <c r="I50" t="s">
        <v>2243</v>
      </c>
      <c r="J50" t="s">
        <v>2244</v>
      </c>
      <c r="K50" t="s">
        <v>324</v>
      </c>
      <c r="L50" t="s">
        <v>2245</v>
      </c>
      <c r="M50">
        <v>2988</v>
      </c>
      <c r="N50">
        <v>3</v>
      </c>
      <c r="O50" t="s">
        <v>2246</v>
      </c>
      <c r="P50">
        <v>3</v>
      </c>
    </row>
    <row r="51" spans="1:16">
      <c r="A51" t="s">
        <v>2075</v>
      </c>
      <c r="B51" t="s">
        <v>2076</v>
      </c>
      <c r="C51">
        <v>3</v>
      </c>
      <c r="D51" t="s">
        <v>15</v>
      </c>
      <c r="E51" t="s">
        <v>2077</v>
      </c>
      <c r="F51">
        <v>1</v>
      </c>
      <c r="G51">
        <v>50</v>
      </c>
      <c r="I51" t="s">
        <v>2247</v>
      </c>
      <c r="J51" t="s">
        <v>2248</v>
      </c>
      <c r="K51" t="s">
        <v>182</v>
      </c>
      <c r="L51" t="s">
        <v>2249</v>
      </c>
      <c r="M51">
        <v>9609</v>
      </c>
      <c r="N51">
        <v>1</v>
      </c>
      <c r="O51" t="s">
        <v>2250</v>
      </c>
      <c r="P51">
        <v>1</v>
      </c>
    </row>
    <row r="52" spans="1:16">
      <c r="A52" t="s">
        <v>2075</v>
      </c>
      <c r="B52" t="s">
        <v>2076</v>
      </c>
      <c r="C52">
        <v>3</v>
      </c>
      <c r="D52" t="s">
        <v>15</v>
      </c>
      <c r="E52" t="s">
        <v>2077</v>
      </c>
      <c r="F52">
        <v>1</v>
      </c>
      <c r="G52">
        <v>51</v>
      </c>
      <c r="I52" t="s">
        <v>2251</v>
      </c>
      <c r="J52" t="s">
        <v>2252</v>
      </c>
      <c r="K52" t="s">
        <v>122</v>
      </c>
      <c r="L52" t="s">
        <v>2253</v>
      </c>
      <c r="M52">
        <v>1368</v>
      </c>
      <c r="N52">
        <v>2</v>
      </c>
      <c r="O52" t="s">
        <v>2254</v>
      </c>
      <c r="P52">
        <v>2</v>
      </c>
    </row>
    <row r="53" spans="1:16">
      <c r="A53" t="s">
        <v>2075</v>
      </c>
      <c r="B53" t="s">
        <v>2076</v>
      </c>
      <c r="C53">
        <v>3</v>
      </c>
      <c r="D53" t="s">
        <v>15</v>
      </c>
      <c r="E53" t="s">
        <v>2077</v>
      </c>
      <c r="F53">
        <v>1</v>
      </c>
      <c r="G53">
        <v>52</v>
      </c>
      <c r="I53" t="s">
        <v>2255</v>
      </c>
      <c r="J53" t="s">
        <v>2256</v>
      </c>
      <c r="K53" t="s">
        <v>316</v>
      </c>
      <c r="L53" t="s">
        <v>2257</v>
      </c>
      <c r="M53">
        <v>1954</v>
      </c>
      <c r="N53">
        <v>2</v>
      </c>
      <c r="O53" t="s">
        <v>2258</v>
      </c>
      <c r="P53">
        <v>2</v>
      </c>
    </row>
    <row r="54" spans="1:16">
      <c r="A54" t="s">
        <v>2075</v>
      </c>
      <c r="B54" t="s">
        <v>2076</v>
      </c>
      <c r="C54">
        <v>3</v>
      </c>
      <c r="D54" t="s">
        <v>15</v>
      </c>
      <c r="E54" t="s">
        <v>2077</v>
      </c>
      <c r="F54">
        <v>1</v>
      </c>
      <c r="G54">
        <v>53</v>
      </c>
      <c r="I54" t="s">
        <v>2259</v>
      </c>
      <c r="J54" t="s">
        <v>2260</v>
      </c>
      <c r="K54" t="s">
        <v>339</v>
      </c>
      <c r="L54" t="s">
        <v>2261</v>
      </c>
      <c r="M54">
        <v>1317</v>
      </c>
      <c r="N54">
        <v>1</v>
      </c>
      <c r="O54" t="s">
        <v>2262</v>
      </c>
      <c r="P54">
        <v>1</v>
      </c>
    </row>
    <row r="55" spans="1:16">
      <c r="A55" t="s">
        <v>2075</v>
      </c>
      <c r="B55" t="s">
        <v>2076</v>
      </c>
      <c r="C55">
        <v>3</v>
      </c>
      <c r="D55" t="s">
        <v>15</v>
      </c>
      <c r="E55" t="s">
        <v>2077</v>
      </c>
      <c r="F55">
        <v>1</v>
      </c>
      <c r="G55">
        <v>54</v>
      </c>
      <c r="I55" t="s">
        <v>2263</v>
      </c>
      <c r="J55" t="s">
        <v>2264</v>
      </c>
      <c r="K55" t="s">
        <v>2265</v>
      </c>
      <c r="L55" t="s">
        <v>2266</v>
      </c>
      <c r="M55">
        <v>4595</v>
      </c>
      <c r="N55">
        <v>4</v>
      </c>
      <c r="O55" t="s">
        <v>2267</v>
      </c>
      <c r="P55">
        <v>4</v>
      </c>
    </row>
    <row r="56" spans="1:16">
      <c r="A56" t="s">
        <v>2075</v>
      </c>
      <c r="B56" t="s">
        <v>2076</v>
      </c>
      <c r="C56">
        <v>3</v>
      </c>
      <c r="D56" t="s">
        <v>15</v>
      </c>
      <c r="E56" t="s">
        <v>2077</v>
      </c>
      <c r="F56">
        <v>1</v>
      </c>
      <c r="G56">
        <v>55</v>
      </c>
      <c r="I56" t="s">
        <v>2268</v>
      </c>
      <c r="J56" t="s">
        <v>2269</v>
      </c>
      <c r="K56" t="s">
        <v>122</v>
      </c>
      <c r="L56" t="s">
        <v>2270</v>
      </c>
      <c r="M56">
        <v>2192</v>
      </c>
      <c r="N56">
        <v>1</v>
      </c>
      <c r="O56" t="s">
        <v>2271</v>
      </c>
      <c r="P56">
        <v>1</v>
      </c>
    </row>
    <row r="57" spans="1:16">
      <c r="A57" t="s">
        <v>2075</v>
      </c>
      <c r="B57" t="s">
        <v>2076</v>
      </c>
      <c r="C57">
        <v>3</v>
      </c>
      <c r="D57" t="s">
        <v>15</v>
      </c>
      <c r="E57" t="s">
        <v>2077</v>
      </c>
      <c r="F57">
        <v>1</v>
      </c>
      <c r="G57">
        <v>56</v>
      </c>
      <c r="I57" t="s">
        <v>2272</v>
      </c>
      <c r="J57" t="s">
        <v>2273</v>
      </c>
      <c r="K57" t="s">
        <v>324</v>
      </c>
      <c r="L57" t="s">
        <v>2274</v>
      </c>
      <c r="M57">
        <v>1101</v>
      </c>
      <c r="N57">
        <v>3</v>
      </c>
      <c r="O57" t="s">
        <v>2275</v>
      </c>
      <c r="P57">
        <v>3</v>
      </c>
    </row>
    <row r="58" spans="1:16">
      <c r="A58" t="s">
        <v>2075</v>
      </c>
      <c r="B58" t="s">
        <v>2076</v>
      </c>
      <c r="C58">
        <v>3</v>
      </c>
      <c r="D58" t="s">
        <v>15</v>
      </c>
      <c r="E58" t="s">
        <v>2077</v>
      </c>
      <c r="F58">
        <v>1</v>
      </c>
      <c r="G58">
        <v>57</v>
      </c>
      <c r="I58" t="s">
        <v>2276</v>
      </c>
      <c r="J58" t="s">
        <v>2277</v>
      </c>
      <c r="K58" t="s">
        <v>2265</v>
      </c>
      <c r="L58" t="s">
        <v>2278</v>
      </c>
      <c r="M58">
        <v>5542</v>
      </c>
      <c r="N58">
        <v>1</v>
      </c>
      <c r="O58" t="s">
        <v>2279</v>
      </c>
      <c r="P58">
        <v>1</v>
      </c>
    </row>
    <row r="59" spans="1:16">
      <c r="A59" t="s">
        <v>2075</v>
      </c>
      <c r="B59" t="s">
        <v>2076</v>
      </c>
      <c r="C59">
        <v>3</v>
      </c>
      <c r="D59" t="s">
        <v>15</v>
      </c>
      <c r="E59" t="s">
        <v>2077</v>
      </c>
      <c r="F59">
        <v>1</v>
      </c>
      <c r="G59">
        <v>58</v>
      </c>
      <c r="I59" t="s">
        <v>2280</v>
      </c>
      <c r="J59" t="s">
        <v>2281</v>
      </c>
      <c r="K59" t="s">
        <v>122</v>
      </c>
      <c r="L59" t="s">
        <v>2282</v>
      </c>
      <c r="M59">
        <v>8571</v>
      </c>
      <c r="N59">
        <v>1</v>
      </c>
      <c r="O59" t="s">
        <v>2283</v>
      </c>
      <c r="P59">
        <v>1</v>
      </c>
    </row>
    <row r="60" spans="1:16">
      <c r="A60" t="s">
        <v>2075</v>
      </c>
      <c r="B60" t="s">
        <v>2076</v>
      </c>
      <c r="C60">
        <v>3</v>
      </c>
      <c r="D60" t="s">
        <v>15</v>
      </c>
      <c r="E60" t="s">
        <v>2077</v>
      </c>
      <c r="F60">
        <v>1</v>
      </c>
      <c r="G60">
        <v>59</v>
      </c>
      <c r="I60" t="s">
        <v>2284</v>
      </c>
      <c r="J60" t="s">
        <v>2285</v>
      </c>
      <c r="K60" t="s">
        <v>122</v>
      </c>
      <c r="L60" t="s">
        <v>2286</v>
      </c>
      <c r="M60">
        <v>7638</v>
      </c>
      <c r="N60">
        <v>2</v>
      </c>
      <c r="O60" t="s">
        <v>2287</v>
      </c>
      <c r="P60">
        <v>2</v>
      </c>
    </row>
    <row r="61" spans="1:16">
      <c r="A61" t="s">
        <v>2075</v>
      </c>
      <c r="B61" t="s">
        <v>2076</v>
      </c>
      <c r="C61">
        <v>3</v>
      </c>
      <c r="D61" t="s">
        <v>15</v>
      </c>
      <c r="E61" t="s">
        <v>2077</v>
      </c>
      <c r="F61">
        <v>1</v>
      </c>
      <c r="G61">
        <v>60</v>
      </c>
      <c r="I61" t="s">
        <v>2288</v>
      </c>
      <c r="J61" t="s">
        <v>2289</v>
      </c>
      <c r="K61" t="s">
        <v>122</v>
      </c>
      <c r="L61" t="s">
        <v>2290</v>
      </c>
      <c r="M61">
        <v>2272</v>
      </c>
      <c r="N61">
        <v>5</v>
      </c>
      <c r="O61" t="s">
        <v>2291</v>
      </c>
      <c r="P61">
        <v>5</v>
      </c>
    </row>
    <row r="62" spans="1:16">
      <c r="A62" t="s">
        <v>2075</v>
      </c>
      <c r="B62" t="s">
        <v>2076</v>
      </c>
      <c r="C62">
        <v>3</v>
      </c>
      <c r="D62" t="s">
        <v>15</v>
      </c>
      <c r="E62" t="s">
        <v>2077</v>
      </c>
      <c r="F62">
        <v>1</v>
      </c>
      <c r="G62">
        <v>61</v>
      </c>
      <c r="I62" t="s">
        <v>2292</v>
      </c>
      <c r="J62" t="s">
        <v>2293</v>
      </c>
      <c r="K62" t="s">
        <v>122</v>
      </c>
      <c r="L62" t="s">
        <v>2294</v>
      </c>
      <c r="M62">
        <v>6600</v>
      </c>
      <c r="N62">
        <v>1</v>
      </c>
      <c r="O62" t="s">
        <v>2295</v>
      </c>
      <c r="P62">
        <v>1</v>
      </c>
    </row>
    <row r="63" spans="1:16">
      <c r="A63" t="s">
        <v>2075</v>
      </c>
      <c r="B63" t="s">
        <v>2076</v>
      </c>
      <c r="C63">
        <v>3</v>
      </c>
      <c r="D63" t="s">
        <v>15</v>
      </c>
      <c r="E63" t="s">
        <v>2077</v>
      </c>
      <c r="F63">
        <v>1</v>
      </c>
      <c r="G63">
        <v>62</v>
      </c>
      <c r="I63" t="s">
        <v>2296</v>
      </c>
      <c r="J63" t="s">
        <v>2297</v>
      </c>
      <c r="K63" t="s">
        <v>182</v>
      </c>
      <c r="L63" t="s">
        <v>2298</v>
      </c>
      <c r="M63">
        <v>1503</v>
      </c>
      <c r="N63">
        <v>2</v>
      </c>
      <c r="O63" t="s">
        <v>2299</v>
      </c>
      <c r="P63">
        <v>2</v>
      </c>
    </row>
    <row r="64" spans="1:16">
      <c r="A64" t="s">
        <v>2075</v>
      </c>
      <c r="B64" t="s">
        <v>2076</v>
      </c>
      <c r="C64">
        <v>3</v>
      </c>
      <c r="D64" t="s">
        <v>15</v>
      </c>
      <c r="E64" t="s">
        <v>2077</v>
      </c>
      <c r="F64">
        <v>1</v>
      </c>
      <c r="G64">
        <v>63</v>
      </c>
      <c r="I64" t="s">
        <v>2300</v>
      </c>
      <c r="J64" t="s">
        <v>2301</v>
      </c>
      <c r="K64" t="s">
        <v>1366</v>
      </c>
      <c r="L64" t="s">
        <v>2302</v>
      </c>
      <c r="M64">
        <v>4208</v>
      </c>
      <c r="N64">
        <v>2</v>
      </c>
      <c r="O64" t="s">
        <v>2303</v>
      </c>
      <c r="P64">
        <v>2</v>
      </c>
    </row>
    <row r="65" spans="1:16">
      <c r="A65" t="s">
        <v>2075</v>
      </c>
      <c r="B65" t="s">
        <v>2076</v>
      </c>
      <c r="C65">
        <v>3</v>
      </c>
      <c r="D65" t="s">
        <v>15</v>
      </c>
      <c r="E65" t="s">
        <v>2077</v>
      </c>
      <c r="F65">
        <v>1</v>
      </c>
      <c r="G65">
        <v>64</v>
      </c>
      <c r="I65" t="s">
        <v>2304</v>
      </c>
      <c r="J65" t="s">
        <v>2305</v>
      </c>
      <c r="K65" t="s">
        <v>1366</v>
      </c>
      <c r="L65" t="s">
        <v>2306</v>
      </c>
      <c r="M65">
        <v>2204</v>
      </c>
      <c r="N65">
        <v>1</v>
      </c>
      <c r="O65" t="s">
        <v>2307</v>
      </c>
      <c r="P65">
        <v>1</v>
      </c>
    </row>
    <row r="66" spans="1:16">
      <c r="A66" t="s">
        <v>2075</v>
      </c>
      <c r="B66" t="s">
        <v>2076</v>
      </c>
      <c r="C66">
        <v>3</v>
      </c>
      <c r="D66" t="s">
        <v>15</v>
      </c>
      <c r="E66" t="s">
        <v>2077</v>
      </c>
      <c r="F66">
        <v>1</v>
      </c>
      <c r="G66">
        <v>65</v>
      </c>
      <c r="I66" t="s">
        <v>2308</v>
      </c>
      <c r="J66" t="s">
        <v>2309</v>
      </c>
      <c r="K66" t="s">
        <v>1366</v>
      </c>
      <c r="L66" t="s">
        <v>2310</v>
      </c>
      <c r="M66">
        <v>6587</v>
      </c>
      <c r="N66">
        <v>2</v>
      </c>
      <c r="O66" t="s">
        <v>776</v>
      </c>
      <c r="P66">
        <v>2</v>
      </c>
    </row>
    <row r="67" spans="1:16">
      <c r="A67" t="s">
        <v>2075</v>
      </c>
      <c r="B67" t="s">
        <v>2076</v>
      </c>
      <c r="C67">
        <v>3</v>
      </c>
      <c r="D67" t="s">
        <v>15</v>
      </c>
      <c r="E67" t="s">
        <v>2077</v>
      </c>
      <c r="F67">
        <v>1</v>
      </c>
      <c r="G67">
        <v>66</v>
      </c>
      <c r="I67" t="s">
        <v>2311</v>
      </c>
      <c r="J67" t="s">
        <v>2312</v>
      </c>
      <c r="K67" t="s">
        <v>2313</v>
      </c>
      <c r="L67" t="s">
        <v>2314</v>
      </c>
      <c r="M67">
        <v>3812</v>
      </c>
      <c r="N67">
        <v>1</v>
      </c>
      <c r="O67" t="s">
        <v>2315</v>
      </c>
      <c r="P67">
        <v>1</v>
      </c>
    </row>
    <row r="68" spans="1:16">
      <c r="A68" t="s">
        <v>2075</v>
      </c>
      <c r="B68" t="s">
        <v>2076</v>
      </c>
      <c r="C68">
        <v>3</v>
      </c>
      <c r="D68" t="s">
        <v>15</v>
      </c>
      <c r="E68" t="s">
        <v>2077</v>
      </c>
      <c r="F68">
        <v>1</v>
      </c>
      <c r="G68">
        <v>67</v>
      </c>
      <c r="I68" t="s">
        <v>2316</v>
      </c>
      <c r="J68" t="s">
        <v>2317</v>
      </c>
      <c r="K68" t="s">
        <v>708</v>
      </c>
      <c r="L68" t="s">
        <v>2318</v>
      </c>
      <c r="M68">
        <v>3475</v>
      </c>
      <c r="N68">
        <v>1</v>
      </c>
      <c r="O68" t="s">
        <v>1666</v>
      </c>
      <c r="P68">
        <v>1</v>
      </c>
    </row>
    <row r="69" spans="1:16">
      <c r="A69" t="s">
        <v>2075</v>
      </c>
      <c r="B69" t="s">
        <v>2076</v>
      </c>
      <c r="C69">
        <v>3</v>
      </c>
      <c r="D69" t="s">
        <v>15</v>
      </c>
      <c r="E69" t="s">
        <v>2077</v>
      </c>
      <c r="F69">
        <v>1</v>
      </c>
      <c r="G69">
        <v>68</v>
      </c>
      <c r="I69" t="s">
        <v>2319</v>
      </c>
      <c r="J69" t="s">
        <v>2320</v>
      </c>
      <c r="K69" t="s">
        <v>151</v>
      </c>
      <c r="L69" t="s">
        <v>2321</v>
      </c>
      <c r="M69">
        <v>7989</v>
      </c>
      <c r="N69">
        <v>8</v>
      </c>
      <c r="O69" t="s">
        <v>2322</v>
      </c>
      <c r="P69">
        <v>8</v>
      </c>
    </row>
    <row r="70" spans="1:16">
      <c r="A70" t="s">
        <v>2075</v>
      </c>
      <c r="B70" t="s">
        <v>2076</v>
      </c>
      <c r="C70">
        <v>3</v>
      </c>
      <c r="D70" t="s">
        <v>15</v>
      </c>
      <c r="E70" t="s">
        <v>2077</v>
      </c>
      <c r="F70">
        <v>1</v>
      </c>
      <c r="G70">
        <v>69</v>
      </c>
      <c r="I70" t="s">
        <v>2323</v>
      </c>
      <c r="J70" t="s">
        <v>2324</v>
      </c>
      <c r="K70" t="s">
        <v>151</v>
      </c>
      <c r="L70" t="s">
        <v>2325</v>
      </c>
      <c r="M70">
        <v>6544</v>
      </c>
      <c r="N70">
        <v>3</v>
      </c>
      <c r="O70" t="s">
        <v>2326</v>
      </c>
      <c r="P70">
        <v>3</v>
      </c>
    </row>
    <row r="71" spans="1:16">
      <c r="A71" t="s">
        <v>2075</v>
      </c>
      <c r="B71" t="s">
        <v>2076</v>
      </c>
      <c r="C71">
        <v>3</v>
      </c>
      <c r="D71" t="s">
        <v>15</v>
      </c>
      <c r="E71" t="s">
        <v>2077</v>
      </c>
      <c r="F71">
        <v>1</v>
      </c>
      <c r="G71">
        <v>70</v>
      </c>
      <c r="I71" t="s">
        <v>1674</v>
      </c>
      <c r="J71" t="s">
        <v>1675</v>
      </c>
      <c r="K71" t="s">
        <v>392</v>
      </c>
      <c r="L71" t="s">
        <v>1676</v>
      </c>
      <c r="M71">
        <v>8452</v>
      </c>
      <c r="N71">
        <v>14</v>
      </c>
      <c r="O71" t="s">
        <v>2327</v>
      </c>
      <c r="P71">
        <v>14</v>
      </c>
    </row>
    <row r="72" spans="1:16">
      <c r="A72" t="s">
        <v>2075</v>
      </c>
      <c r="B72" t="s">
        <v>2076</v>
      </c>
      <c r="C72">
        <v>3</v>
      </c>
      <c r="D72" t="s">
        <v>15</v>
      </c>
      <c r="E72" t="s">
        <v>2077</v>
      </c>
      <c r="F72">
        <v>1</v>
      </c>
      <c r="G72">
        <v>71</v>
      </c>
      <c r="I72" t="s">
        <v>1710</v>
      </c>
      <c r="J72" t="s">
        <v>1711</v>
      </c>
      <c r="K72" t="s">
        <v>151</v>
      </c>
      <c r="L72" t="s">
        <v>1712</v>
      </c>
      <c r="M72">
        <v>4742</v>
      </c>
      <c r="N72">
        <v>6</v>
      </c>
      <c r="O72" t="s">
        <v>2328</v>
      </c>
      <c r="P72">
        <v>6</v>
      </c>
    </row>
    <row r="73" spans="1:16">
      <c r="A73" t="s">
        <v>2075</v>
      </c>
      <c r="B73" t="s">
        <v>2076</v>
      </c>
      <c r="C73">
        <v>3</v>
      </c>
      <c r="D73" t="s">
        <v>15</v>
      </c>
      <c r="E73" t="s">
        <v>2077</v>
      </c>
      <c r="F73">
        <v>1</v>
      </c>
      <c r="G73">
        <v>72</v>
      </c>
      <c r="I73" t="s">
        <v>2329</v>
      </c>
      <c r="J73" t="s">
        <v>2330</v>
      </c>
      <c r="K73" t="s">
        <v>151</v>
      </c>
      <c r="L73" t="s">
        <v>2331</v>
      </c>
      <c r="M73">
        <v>1172</v>
      </c>
      <c r="N73">
        <v>6</v>
      </c>
      <c r="O73" t="s">
        <v>2332</v>
      </c>
      <c r="P73">
        <v>6</v>
      </c>
    </row>
    <row r="74" spans="1:16">
      <c r="A74" t="s">
        <v>2075</v>
      </c>
      <c r="B74" t="s">
        <v>2076</v>
      </c>
      <c r="C74">
        <v>3</v>
      </c>
      <c r="D74" t="s">
        <v>15</v>
      </c>
      <c r="E74" t="s">
        <v>2077</v>
      </c>
      <c r="F74">
        <v>1</v>
      </c>
      <c r="G74">
        <v>73</v>
      </c>
      <c r="I74" t="s">
        <v>2333</v>
      </c>
      <c r="J74" t="s">
        <v>2334</v>
      </c>
      <c r="K74" t="s">
        <v>151</v>
      </c>
      <c r="L74" t="s">
        <v>2335</v>
      </c>
      <c r="M74">
        <v>127</v>
      </c>
      <c r="N74">
        <v>4</v>
      </c>
      <c r="O74" t="s">
        <v>2336</v>
      </c>
      <c r="P74">
        <v>4</v>
      </c>
    </row>
    <row r="75" spans="1:16">
      <c r="A75" t="s">
        <v>2075</v>
      </c>
      <c r="B75" t="s">
        <v>2076</v>
      </c>
      <c r="C75">
        <v>3</v>
      </c>
      <c r="D75" t="s">
        <v>15</v>
      </c>
      <c r="E75" t="s">
        <v>2077</v>
      </c>
      <c r="F75">
        <v>1</v>
      </c>
      <c r="G75">
        <v>74</v>
      </c>
      <c r="I75" t="s">
        <v>2337</v>
      </c>
      <c r="J75" t="s">
        <v>2338</v>
      </c>
      <c r="K75" t="s">
        <v>151</v>
      </c>
      <c r="L75" t="s">
        <v>2339</v>
      </c>
      <c r="M75">
        <v>4542</v>
      </c>
      <c r="N75">
        <v>6</v>
      </c>
      <c r="O75" t="s">
        <v>2340</v>
      </c>
      <c r="P75">
        <v>6</v>
      </c>
    </row>
    <row r="76" spans="1:16">
      <c r="A76" t="s">
        <v>2075</v>
      </c>
      <c r="B76" t="s">
        <v>2076</v>
      </c>
      <c r="C76">
        <v>3</v>
      </c>
      <c r="D76" t="s">
        <v>15</v>
      </c>
      <c r="E76" t="s">
        <v>2077</v>
      </c>
      <c r="F76">
        <v>1</v>
      </c>
      <c r="G76">
        <v>75</v>
      </c>
      <c r="I76" t="s">
        <v>2341</v>
      </c>
      <c r="J76" t="s">
        <v>2342</v>
      </c>
      <c r="K76" t="s">
        <v>151</v>
      </c>
      <c r="L76" t="s">
        <v>2343</v>
      </c>
      <c r="M76">
        <v>6051</v>
      </c>
      <c r="N76">
        <v>4</v>
      </c>
      <c r="O76" t="s">
        <v>2344</v>
      </c>
      <c r="P76">
        <v>4</v>
      </c>
    </row>
    <row r="77" spans="1:16">
      <c r="A77" t="s">
        <v>2075</v>
      </c>
      <c r="B77" t="s">
        <v>2076</v>
      </c>
      <c r="C77">
        <v>3</v>
      </c>
      <c r="D77" t="s">
        <v>15</v>
      </c>
      <c r="E77" t="s">
        <v>2077</v>
      </c>
      <c r="F77">
        <v>1</v>
      </c>
      <c r="G77">
        <v>76</v>
      </c>
      <c r="I77" t="s">
        <v>2345</v>
      </c>
      <c r="J77" t="s">
        <v>2346</v>
      </c>
      <c r="K77" t="s">
        <v>2347</v>
      </c>
      <c r="L77" t="s">
        <v>2348</v>
      </c>
      <c r="M77">
        <v>10484</v>
      </c>
      <c r="N77">
        <v>1</v>
      </c>
      <c r="O77" t="s">
        <v>2349</v>
      </c>
      <c r="P77">
        <v>1</v>
      </c>
    </row>
    <row r="78" spans="1:16">
      <c r="A78" t="s">
        <v>2075</v>
      </c>
      <c r="B78" t="s">
        <v>2076</v>
      </c>
      <c r="C78">
        <v>3</v>
      </c>
      <c r="D78" t="s">
        <v>15</v>
      </c>
      <c r="E78" t="s">
        <v>2077</v>
      </c>
      <c r="F78">
        <v>1</v>
      </c>
      <c r="G78">
        <v>77</v>
      </c>
      <c r="I78" t="s">
        <v>2350</v>
      </c>
      <c r="J78" t="s">
        <v>2351</v>
      </c>
      <c r="K78" t="s">
        <v>2347</v>
      </c>
      <c r="L78" t="s">
        <v>2352</v>
      </c>
      <c r="M78">
        <v>10486</v>
      </c>
      <c r="N78">
        <v>3</v>
      </c>
      <c r="O78" t="s">
        <v>2353</v>
      </c>
      <c r="P78">
        <v>3</v>
      </c>
    </row>
    <row r="79" spans="1:16">
      <c r="A79" t="s">
        <v>2075</v>
      </c>
      <c r="B79" t="s">
        <v>2076</v>
      </c>
      <c r="C79">
        <v>3</v>
      </c>
      <c r="D79" t="s">
        <v>15</v>
      </c>
      <c r="E79" t="s">
        <v>2077</v>
      </c>
      <c r="F79">
        <v>1</v>
      </c>
      <c r="G79">
        <v>78</v>
      </c>
      <c r="I79" t="s">
        <v>2354</v>
      </c>
      <c r="J79" t="s">
        <v>2355</v>
      </c>
      <c r="K79" t="s">
        <v>2356</v>
      </c>
      <c r="L79" t="s">
        <v>2357</v>
      </c>
      <c r="M79">
        <v>33828</v>
      </c>
      <c r="N79">
        <v>1</v>
      </c>
      <c r="O79" t="s">
        <v>2358</v>
      </c>
      <c r="P79">
        <v>1</v>
      </c>
    </row>
    <row r="80" spans="1:16">
      <c r="A80" t="s">
        <v>2075</v>
      </c>
      <c r="B80" t="s">
        <v>2076</v>
      </c>
      <c r="C80">
        <v>3</v>
      </c>
      <c r="D80" t="s">
        <v>15</v>
      </c>
      <c r="E80" t="s">
        <v>2077</v>
      </c>
      <c r="F80">
        <v>1</v>
      </c>
      <c r="G80">
        <v>79</v>
      </c>
      <c r="I80" t="s">
        <v>2359</v>
      </c>
      <c r="J80" t="s">
        <v>2360</v>
      </c>
      <c r="K80" t="s">
        <v>2361</v>
      </c>
      <c r="L80" t="s">
        <v>2362</v>
      </c>
      <c r="M80">
        <v>33827</v>
      </c>
      <c r="N80">
        <v>3</v>
      </c>
      <c r="O80" t="s">
        <v>2363</v>
      </c>
      <c r="P80">
        <v>3</v>
      </c>
    </row>
    <row r="81" spans="1:16">
      <c r="A81" t="s">
        <v>2075</v>
      </c>
      <c r="B81" t="s">
        <v>2076</v>
      </c>
      <c r="C81">
        <v>3</v>
      </c>
      <c r="D81" t="s">
        <v>15</v>
      </c>
      <c r="E81" t="s">
        <v>2077</v>
      </c>
      <c r="F81">
        <v>1</v>
      </c>
      <c r="G81">
        <v>80</v>
      </c>
      <c r="I81" t="s">
        <v>2364</v>
      </c>
      <c r="J81" t="s">
        <v>2365</v>
      </c>
      <c r="K81" t="s">
        <v>2366</v>
      </c>
      <c r="L81" t="s">
        <v>2367</v>
      </c>
      <c r="M81">
        <v>10494</v>
      </c>
      <c r="N81">
        <v>2</v>
      </c>
      <c r="O81" t="s">
        <v>2368</v>
      </c>
      <c r="P81">
        <v>2</v>
      </c>
    </row>
    <row r="82" spans="1:16">
      <c r="A82" t="s">
        <v>2075</v>
      </c>
      <c r="B82" t="s">
        <v>2076</v>
      </c>
      <c r="C82">
        <v>3</v>
      </c>
      <c r="D82" t="s">
        <v>15</v>
      </c>
      <c r="E82" t="s">
        <v>2077</v>
      </c>
      <c r="F82">
        <v>1</v>
      </c>
      <c r="G82">
        <v>81</v>
      </c>
      <c r="I82" t="s">
        <v>2369</v>
      </c>
      <c r="J82" t="s">
        <v>2370</v>
      </c>
      <c r="K82" t="s">
        <v>48</v>
      </c>
      <c r="L82" t="s">
        <v>2371</v>
      </c>
      <c r="M82">
        <v>3891</v>
      </c>
      <c r="N82">
        <v>160</v>
      </c>
      <c r="O82" t="s">
        <v>2372</v>
      </c>
      <c r="P82">
        <v>160</v>
      </c>
    </row>
    <row r="83" spans="1:16">
      <c r="A83" t="s">
        <v>2075</v>
      </c>
      <c r="B83" t="s">
        <v>2076</v>
      </c>
      <c r="C83">
        <v>3</v>
      </c>
      <c r="D83" t="s">
        <v>15</v>
      </c>
      <c r="E83" t="s">
        <v>2077</v>
      </c>
      <c r="F83">
        <v>1</v>
      </c>
      <c r="G83">
        <v>82</v>
      </c>
      <c r="I83" t="s">
        <v>2373</v>
      </c>
      <c r="J83" t="s">
        <v>2374</v>
      </c>
      <c r="K83" t="s">
        <v>48</v>
      </c>
      <c r="L83" t="s">
        <v>2375</v>
      </c>
      <c r="M83">
        <v>3839</v>
      </c>
      <c r="N83">
        <v>47</v>
      </c>
      <c r="O83" t="s">
        <v>2376</v>
      </c>
      <c r="P83">
        <v>47</v>
      </c>
    </row>
    <row r="84" spans="1:16">
      <c r="A84" t="s">
        <v>2075</v>
      </c>
      <c r="B84" t="s">
        <v>2076</v>
      </c>
      <c r="C84">
        <v>3</v>
      </c>
      <c r="D84" t="s">
        <v>15</v>
      </c>
      <c r="E84" t="s">
        <v>2077</v>
      </c>
      <c r="F84">
        <v>1</v>
      </c>
      <c r="G84">
        <v>83</v>
      </c>
      <c r="I84" t="s">
        <v>2377</v>
      </c>
      <c r="J84" t="s">
        <v>2378</v>
      </c>
      <c r="K84" t="s">
        <v>48</v>
      </c>
      <c r="L84" t="s">
        <v>2379</v>
      </c>
      <c r="M84">
        <v>2382</v>
      </c>
      <c r="N84">
        <v>2</v>
      </c>
      <c r="O84" t="s">
        <v>1272</v>
      </c>
      <c r="P84">
        <v>2</v>
      </c>
    </row>
    <row r="85" spans="1:16">
      <c r="A85" t="s">
        <v>2075</v>
      </c>
      <c r="B85" t="s">
        <v>2076</v>
      </c>
      <c r="C85">
        <v>3</v>
      </c>
      <c r="D85" t="s">
        <v>15</v>
      </c>
      <c r="E85" t="s">
        <v>2077</v>
      </c>
      <c r="F85">
        <v>1</v>
      </c>
      <c r="G85">
        <v>84</v>
      </c>
      <c r="I85" t="s">
        <v>2380</v>
      </c>
      <c r="J85" t="s">
        <v>2381</v>
      </c>
      <c r="K85" t="s">
        <v>48</v>
      </c>
      <c r="L85" t="s">
        <v>2382</v>
      </c>
      <c r="M85">
        <v>8333</v>
      </c>
      <c r="N85">
        <v>6</v>
      </c>
      <c r="O85" t="s">
        <v>2383</v>
      </c>
      <c r="P85">
        <v>6</v>
      </c>
    </row>
    <row r="86" spans="1:16">
      <c r="A86" t="s">
        <v>2075</v>
      </c>
      <c r="B86" t="s">
        <v>2076</v>
      </c>
      <c r="C86">
        <v>3</v>
      </c>
      <c r="D86" t="s">
        <v>15</v>
      </c>
      <c r="E86" t="s">
        <v>2077</v>
      </c>
      <c r="F86">
        <v>1</v>
      </c>
      <c r="G86">
        <v>85</v>
      </c>
      <c r="I86" t="s">
        <v>2384</v>
      </c>
      <c r="J86" t="s">
        <v>2385</v>
      </c>
      <c r="K86" t="s">
        <v>48</v>
      </c>
      <c r="L86" t="s">
        <v>2386</v>
      </c>
      <c r="M86">
        <v>3946</v>
      </c>
      <c r="N86">
        <v>2</v>
      </c>
      <c r="O86" t="s">
        <v>2387</v>
      </c>
      <c r="P86">
        <v>2</v>
      </c>
    </row>
    <row r="87" spans="1:16">
      <c r="A87" t="s">
        <v>2075</v>
      </c>
      <c r="B87" t="s">
        <v>2076</v>
      </c>
      <c r="C87">
        <v>3</v>
      </c>
      <c r="D87" t="s">
        <v>15</v>
      </c>
      <c r="E87" t="s">
        <v>2077</v>
      </c>
      <c r="F87">
        <v>1</v>
      </c>
      <c r="G87">
        <v>86</v>
      </c>
      <c r="I87" t="s">
        <v>2388</v>
      </c>
      <c r="J87" t="s">
        <v>873</v>
      </c>
      <c r="K87" t="s">
        <v>48</v>
      </c>
      <c r="L87" t="s">
        <v>874</v>
      </c>
      <c r="M87">
        <v>8302</v>
      </c>
      <c r="N87">
        <v>82</v>
      </c>
      <c r="O87" t="s">
        <v>2389</v>
      </c>
      <c r="P87">
        <v>82</v>
      </c>
    </row>
    <row r="88" spans="1:16">
      <c r="A88" t="s">
        <v>2075</v>
      </c>
      <c r="B88" t="s">
        <v>2076</v>
      </c>
      <c r="C88">
        <v>3</v>
      </c>
      <c r="D88" t="s">
        <v>15</v>
      </c>
      <c r="E88" t="s">
        <v>2077</v>
      </c>
      <c r="F88">
        <v>1</v>
      </c>
      <c r="G88">
        <v>87</v>
      </c>
      <c r="I88" t="s">
        <v>2390</v>
      </c>
      <c r="J88" t="s">
        <v>2391</v>
      </c>
      <c r="K88" t="s">
        <v>48</v>
      </c>
      <c r="L88" t="s">
        <v>2392</v>
      </c>
      <c r="M88">
        <v>1642</v>
      </c>
      <c r="N88">
        <v>13</v>
      </c>
      <c r="O88" t="s">
        <v>2393</v>
      </c>
      <c r="P88">
        <v>13</v>
      </c>
    </row>
    <row r="89" spans="1:16">
      <c r="A89" t="s">
        <v>2075</v>
      </c>
      <c r="B89" t="s">
        <v>2076</v>
      </c>
      <c r="C89">
        <v>3</v>
      </c>
      <c r="D89" t="s">
        <v>15</v>
      </c>
      <c r="E89" t="s">
        <v>2077</v>
      </c>
      <c r="F89">
        <v>1</v>
      </c>
      <c r="G89">
        <v>88</v>
      </c>
      <c r="I89" t="s">
        <v>211</v>
      </c>
      <c r="J89" t="s">
        <v>212</v>
      </c>
      <c r="K89" t="s">
        <v>48</v>
      </c>
      <c r="L89" t="s">
        <v>213</v>
      </c>
      <c r="M89">
        <v>8610</v>
      </c>
      <c r="N89">
        <v>62</v>
      </c>
      <c r="O89" t="s">
        <v>2394</v>
      </c>
      <c r="P89">
        <v>62</v>
      </c>
    </row>
    <row r="90" spans="1:16">
      <c r="A90" t="s">
        <v>2075</v>
      </c>
      <c r="B90" t="s">
        <v>2076</v>
      </c>
      <c r="C90">
        <v>3</v>
      </c>
      <c r="D90" t="s">
        <v>15</v>
      </c>
      <c r="E90" t="s">
        <v>2077</v>
      </c>
      <c r="F90">
        <v>1</v>
      </c>
      <c r="G90">
        <v>89</v>
      </c>
      <c r="I90" t="s">
        <v>2395</v>
      </c>
      <c r="J90" t="s">
        <v>424</v>
      </c>
      <c r="K90" t="s">
        <v>48</v>
      </c>
      <c r="L90" t="s">
        <v>425</v>
      </c>
      <c r="M90">
        <v>3968</v>
      </c>
      <c r="N90">
        <v>12</v>
      </c>
      <c r="O90" t="s">
        <v>2396</v>
      </c>
      <c r="P90">
        <v>12</v>
      </c>
    </row>
    <row r="91" spans="1:16">
      <c r="A91" t="s">
        <v>2075</v>
      </c>
      <c r="B91" t="s">
        <v>2076</v>
      </c>
      <c r="C91">
        <v>3</v>
      </c>
      <c r="D91" t="s">
        <v>15</v>
      </c>
      <c r="E91" t="s">
        <v>2077</v>
      </c>
      <c r="F91">
        <v>1</v>
      </c>
      <c r="G91">
        <v>90</v>
      </c>
      <c r="I91" t="s">
        <v>2397</v>
      </c>
      <c r="J91" t="s">
        <v>2398</v>
      </c>
      <c r="K91" t="s">
        <v>48</v>
      </c>
      <c r="L91" t="s">
        <v>2399</v>
      </c>
      <c r="M91">
        <v>3933</v>
      </c>
      <c r="N91">
        <v>5</v>
      </c>
      <c r="O91" t="s">
        <v>2400</v>
      </c>
      <c r="P91">
        <v>5</v>
      </c>
    </row>
    <row r="92" spans="1:16">
      <c r="A92" t="s">
        <v>2075</v>
      </c>
      <c r="B92" t="s">
        <v>2076</v>
      </c>
      <c r="C92">
        <v>3</v>
      </c>
      <c r="D92" t="s">
        <v>15</v>
      </c>
      <c r="E92" t="s">
        <v>2077</v>
      </c>
      <c r="F92">
        <v>1</v>
      </c>
      <c r="G92">
        <v>91</v>
      </c>
      <c r="I92" t="s">
        <v>2401</v>
      </c>
      <c r="J92" t="s">
        <v>2402</v>
      </c>
      <c r="K92" t="s">
        <v>48</v>
      </c>
      <c r="L92" t="s">
        <v>2403</v>
      </c>
      <c r="M92">
        <v>2380</v>
      </c>
      <c r="N92">
        <v>10</v>
      </c>
      <c r="O92" t="s">
        <v>2404</v>
      </c>
      <c r="P92">
        <v>10</v>
      </c>
    </row>
    <row r="93" spans="1:16">
      <c r="A93" t="s">
        <v>2075</v>
      </c>
      <c r="B93" t="s">
        <v>2076</v>
      </c>
      <c r="C93">
        <v>3</v>
      </c>
      <c r="D93" t="s">
        <v>15</v>
      </c>
      <c r="E93" t="s">
        <v>2077</v>
      </c>
      <c r="F93">
        <v>1</v>
      </c>
      <c r="G93">
        <v>92</v>
      </c>
      <c r="I93" t="s">
        <v>2405</v>
      </c>
      <c r="J93" t="s">
        <v>429</v>
      </c>
      <c r="K93" t="s">
        <v>48</v>
      </c>
      <c r="L93" t="s">
        <v>430</v>
      </c>
      <c r="M93">
        <v>3546</v>
      </c>
      <c r="N93">
        <v>5</v>
      </c>
      <c r="O93" t="s">
        <v>2406</v>
      </c>
      <c r="P93">
        <v>5</v>
      </c>
    </row>
    <row r="94" spans="1:16">
      <c r="A94" t="s">
        <v>2075</v>
      </c>
      <c r="B94" t="s">
        <v>2076</v>
      </c>
      <c r="C94">
        <v>3</v>
      </c>
      <c r="D94" t="s">
        <v>15</v>
      </c>
      <c r="E94" t="s">
        <v>2077</v>
      </c>
      <c r="F94">
        <v>1</v>
      </c>
      <c r="G94">
        <v>93</v>
      </c>
      <c r="I94" t="s">
        <v>2407</v>
      </c>
      <c r="J94" t="s">
        <v>2408</v>
      </c>
      <c r="K94" t="s">
        <v>48</v>
      </c>
      <c r="L94" t="s">
        <v>2409</v>
      </c>
      <c r="M94">
        <v>3661</v>
      </c>
      <c r="N94">
        <v>1</v>
      </c>
      <c r="O94" t="s">
        <v>2410</v>
      </c>
      <c r="P94">
        <v>1</v>
      </c>
    </row>
    <row r="95" spans="1:16">
      <c r="A95" t="s">
        <v>2075</v>
      </c>
      <c r="B95" t="s">
        <v>2076</v>
      </c>
      <c r="C95">
        <v>3</v>
      </c>
      <c r="D95" t="s">
        <v>15</v>
      </c>
      <c r="E95" t="s">
        <v>2077</v>
      </c>
      <c r="F95">
        <v>1</v>
      </c>
      <c r="G95">
        <v>94</v>
      </c>
      <c r="I95" t="s">
        <v>2411</v>
      </c>
      <c r="J95" t="s">
        <v>2412</v>
      </c>
      <c r="K95" t="s">
        <v>48</v>
      </c>
      <c r="L95" t="s">
        <v>2413</v>
      </c>
      <c r="M95">
        <v>2385</v>
      </c>
      <c r="N95">
        <v>7</v>
      </c>
      <c r="O95" t="s">
        <v>2414</v>
      </c>
      <c r="P95">
        <v>7</v>
      </c>
    </row>
    <row r="96" spans="1:16">
      <c r="A96" t="s">
        <v>2075</v>
      </c>
      <c r="B96" t="s">
        <v>2076</v>
      </c>
      <c r="C96">
        <v>3</v>
      </c>
      <c r="D96" t="s">
        <v>15</v>
      </c>
      <c r="E96" t="s">
        <v>2077</v>
      </c>
      <c r="F96">
        <v>1</v>
      </c>
      <c r="G96">
        <v>95</v>
      </c>
      <c r="I96" t="s">
        <v>2415</v>
      </c>
      <c r="J96" t="s">
        <v>2416</v>
      </c>
      <c r="K96" t="s">
        <v>48</v>
      </c>
      <c r="L96" t="s">
        <v>2417</v>
      </c>
      <c r="M96">
        <v>2467</v>
      </c>
      <c r="N96">
        <v>5</v>
      </c>
      <c r="O96" t="s">
        <v>2418</v>
      </c>
      <c r="P96">
        <v>5</v>
      </c>
    </row>
    <row r="97" spans="1:16">
      <c r="A97" t="s">
        <v>2075</v>
      </c>
      <c r="B97" t="s">
        <v>2076</v>
      </c>
      <c r="C97">
        <v>3</v>
      </c>
      <c r="D97" t="s">
        <v>15</v>
      </c>
      <c r="E97" t="s">
        <v>2077</v>
      </c>
      <c r="F97">
        <v>1</v>
      </c>
      <c r="G97">
        <v>96</v>
      </c>
      <c r="I97" t="s">
        <v>2419</v>
      </c>
      <c r="J97" t="s">
        <v>1904</v>
      </c>
      <c r="K97" t="s">
        <v>48</v>
      </c>
      <c r="L97" t="s">
        <v>1905</v>
      </c>
      <c r="M97">
        <v>2532</v>
      </c>
      <c r="N97">
        <v>1</v>
      </c>
      <c r="O97" t="s">
        <v>2420</v>
      </c>
      <c r="P97">
        <v>1</v>
      </c>
    </row>
    <row r="98" spans="1:16">
      <c r="A98" t="s">
        <v>2075</v>
      </c>
      <c r="B98" t="s">
        <v>2076</v>
      </c>
      <c r="C98">
        <v>3</v>
      </c>
      <c r="D98" t="s">
        <v>15</v>
      </c>
      <c r="E98" t="s">
        <v>2077</v>
      </c>
      <c r="F98">
        <v>1</v>
      </c>
      <c r="G98">
        <v>97</v>
      </c>
      <c r="I98" t="s">
        <v>2421</v>
      </c>
      <c r="J98" t="s">
        <v>2422</v>
      </c>
      <c r="K98" t="s">
        <v>48</v>
      </c>
      <c r="L98" t="s">
        <v>2423</v>
      </c>
      <c r="M98">
        <v>3937</v>
      </c>
      <c r="N98">
        <v>41</v>
      </c>
      <c r="O98" t="s">
        <v>2424</v>
      </c>
      <c r="P98">
        <v>41</v>
      </c>
    </row>
    <row r="99" spans="1:16">
      <c r="A99" t="s">
        <v>2075</v>
      </c>
      <c r="B99" t="s">
        <v>2076</v>
      </c>
      <c r="C99">
        <v>3</v>
      </c>
      <c r="D99" t="s">
        <v>15</v>
      </c>
      <c r="E99" t="s">
        <v>2077</v>
      </c>
      <c r="F99">
        <v>1</v>
      </c>
      <c r="G99">
        <v>98</v>
      </c>
      <c r="I99" t="s">
        <v>2425</v>
      </c>
      <c r="J99" t="s">
        <v>2426</v>
      </c>
      <c r="K99" t="s">
        <v>48</v>
      </c>
      <c r="L99" t="s">
        <v>2427</v>
      </c>
      <c r="M99">
        <v>3867</v>
      </c>
      <c r="N99">
        <v>2</v>
      </c>
      <c r="O99" t="s">
        <v>2428</v>
      </c>
      <c r="P99">
        <v>2</v>
      </c>
    </row>
    <row r="100" spans="1:16">
      <c r="A100" t="s">
        <v>2075</v>
      </c>
      <c r="B100" t="s">
        <v>2076</v>
      </c>
      <c r="C100">
        <v>3</v>
      </c>
      <c r="D100" t="s">
        <v>15</v>
      </c>
      <c r="E100" t="s">
        <v>2077</v>
      </c>
      <c r="F100">
        <v>1</v>
      </c>
      <c r="G100">
        <v>99</v>
      </c>
      <c r="I100" t="s">
        <v>2429</v>
      </c>
      <c r="J100" t="s">
        <v>1012</v>
      </c>
      <c r="K100" t="s">
        <v>48</v>
      </c>
      <c r="L100" t="s">
        <v>1013</v>
      </c>
      <c r="M100">
        <v>3943</v>
      </c>
      <c r="N100">
        <v>1</v>
      </c>
      <c r="O100" t="s">
        <v>2430</v>
      </c>
      <c r="P100">
        <v>1</v>
      </c>
    </row>
    <row r="101" spans="1:16">
      <c r="A101" t="s">
        <v>2075</v>
      </c>
      <c r="B101" t="s">
        <v>2076</v>
      </c>
      <c r="C101">
        <v>3</v>
      </c>
      <c r="D101" t="s">
        <v>15</v>
      </c>
      <c r="E101" t="s">
        <v>2077</v>
      </c>
      <c r="F101">
        <v>1</v>
      </c>
      <c r="G101">
        <v>100</v>
      </c>
      <c r="I101" t="s">
        <v>2431</v>
      </c>
      <c r="J101" t="s">
        <v>2432</v>
      </c>
      <c r="K101" t="s">
        <v>48</v>
      </c>
      <c r="L101" t="s">
        <v>2433</v>
      </c>
      <c r="M101">
        <v>332</v>
      </c>
      <c r="N101">
        <v>1</v>
      </c>
      <c r="O101" t="s">
        <v>2434</v>
      </c>
      <c r="P101">
        <v>1</v>
      </c>
    </row>
    <row r="102" spans="1:16">
      <c r="A102" t="s">
        <v>2075</v>
      </c>
      <c r="B102" t="s">
        <v>2076</v>
      </c>
      <c r="C102">
        <v>3</v>
      </c>
      <c r="D102" t="s">
        <v>15</v>
      </c>
      <c r="E102" t="s">
        <v>2077</v>
      </c>
      <c r="F102">
        <v>1</v>
      </c>
      <c r="G102">
        <v>101</v>
      </c>
      <c r="I102" t="s">
        <v>2435</v>
      </c>
      <c r="J102" t="s">
        <v>2436</v>
      </c>
      <c r="K102" t="s">
        <v>48</v>
      </c>
      <c r="L102" t="s">
        <v>2437</v>
      </c>
      <c r="M102">
        <v>2214</v>
      </c>
      <c r="N102">
        <v>5</v>
      </c>
      <c r="O102" t="s">
        <v>2438</v>
      </c>
      <c r="P102">
        <v>5</v>
      </c>
    </row>
    <row r="103" spans="1:16">
      <c r="A103" t="s">
        <v>2075</v>
      </c>
      <c r="B103" t="s">
        <v>2076</v>
      </c>
      <c r="C103">
        <v>3</v>
      </c>
      <c r="D103" t="s">
        <v>15</v>
      </c>
      <c r="E103" t="s">
        <v>2077</v>
      </c>
      <c r="F103">
        <v>1</v>
      </c>
      <c r="G103">
        <v>102</v>
      </c>
      <c r="I103" t="s">
        <v>2439</v>
      </c>
      <c r="J103" t="s">
        <v>2440</v>
      </c>
      <c r="K103" t="s">
        <v>48</v>
      </c>
      <c r="L103" t="s">
        <v>2441</v>
      </c>
      <c r="M103">
        <v>3750</v>
      </c>
      <c r="N103">
        <v>2</v>
      </c>
      <c r="O103" t="s">
        <v>2442</v>
      </c>
      <c r="P103">
        <v>2</v>
      </c>
    </row>
    <row r="104" spans="1:16">
      <c r="A104" t="s">
        <v>2075</v>
      </c>
      <c r="B104" t="s">
        <v>2076</v>
      </c>
      <c r="C104">
        <v>3</v>
      </c>
      <c r="D104" t="s">
        <v>15</v>
      </c>
      <c r="E104" t="s">
        <v>2077</v>
      </c>
      <c r="F104">
        <v>1</v>
      </c>
      <c r="G104">
        <v>103</v>
      </c>
      <c r="I104" t="s">
        <v>2443</v>
      </c>
      <c r="J104" t="s">
        <v>207</v>
      </c>
      <c r="K104" t="s">
        <v>48</v>
      </c>
      <c r="L104" t="s">
        <v>208</v>
      </c>
      <c r="M104">
        <v>2029</v>
      </c>
      <c r="N104">
        <v>5</v>
      </c>
      <c r="O104" t="s">
        <v>2444</v>
      </c>
      <c r="P104">
        <v>5</v>
      </c>
    </row>
    <row r="105" spans="1:16">
      <c r="A105" t="s">
        <v>2075</v>
      </c>
      <c r="B105" t="s">
        <v>2076</v>
      </c>
      <c r="C105">
        <v>3</v>
      </c>
      <c r="D105" t="s">
        <v>15</v>
      </c>
      <c r="E105" t="s">
        <v>2077</v>
      </c>
      <c r="F105">
        <v>1</v>
      </c>
      <c r="G105">
        <v>104</v>
      </c>
      <c r="I105" t="s">
        <v>2445</v>
      </c>
      <c r="J105" t="s">
        <v>2446</v>
      </c>
      <c r="K105" t="s">
        <v>48</v>
      </c>
      <c r="L105" t="s">
        <v>2447</v>
      </c>
      <c r="M105">
        <v>8317</v>
      </c>
      <c r="N105">
        <v>4</v>
      </c>
      <c r="O105" t="s">
        <v>2448</v>
      </c>
      <c r="P105">
        <v>4</v>
      </c>
    </row>
    <row r="106" spans="1:16">
      <c r="A106" t="s">
        <v>2075</v>
      </c>
      <c r="B106" t="s">
        <v>2076</v>
      </c>
      <c r="C106">
        <v>3</v>
      </c>
      <c r="D106" t="s">
        <v>15</v>
      </c>
      <c r="E106" t="s">
        <v>2077</v>
      </c>
      <c r="F106">
        <v>1</v>
      </c>
      <c r="G106">
        <v>105</v>
      </c>
      <c r="I106" t="s">
        <v>2449</v>
      </c>
      <c r="J106" t="s">
        <v>2450</v>
      </c>
      <c r="K106" t="s">
        <v>48</v>
      </c>
      <c r="L106" t="s">
        <v>2451</v>
      </c>
      <c r="M106">
        <v>457</v>
      </c>
      <c r="N106">
        <v>3</v>
      </c>
      <c r="O106" t="s">
        <v>2452</v>
      </c>
      <c r="P106">
        <v>3</v>
      </c>
    </row>
    <row r="107" spans="1:16">
      <c r="A107" t="s">
        <v>2075</v>
      </c>
      <c r="B107" t="s">
        <v>2076</v>
      </c>
      <c r="C107">
        <v>3</v>
      </c>
      <c r="D107" t="s">
        <v>15</v>
      </c>
      <c r="E107" t="s">
        <v>2077</v>
      </c>
      <c r="F107">
        <v>1</v>
      </c>
      <c r="G107">
        <v>106</v>
      </c>
      <c r="I107" t="s">
        <v>2453</v>
      </c>
      <c r="J107" t="s">
        <v>2454</v>
      </c>
      <c r="K107" t="s">
        <v>48</v>
      </c>
      <c r="L107" t="s">
        <v>2455</v>
      </c>
      <c r="M107">
        <v>4239</v>
      </c>
      <c r="N107">
        <v>1</v>
      </c>
      <c r="O107" t="s">
        <v>2456</v>
      </c>
      <c r="P107">
        <v>1</v>
      </c>
    </row>
    <row r="108" spans="1:16">
      <c r="A108" t="s">
        <v>2075</v>
      </c>
      <c r="B108" t="s">
        <v>2076</v>
      </c>
      <c r="C108">
        <v>3</v>
      </c>
      <c r="D108" t="s">
        <v>15</v>
      </c>
      <c r="E108" t="s">
        <v>2077</v>
      </c>
      <c r="F108">
        <v>1</v>
      </c>
      <c r="G108">
        <v>107</v>
      </c>
      <c r="I108" t="s">
        <v>2457</v>
      </c>
      <c r="J108" t="s">
        <v>2458</v>
      </c>
      <c r="K108" t="s">
        <v>451</v>
      </c>
      <c r="L108" t="s">
        <v>2459</v>
      </c>
      <c r="M108">
        <v>4387</v>
      </c>
      <c r="N108">
        <v>2</v>
      </c>
      <c r="O108" t="s">
        <v>2460</v>
      </c>
      <c r="P108">
        <v>2</v>
      </c>
    </row>
    <row r="109" spans="1:16">
      <c r="A109" t="s">
        <v>2075</v>
      </c>
      <c r="B109" t="s">
        <v>2076</v>
      </c>
      <c r="C109">
        <v>3</v>
      </c>
      <c r="D109" t="s">
        <v>15</v>
      </c>
      <c r="E109" t="s">
        <v>2077</v>
      </c>
      <c r="F109">
        <v>1</v>
      </c>
      <c r="G109">
        <v>108</v>
      </c>
      <c r="I109" t="s">
        <v>2461</v>
      </c>
      <c r="J109" t="s">
        <v>2462</v>
      </c>
      <c r="K109" t="s">
        <v>48</v>
      </c>
      <c r="L109" t="s">
        <v>2463</v>
      </c>
      <c r="M109">
        <v>2243</v>
      </c>
      <c r="N109">
        <v>4</v>
      </c>
      <c r="O109" t="s">
        <v>2464</v>
      </c>
      <c r="P109">
        <v>4</v>
      </c>
    </row>
    <row r="110" spans="1:16">
      <c r="A110" t="s">
        <v>2075</v>
      </c>
      <c r="B110" t="s">
        <v>2076</v>
      </c>
      <c r="C110">
        <v>3</v>
      </c>
      <c r="D110" t="s">
        <v>15</v>
      </c>
      <c r="E110" t="s">
        <v>2077</v>
      </c>
      <c r="F110">
        <v>1</v>
      </c>
      <c r="G110">
        <v>109</v>
      </c>
      <c r="I110" t="s">
        <v>2465</v>
      </c>
      <c r="J110" t="s">
        <v>2466</v>
      </c>
      <c r="K110" t="s">
        <v>48</v>
      </c>
      <c r="L110" t="s">
        <v>2467</v>
      </c>
      <c r="M110">
        <v>2212</v>
      </c>
      <c r="N110">
        <v>1</v>
      </c>
      <c r="O110" t="s">
        <v>2468</v>
      </c>
      <c r="P110">
        <v>1</v>
      </c>
    </row>
    <row r="111" spans="1:16">
      <c r="A111" t="s">
        <v>2075</v>
      </c>
      <c r="B111" t="s">
        <v>2076</v>
      </c>
      <c r="C111">
        <v>3</v>
      </c>
      <c r="D111" t="s">
        <v>15</v>
      </c>
      <c r="E111" t="s">
        <v>2077</v>
      </c>
      <c r="F111">
        <v>1</v>
      </c>
      <c r="G111">
        <v>110</v>
      </c>
      <c r="I111" t="s">
        <v>2469</v>
      </c>
      <c r="J111" t="s">
        <v>2470</v>
      </c>
      <c r="K111" t="s">
        <v>48</v>
      </c>
      <c r="L111" t="s">
        <v>2471</v>
      </c>
      <c r="M111">
        <v>4145</v>
      </c>
      <c r="N111">
        <v>1</v>
      </c>
      <c r="O111" t="s">
        <v>2472</v>
      </c>
      <c r="P111">
        <v>1</v>
      </c>
    </row>
    <row r="112" spans="1:16">
      <c r="A112" t="s">
        <v>2075</v>
      </c>
      <c r="B112" t="s">
        <v>2076</v>
      </c>
      <c r="C112">
        <v>3</v>
      </c>
      <c r="D112" t="s">
        <v>15</v>
      </c>
      <c r="E112" t="s">
        <v>2077</v>
      </c>
      <c r="F112">
        <v>1</v>
      </c>
      <c r="G112">
        <v>111</v>
      </c>
      <c r="I112" t="s">
        <v>2473</v>
      </c>
      <c r="J112" t="s">
        <v>2474</v>
      </c>
      <c r="K112" t="s">
        <v>48</v>
      </c>
      <c r="L112" t="s">
        <v>2475</v>
      </c>
      <c r="M112">
        <v>4808</v>
      </c>
      <c r="N112">
        <v>1</v>
      </c>
      <c r="O112" t="s">
        <v>2476</v>
      </c>
      <c r="P112">
        <v>1</v>
      </c>
    </row>
    <row r="113" spans="1:16">
      <c r="A113" t="s">
        <v>2075</v>
      </c>
      <c r="B113" t="s">
        <v>2076</v>
      </c>
      <c r="C113">
        <v>3</v>
      </c>
      <c r="D113" t="s">
        <v>15</v>
      </c>
      <c r="E113" t="s">
        <v>2077</v>
      </c>
      <c r="F113">
        <v>1</v>
      </c>
      <c r="G113">
        <v>112</v>
      </c>
      <c r="I113" t="s">
        <v>2477</v>
      </c>
      <c r="J113" t="s">
        <v>2478</v>
      </c>
      <c r="K113" t="s">
        <v>48</v>
      </c>
      <c r="L113" t="s">
        <v>2479</v>
      </c>
      <c r="M113">
        <v>364</v>
      </c>
      <c r="N113">
        <v>1</v>
      </c>
      <c r="O113" t="s">
        <v>974</v>
      </c>
      <c r="P113">
        <v>1</v>
      </c>
    </row>
    <row r="114" spans="1:16">
      <c r="A114" t="s">
        <v>2075</v>
      </c>
      <c r="B114" t="s">
        <v>2076</v>
      </c>
      <c r="C114">
        <v>3</v>
      </c>
      <c r="D114" t="s">
        <v>15</v>
      </c>
      <c r="E114" t="s">
        <v>2077</v>
      </c>
      <c r="F114">
        <v>1</v>
      </c>
      <c r="G114">
        <v>113</v>
      </c>
      <c r="I114" t="s">
        <v>2480</v>
      </c>
      <c r="J114" t="s">
        <v>2481</v>
      </c>
      <c r="K114" t="s">
        <v>48</v>
      </c>
      <c r="L114" t="s">
        <v>2482</v>
      </c>
      <c r="M114">
        <v>698</v>
      </c>
      <c r="N114">
        <v>1</v>
      </c>
      <c r="O114" t="s">
        <v>998</v>
      </c>
      <c r="P114">
        <v>1</v>
      </c>
    </row>
    <row r="115" spans="1:16">
      <c r="A115" t="s">
        <v>2075</v>
      </c>
      <c r="B115" t="s">
        <v>2076</v>
      </c>
      <c r="C115">
        <v>3</v>
      </c>
      <c r="D115" t="s">
        <v>15</v>
      </c>
      <c r="E115" t="s">
        <v>2077</v>
      </c>
      <c r="F115">
        <v>1</v>
      </c>
      <c r="G115">
        <v>114</v>
      </c>
      <c r="I115" t="s">
        <v>2483</v>
      </c>
      <c r="J115" t="s">
        <v>2484</v>
      </c>
      <c r="K115" t="s">
        <v>48</v>
      </c>
      <c r="L115" t="s">
        <v>2485</v>
      </c>
      <c r="M115">
        <v>781</v>
      </c>
      <c r="N115">
        <v>1</v>
      </c>
      <c r="O115" t="s">
        <v>2486</v>
      </c>
      <c r="P115">
        <v>1</v>
      </c>
    </row>
    <row r="116" spans="1:16">
      <c r="A116" t="s">
        <v>2075</v>
      </c>
      <c r="B116" t="s">
        <v>2076</v>
      </c>
      <c r="C116">
        <v>3</v>
      </c>
      <c r="D116" t="s">
        <v>15</v>
      </c>
      <c r="E116" t="s">
        <v>2077</v>
      </c>
      <c r="F116">
        <v>1</v>
      </c>
      <c r="G116">
        <v>115</v>
      </c>
      <c r="I116" t="s">
        <v>2487</v>
      </c>
      <c r="J116" t="s">
        <v>2488</v>
      </c>
      <c r="K116" t="s">
        <v>48</v>
      </c>
      <c r="L116" t="s">
        <v>2489</v>
      </c>
      <c r="M116">
        <v>2559</v>
      </c>
      <c r="N116">
        <v>5</v>
      </c>
      <c r="O116" t="s">
        <v>2490</v>
      </c>
      <c r="P116">
        <v>5</v>
      </c>
    </row>
    <row r="117" spans="1:16">
      <c r="A117" t="s">
        <v>2075</v>
      </c>
      <c r="B117" t="s">
        <v>2076</v>
      </c>
      <c r="C117">
        <v>3</v>
      </c>
      <c r="D117" t="s">
        <v>15</v>
      </c>
      <c r="E117" t="s">
        <v>2077</v>
      </c>
      <c r="F117">
        <v>1</v>
      </c>
      <c r="G117">
        <v>116</v>
      </c>
      <c r="I117" t="s">
        <v>2491</v>
      </c>
      <c r="J117" t="s">
        <v>2492</v>
      </c>
      <c r="K117" t="s">
        <v>48</v>
      </c>
      <c r="L117" t="s">
        <v>2493</v>
      </c>
      <c r="M117">
        <v>2024</v>
      </c>
      <c r="N117">
        <v>1</v>
      </c>
      <c r="O117" t="s">
        <v>2494</v>
      </c>
      <c r="P117">
        <v>1</v>
      </c>
    </row>
    <row r="118" spans="1:16">
      <c r="A118" t="s">
        <v>2075</v>
      </c>
      <c r="B118" t="s">
        <v>2076</v>
      </c>
      <c r="C118">
        <v>3</v>
      </c>
      <c r="D118" t="s">
        <v>15</v>
      </c>
      <c r="E118" t="s">
        <v>2077</v>
      </c>
      <c r="F118">
        <v>1</v>
      </c>
      <c r="G118">
        <v>117</v>
      </c>
      <c r="I118" t="s">
        <v>2495</v>
      </c>
      <c r="J118" t="s">
        <v>2496</v>
      </c>
      <c r="K118" t="s">
        <v>48</v>
      </c>
      <c r="L118" t="s">
        <v>2497</v>
      </c>
      <c r="M118">
        <v>302</v>
      </c>
      <c r="N118">
        <v>1</v>
      </c>
      <c r="O118" t="s">
        <v>2498</v>
      </c>
      <c r="P118">
        <v>1</v>
      </c>
    </row>
    <row r="119" spans="1:16">
      <c r="A119" t="s">
        <v>2075</v>
      </c>
      <c r="B119" t="s">
        <v>2076</v>
      </c>
      <c r="C119">
        <v>3</v>
      </c>
      <c r="D119" t="s">
        <v>15</v>
      </c>
      <c r="E119" t="s">
        <v>2077</v>
      </c>
      <c r="F119">
        <v>1</v>
      </c>
      <c r="G119">
        <v>118</v>
      </c>
      <c r="H119" t="s">
        <v>2499</v>
      </c>
      <c r="I119" t="s">
        <v>2500</v>
      </c>
      <c r="J119" t="s">
        <v>2501</v>
      </c>
      <c r="K119" t="s">
        <v>103</v>
      </c>
      <c r="L119" t="s">
        <v>2502</v>
      </c>
      <c r="M119">
        <v>4861</v>
      </c>
      <c r="N119">
        <v>1</v>
      </c>
      <c r="O119" t="s">
        <v>2503</v>
      </c>
      <c r="P119">
        <v>1</v>
      </c>
    </row>
    <row r="120" spans="1:16">
      <c r="A120" t="s">
        <v>2075</v>
      </c>
      <c r="B120" t="s">
        <v>2076</v>
      </c>
      <c r="C120">
        <v>3</v>
      </c>
      <c r="D120" t="s">
        <v>15</v>
      </c>
      <c r="E120" t="s">
        <v>2077</v>
      </c>
      <c r="F120">
        <v>1</v>
      </c>
      <c r="G120">
        <v>119</v>
      </c>
      <c r="H120" t="s">
        <v>1865</v>
      </c>
      <c r="I120" t="s">
        <v>2504</v>
      </c>
      <c r="J120" t="s">
        <v>2505</v>
      </c>
      <c r="K120" t="s">
        <v>103</v>
      </c>
      <c r="L120" t="s">
        <v>2506</v>
      </c>
      <c r="M120">
        <v>6272</v>
      </c>
      <c r="N120">
        <v>5</v>
      </c>
      <c r="O120" t="s">
        <v>2507</v>
      </c>
      <c r="P120">
        <v>5</v>
      </c>
    </row>
    <row r="121" spans="1:16">
      <c r="A121" t="s">
        <v>2075</v>
      </c>
      <c r="B121" t="s">
        <v>2076</v>
      </c>
      <c r="C121">
        <v>3</v>
      </c>
      <c r="D121" t="s">
        <v>15</v>
      </c>
      <c r="E121" t="s">
        <v>2077</v>
      </c>
      <c r="F121">
        <v>1</v>
      </c>
      <c r="G121">
        <v>120</v>
      </c>
      <c r="H121" t="s">
        <v>2508</v>
      </c>
      <c r="I121" t="s">
        <v>2509</v>
      </c>
      <c r="J121" t="s">
        <v>2510</v>
      </c>
      <c r="K121" t="s">
        <v>103</v>
      </c>
      <c r="L121" t="s">
        <v>2511</v>
      </c>
      <c r="M121">
        <v>2557</v>
      </c>
      <c r="N121">
        <v>1</v>
      </c>
      <c r="O121" t="s">
        <v>2512</v>
      </c>
      <c r="P121">
        <v>1</v>
      </c>
    </row>
    <row r="122" spans="1:16">
      <c r="A122" t="s">
        <v>2075</v>
      </c>
      <c r="B122" t="s">
        <v>2076</v>
      </c>
      <c r="C122">
        <v>3</v>
      </c>
      <c r="D122" t="s">
        <v>15</v>
      </c>
      <c r="E122" t="s">
        <v>2077</v>
      </c>
      <c r="F122">
        <v>1</v>
      </c>
      <c r="G122">
        <v>121</v>
      </c>
      <c r="H122" t="s">
        <v>2513</v>
      </c>
      <c r="I122" t="s">
        <v>2514</v>
      </c>
      <c r="J122" t="s">
        <v>2515</v>
      </c>
      <c r="K122" t="s">
        <v>103</v>
      </c>
      <c r="L122" t="s">
        <v>2516</v>
      </c>
      <c r="M122">
        <v>6215</v>
      </c>
      <c r="N122">
        <v>1</v>
      </c>
      <c r="O122" t="s">
        <v>2517</v>
      </c>
      <c r="P122">
        <v>1</v>
      </c>
    </row>
    <row r="123" spans="1:16">
      <c r="A123" t="s">
        <v>2075</v>
      </c>
      <c r="B123" t="s">
        <v>2076</v>
      </c>
      <c r="C123">
        <v>3</v>
      </c>
      <c r="D123" t="s">
        <v>15</v>
      </c>
      <c r="E123" t="s">
        <v>2077</v>
      </c>
      <c r="F123">
        <v>1</v>
      </c>
      <c r="G123">
        <v>122</v>
      </c>
      <c r="I123" t="s">
        <v>2518</v>
      </c>
      <c r="J123" t="s">
        <v>2519</v>
      </c>
      <c r="K123" t="s">
        <v>48</v>
      </c>
      <c r="L123" t="s">
        <v>2520</v>
      </c>
      <c r="M123">
        <v>8288</v>
      </c>
      <c r="N123">
        <v>1</v>
      </c>
      <c r="O123" t="s">
        <v>2521</v>
      </c>
      <c r="P123">
        <v>1</v>
      </c>
    </row>
    <row r="124" spans="1:16">
      <c r="A124" t="s">
        <v>2075</v>
      </c>
      <c r="B124" t="s">
        <v>2076</v>
      </c>
      <c r="C124">
        <v>3</v>
      </c>
      <c r="D124" t="s">
        <v>15</v>
      </c>
      <c r="E124" t="s">
        <v>2077</v>
      </c>
      <c r="F124">
        <v>1</v>
      </c>
      <c r="G124">
        <v>123</v>
      </c>
      <c r="I124" t="s">
        <v>2522</v>
      </c>
      <c r="J124" t="s">
        <v>2523</v>
      </c>
      <c r="K124" t="s">
        <v>48</v>
      </c>
      <c r="L124" t="s">
        <v>2524</v>
      </c>
      <c r="M124">
        <v>3843</v>
      </c>
      <c r="N124">
        <v>2</v>
      </c>
      <c r="O124" t="s">
        <v>2525</v>
      </c>
      <c r="P124">
        <v>2</v>
      </c>
    </row>
    <row r="125" spans="1:16">
      <c r="A125" t="s">
        <v>2075</v>
      </c>
      <c r="B125" t="s">
        <v>2076</v>
      </c>
      <c r="C125">
        <v>3</v>
      </c>
      <c r="D125" t="s">
        <v>15</v>
      </c>
      <c r="E125" t="s">
        <v>2077</v>
      </c>
      <c r="F125">
        <v>1</v>
      </c>
      <c r="G125">
        <v>124</v>
      </c>
      <c r="I125" t="s">
        <v>2526</v>
      </c>
      <c r="J125" t="s">
        <v>2527</v>
      </c>
      <c r="K125" t="s">
        <v>48</v>
      </c>
      <c r="L125" t="s">
        <v>2528</v>
      </c>
      <c r="M125">
        <v>8304</v>
      </c>
      <c r="N125">
        <v>5</v>
      </c>
      <c r="O125" t="s">
        <v>2529</v>
      </c>
      <c r="P125">
        <v>5</v>
      </c>
    </row>
    <row r="126" spans="1:16">
      <c r="A126" t="s">
        <v>2075</v>
      </c>
      <c r="B126" t="s">
        <v>2076</v>
      </c>
      <c r="C126">
        <v>3</v>
      </c>
      <c r="D126" t="s">
        <v>15</v>
      </c>
      <c r="E126" t="s">
        <v>2077</v>
      </c>
      <c r="F126">
        <v>1</v>
      </c>
      <c r="G126">
        <v>125</v>
      </c>
      <c r="I126" t="s">
        <v>2530</v>
      </c>
      <c r="J126" t="s">
        <v>2531</v>
      </c>
      <c r="K126" t="s">
        <v>48</v>
      </c>
      <c r="L126" t="s">
        <v>2532</v>
      </c>
      <c r="M126">
        <v>8342</v>
      </c>
      <c r="N126">
        <v>3</v>
      </c>
      <c r="O126" t="s">
        <v>2533</v>
      </c>
      <c r="P126">
        <v>3</v>
      </c>
    </row>
    <row r="127" spans="1:16">
      <c r="A127" t="s">
        <v>2075</v>
      </c>
      <c r="B127" t="s">
        <v>2076</v>
      </c>
      <c r="C127">
        <v>3</v>
      </c>
      <c r="D127" t="s">
        <v>15</v>
      </c>
      <c r="E127" t="s">
        <v>2077</v>
      </c>
      <c r="F127">
        <v>1</v>
      </c>
      <c r="G127">
        <v>126</v>
      </c>
      <c r="H127" t="s">
        <v>2534</v>
      </c>
      <c r="I127" t="s">
        <v>2535</v>
      </c>
      <c r="J127" t="s">
        <v>2536</v>
      </c>
      <c r="K127" t="s">
        <v>103</v>
      </c>
      <c r="L127" t="s">
        <v>2537</v>
      </c>
      <c r="M127">
        <v>3762</v>
      </c>
      <c r="N127">
        <v>1</v>
      </c>
      <c r="O127" t="s">
        <v>1898</v>
      </c>
      <c r="P127">
        <v>1</v>
      </c>
    </row>
    <row r="128" spans="1:16">
      <c r="A128" t="s">
        <v>2075</v>
      </c>
      <c r="B128" t="s">
        <v>2076</v>
      </c>
      <c r="C128">
        <v>3</v>
      </c>
      <c r="D128" t="s">
        <v>15</v>
      </c>
      <c r="E128" t="s">
        <v>2077</v>
      </c>
      <c r="F128">
        <v>1</v>
      </c>
      <c r="G128">
        <v>127</v>
      </c>
      <c r="H128" t="s">
        <v>2538</v>
      </c>
      <c r="I128" t="s">
        <v>2539</v>
      </c>
      <c r="J128" t="s">
        <v>2540</v>
      </c>
      <c r="K128" t="s">
        <v>103</v>
      </c>
      <c r="L128" t="s">
        <v>2541</v>
      </c>
      <c r="M128">
        <v>5427</v>
      </c>
      <c r="N128">
        <v>2</v>
      </c>
      <c r="O128" t="s">
        <v>2542</v>
      </c>
      <c r="P128">
        <v>2</v>
      </c>
    </row>
    <row r="129" spans="1:16">
      <c r="A129" t="s">
        <v>2075</v>
      </c>
      <c r="B129" t="s">
        <v>2076</v>
      </c>
      <c r="C129">
        <v>3</v>
      </c>
      <c r="D129" t="s">
        <v>15</v>
      </c>
      <c r="E129" t="s">
        <v>2077</v>
      </c>
      <c r="F129">
        <v>1</v>
      </c>
      <c r="G129">
        <v>128</v>
      </c>
      <c r="H129" t="s">
        <v>2543</v>
      </c>
      <c r="I129" t="s">
        <v>2544</v>
      </c>
      <c r="J129" t="s">
        <v>2545</v>
      </c>
      <c r="K129" t="s">
        <v>103</v>
      </c>
      <c r="L129" t="s">
        <v>2546</v>
      </c>
      <c r="M129">
        <v>7002</v>
      </c>
      <c r="N129">
        <v>1</v>
      </c>
      <c r="O129" t="s">
        <v>2547</v>
      </c>
      <c r="P129">
        <v>1</v>
      </c>
    </row>
    <row r="130" spans="1:16">
      <c r="A130" t="s">
        <v>2075</v>
      </c>
      <c r="B130" t="s">
        <v>2076</v>
      </c>
      <c r="C130">
        <v>3</v>
      </c>
      <c r="D130" t="s">
        <v>15</v>
      </c>
      <c r="E130" t="s">
        <v>2077</v>
      </c>
      <c r="F130">
        <v>1</v>
      </c>
      <c r="G130">
        <v>129</v>
      </c>
      <c r="H130" t="s">
        <v>2548</v>
      </c>
      <c r="I130" t="s">
        <v>2549</v>
      </c>
      <c r="J130" t="s">
        <v>2550</v>
      </c>
      <c r="K130" t="s">
        <v>103</v>
      </c>
      <c r="L130" t="s">
        <v>2551</v>
      </c>
      <c r="M130">
        <v>6663</v>
      </c>
      <c r="N130">
        <v>1</v>
      </c>
      <c r="O130" t="s">
        <v>2552</v>
      </c>
      <c r="P130">
        <v>1</v>
      </c>
    </row>
    <row r="131" spans="1:16">
      <c r="A131" t="s">
        <v>2075</v>
      </c>
      <c r="B131" t="s">
        <v>2076</v>
      </c>
      <c r="C131">
        <v>3</v>
      </c>
      <c r="D131" t="s">
        <v>15</v>
      </c>
      <c r="E131" t="s">
        <v>2077</v>
      </c>
      <c r="F131">
        <v>1</v>
      </c>
      <c r="G131">
        <v>130</v>
      </c>
      <c r="I131" t="s">
        <v>2553</v>
      </c>
      <c r="J131" t="s">
        <v>2554</v>
      </c>
      <c r="K131" t="s">
        <v>48</v>
      </c>
      <c r="L131" t="s">
        <v>2555</v>
      </c>
      <c r="M131">
        <v>8290</v>
      </c>
      <c r="N131">
        <v>3</v>
      </c>
      <c r="O131" t="s">
        <v>2556</v>
      </c>
      <c r="P131">
        <v>3</v>
      </c>
    </row>
    <row r="132" spans="1:16">
      <c r="A132" t="s">
        <v>2075</v>
      </c>
      <c r="B132" t="s">
        <v>2076</v>
      </c>
      <c r="C132">
        <v>3</v>
      </c>
      <c r="D132" t="s">
        <v>15</v>
      </c>
      <c r="E132" t="s">
        <v>2077</v>
      </c>
      <c r="F132">
        <v>1</v>
      </c>
      <c r="G132">
        <v>131</v>
      </c>
      <c r="I132" t="s">
        <v>2557</v>
      </c>
      <c r="J132" t="s">
        <v>424</v>
      </c>
      <c r="K132" t="s">
        <v>48</v>
      </c>
      <c r="L132" t="s">
        <v>425</v>
      </c>
      <c r="M132">
        <v>3968</v>
      </c>
      <c r="N132">
        <v>3</v>
      </c>
      <c r="O132" t="s">
        <v>2558</v>
      </c>
      <c r="P132">
        <v>3</v>
      </c>
    </row>
    <row r="133" spans="1:16">
      <c r="A133" t="s">
        <v>2075</v>
      </c>
      <c r="B133" t="s">
        <v>2076</v>
      </c>
      <c r="C133">
        <v>3</v>
      </c>
      <c r="D133" t="s">
        <v>15</v>
      </c>
      <c r="E133" t="s">
        <v>2077</v>
      </c>
      <c r="F133">
        <v>1</v>
      </c>
      <c r="G133">
        <v>132</v>
      </c>
      <c r="H133" t="s">
        <v>2559</v>
      </c>
      <c r="I133" t="s">
        <v>2560</v>
      </c>
      <c r="J133" t="s">
        <v>2561</v>
      </c>
      <c r="K133" t="s">
        <v>103</v>
      </c>
      <c r="L133" t="s">
        <v>2562</v>
      </c>
      <c r="M133">
        <v>5641</v>
      </c>
      <c r="N133">
        <v>1</v>
      </c>
      <c r="O133" t="s">
        <v>2563</v>
      </c>
      <c r="P133">
        <v>1</v>
      </c>
    </row>
    <row r="134" spans="1:16">
      <c r="A134" t="s">
        <v>2075</v>
      </c>
      <c r="B134" t="s">
        <v>2076</v>
      </c>
      <c r="C134">
        <v>3</v>
      </c>
      <c r="D134" t="s">
        <v>15</v>
      </c>
      <c r="E134" t="s">
        <v>2077</v>
      </c>
      <c r="F134">
        <v>1</v>
      </c>
      <c r="G134">
        <v>133</v>
      </c>
      <c r="H134" t="s">
        <v>2564</v>
      </c>
      <c r="I134" t="s">
        <v>2565</v>
      </c>
      <c r="J134" t="s">
        <v>2566</v>
      </c>
      <c r="K134" t="s">
        <v>103</v>
      </c>
      <c r="L134" t="s">
        <v>2567</v>
      </c>
      <c r="M134">
        <v>5838</v>
      </c>
      <c r="N134">
        <v>2</v>
      </c>
      <c r="O134" t="s">
        <v>2568</v>
      </c>
      <c r="P134">
        <v>2</v>
      </c>
    </row>
    <row r="135" spans="1:16">
      <c r="A135" t="s">
        <v>2075</v>
      </c>
      <c r="B135" t="s">
        <v>2076</v>
      </c>
      <c r="C135">
        <v>3</v>
      </c>
      <c r="D135" t="s">
        <v>15</v>
      </c>
      <c r="E135" t="s">
        <v>2077</v>
      </c>
      <c r="F135">
        <v>1</v>
      </c>
      <c r="G135">
        <v>134</v>
      </c>
      <c r="I135" t="s">
        <v>2569</v>
      </c>
      <c r="J135" t="s">
        <v>2570</v>
      </c>
      <c r="K135" t="s">
        <v>48</v>
      </c>
      <c r="L135" t="s">
        <v>2571</v>
      </c>
      <c r="M135">
        <v>4149</v>
      </c>
      <c r="N135">
        <v>2</v>
      </c>
      <c r="O135" t="s">
        <v>2572</v>
      </c>
      <c r="P135">
        <v>2</v>
      </c>
    </row>
    <row r="136" spans="1:16">
      <c r="A136" t="s">
        <v>2075</v>
      </c>
      <c r="B136" t="s">
        <v>2076</v>
      </c>
      <c r="C136">
        <v>3</v>
      </c>
      <c r="D136" t="s">
        <v>15</v>
      </c>
      <c r="E136" t="s">
        <v>2077</v>
      </c>
      <c r="F136">
        <v>1</v>
      </c>
      <c r="G136">
        <v>135</v>
      </c>
      <c r="H136" t="s">
        <v>2573</v>
      </c>
      <c r="I136" t="s">
        <v>2574</v>
      </c>
      <c r="J136" t="s">
        <v>2575</v>
      </c>
      <c r="K136" t="s">
        <v>103</v>
      </c>
      <c r="L136" t="s">
        <v>2576</v>
      </c>
      <c r="M136">
        <v>3399</v>
      </c>
      <c r="N136">
        <v>4</v>
      </c>
      <c r="O136" t="s">
        <v>2577</v>
      </c>
      <c r="P136">
        <v>4</v>
      </c>
    </row>
    <row r="137" spans="1:16">
      <c r="A137" t="s">
        <v>2075</v>
      </c>
      <c r="B137" t="s">
        <v>2076</v>
      </c>
      <c r="C137">
        <v>3</v>
      </c>
      <c r="D137" t="s">
        <v>15</v>
      </c>
      <c r="E137" t="s">
        <v>2077</v>
      </c>
      <c r="F137">
        <v>1</v>
      </c>
      <c r="G137">
        <v>136</v>
      </c>
      <c r="H137" t="s">
        <v>2578</v>
      </c>
      <c r="I137" t="s">
        <v>2579</v>
      </c>
      <c r="J137" t="s">
        <v>2580</v>
      </c>
      <c r="K137" t="s">
        <v>103</v>
      </c>
      <c r="L137" t="s">
        <v>2581</v>
      </c>
      <c r="M137">
        <v>6262</v>
      </c>
      <c r="N137">
        <v>4</v>
      </c>
      <c r="O137" t="s">
        <v>2582</v>
      </c>
      <c r="P137">
        <v>4</v>
      </c>
    </row>
    <row r="138" spans="1:16">
      <c r="A138" t="s">
        <v>2075</v>
      </c>
      <c r="B138" t="s">
        <v>2076</v>
      </c>
      <c r="C138">
        <v>3</v>
      </c>
      <c r="D138" t="s">
        <v>15</v>
      </c>
      <c r="E138" t="s">
        <v>2077</v>
      </c>
      <c r="F138">
        <v>1</v>
      </c>
      <c r="G138">
        <v>137</v>
      </c>
      <c r="I138" t="s">
        <v>2583</v>
      </c>
      <c r="J138" t="s">
        <v>2584</v>
      </c>
      <c r="K138" t="s">
        <v>48</v>
      </c>
      <c r="L138" t="s">
        <v>2585</v>
      </c>
      <c r="M138">
        <v>10226</v>
      </c>
      <c r="N138">
        <v>1</v>
      </c>
      <c r="O138" t="s">
        <v>2586</v>
      </c>
      <c r="P138">
        <v>1</v>
      </c>
    </row>
    <row r="139" spans="1:16">
      <c r="A139" t="s">
        <v>2075</v>
      </c>
      <c r="B139" t="s">
        <v>2076</v>
      </c>
      <c r="C139">
        <v>3</v>
      </c>
      <c r="D139" t="s">
        <v>15</v>
      </c>
      <c r="E139" t="s">
        <v>2077</v>
      </c>
      <c r="F139">
        <v>1</v>
      </c>
      <c r="G139">
        <v>138</v>
      </c>
      <c r="I139" t="s">
        <v>2587</v>
      </c>
      <c r="J139" t="s">
        <v>2588</v>
      </c>
      <c r="K139" t="s">
        <v>48</v>
      </c>
      <c r="L139" t="s">
        <v>2589</v>
      </c>
      <c r="M139">
        <v>10215</v>
      </c>
      <c r="N139">
        <v>2</v>
      </c>
      <c r="O139" t="s">
        <v>2590</v>
      </c>
      <c r="P139">
        <v>2</v>
      </c>
    </row>
    <row r="140" spans="1:16">
      <c r="A140" t="s">
        <v>2075</v>
      </c>
      <c r="B140" t="s">
        <v>2076</v>
      </c>
      <c r="C140">
        <v>3</v>
      </c>
      <c r="D140" t="s">
        <v>15</v>
      </c>
      <c r="E140" t="s">
        <v>2077</v>
      </c>
      <c r="F140">
        <v>1</v>
      </c>
      <c r="G140">
        <v>139</v>
      </c>
      <c r="I140" t="s">
        <v>2591</v>
      </c>
      <c r="J140" t="s">
        <v>2592</v>
      </c>
      <c r="K140" t="s">
        <v>48</v>
      </c>
      <c r="L140" t="s">
        <v>2593</v>
      </c>
      <c r="M140">
        <v>12665</v>
      </c>
      <c r="N140">
        <v>3</v>
      </c>
      <c r="O140" t="s">
        <v>2594</v>
      </c>
      <c r="P140">
        <v>3</v>
      </c>
    </row>
    <row r="141" spans="1:16">
      <c r="A141" t="s">
        <v>2075</v>
      </c>
      <c r="B141" t="s">
        <v>2076</v>
      </c>
      <c r="C141">
        <v>3</v>
      </c>
      <c r="D141" t="s">
        <v>15</v>
      </c>
      <c r="E141" t="s">
        <v>2077</v>
      </c>
      <c r="F141">
        <v>1</v>
      </c>
      <c r="G141">
        <v>140</v>
      </c>
      <c r="I141" t="s">
        <v>2595</v>
      </c>
      <c r="J141" t="s">
        <v>2596</v>
      </c>
      <c r="K141" t="s">
        <v>151</v>
      </c>
      <c r="L141" t="s">
        <v>2597</v>
      </c>
      <c r="M141">
        <v>206</v>
      </c>
      <c r="N141">
        <v>6</v>
      </c>
      <c r="O141" t="s">
        <v>2598</v>
      </c>
      <c r="P141">
        <v>6</v>
      </c>
    </row>
    <row r="142" spans="1:16">
      <c r="A142" t="s">
        <v>2075</v>
      </c>
      <c r="B142" t="s">
        <v>2076</v>
      </c>
      <c r="C142">
        <v>3</v>
      </c>
      <c r="D142" t="s">
        <v>15</v>
      </c>
      <c r="E142" t="s">
        <v>2077</v>
      </c>
      <c r="F142">
        <v>1</v>
      </c>
      <c r="G142">
        <v>141</v>
      </c>
      <c r="I142" t="s">
        <v>2599</v>
      </c>
      <c r="J142" t="s">
        <v>2600</v>
      </c>
      <c r="K142" t="s">
        <v>122</v>
      </c>
      <c r="L142" t="s">
        <v>2601</v>
      </c>
      <c r="M142">
        <v>131</v>
      </c>
      <c r="N142">
        <v>26</v>
      </c>
      <c r="O142" t="s">
        <v>2602</v>
      </c>
      <c r="P142">
        <v>26</v>
      </c>
    </row>
    <row r="143" spans="1:16">
      <c r="A143" t="s">
        <v>2075</v>
      </c>
      <c r="B143" t="s">
        <v>2076</v>
      </c>
      <c r="C143">
        <v>3</v>
      </c>
      <c r="D143" t="s">
        <v>15</v>
      </c>
      <c r="E143" t="s">
        <v>2077</v>
      </c>
      <c r="F143">
        <v>1</v>
      </c>
      <c r="G143">
        <v>142</v>
      </c>
      <c r="I143" t="s">
        <v>2603</v>
      </c>
      <c r="J143" t="s">
        <v>2604</v>
      </c>
      <c r="K143" t="s">
        <v>122</v>
      </c>
      <c r="L143" t="s">
        <v>2605</v>
      </c>
      <c r="M143">
        <v>2944</v>
      </c>
      <c r="N143">
        <v>12</v>
      </c>
      <c r="O143" t="s">
        <v>2606</v>
      </c>
      <c r="P143">
        <v>12</v>
      </c>
    </row>
    <row r="144" spans="1:16">
      <c r="A144" t="s">
        <v>2075</v>
      </c>
      <c r="B144" t="s">
        <v>2076</v>
      </c>
      <c r="C144">
        <v>3</v>
      </c>
      <c r="D144" t="s">
        <v>15</v>
      </c>
      <c r="E144" t="s">
        <v>2077</v>
      </c>
      <c r="F144">
        <v>1</v>
      </c>
      <c r="G144">
        <v>143</v>
      </c>
      <c r="I144" t="s">
        <v>2607</v>
      </c>
      <c r="J144" t="s">
        <v>2608</v>
      </c>
      <c r="K144" t="s">
        <v>2609</v>
      </c>
      <c r="L144" t="s">
        <v>2610</v>
      </c>
      <c r="M144">
        <v>8351</v>
      </c>
      <c r="N144">
        <v>11</v>
      </c>
      <c r="O144" t="s">
        <v>2611</v>
      </c>
      <c r="P144">
        <v>11</v>
      </c>
    </row>
    <row r="145" spans="1:16">
      <c r="A145" t="s">
        <v>2075</v>
      </c>
      <c r="B145" t="s">
        <v>2076</v>
      </c>
      <c r="C145">
        <v>3</v>
      </c>
      <c r="D145" t="s">
        <v>15</v>
      </c>
      <c r="E145" t="s">
        <v>2077</v>
      </c>
      <c r="F145">
        <v>1</v>
      </c>
      <c r="G145">
        <v>144</v>
      </c>
      <c r="I145" t="s">
        <v>2612</v>
      </c>
      <c r="J145" t="s">
        <v>2613</v>
      </c>
      <c r="K145" t="s">
        <v>122</v>
      </c>
      <c r="L145" t="s">
        <v>2614</v>
      </c>
      <c r="M145">
        <v>4003</v>
      </c>
      <c r="N145">
        <v>6</v>
      </c>
      <c r="O145" t="s">
        <v>2615</v>
      </c>
      <c r="P145">
        <v>6</v>
      </c>
    </row>
    <row r="146" spans="1:16">
      <c r="A146" t="s">
        <v>2075</v>
      </c>
      <c r="B146" t="s">
        <v>2076</v>
      </c>
      <c r="C146">
        <v>3</v>
      </c>
      <c r="D146" t="s">
        <v>15</v>
      </c>
      <c r="E146" t="s">
        <v>2077</v>
      </c>
      <c r="F146">
        <v>1</v>
      </c>
      <c r="G146">
        <v>145</v>
      </c>
      <c r="I146" t="s">
        <v>214</v>
      </c>
      <c r="J146" t="s">
        <v>215</v>
      </c>
      <c r="K146" t="s">
        <v>216</v>
      </c>
      <c r="L146" t="s">
        <v>217</v>
      </c>
      <c r="M146">
        <v>8576</v>
      </c>
      <c r="N146">
        <v>4</v>
      </c>
      <c r="O146" t="s">
        <v>2616</v>
      </c>
      <c r="P146">
        <v>4</v>
      </c>
    </row>
    <row r="147" spans="1:16">
      <c r="A147" t="s">
        <v>2075</v>
      </c>
      <c r="B147" t="s">
        <v>2076</v>
      </c>
      <c r="C147">
        <v>3</v>
      </c>
      <c r="D147" t="s">
        <v>15</v>
      </c>
      <c r="E147" t="s">
        <v>2077</v>
      </c>
      <c r="F147">
        <v>1</v>
      </c>
      <c r="G147">
        <v>146</v>
      </c>
      <c r="I147" t="s">
        <v>2617</v>
      </c>
      <c r="J147" t="s">
        <v>2618</v>
      </c>
      <c r="K147" t="s">
        <v>2609</v>
      </c>
      <c r="L147" t="s">
        <v>2619</v>
      </c>
      <c r="M147">
        <v>8540</v>
      </c>
      <c r="N147">
        <v>52</v>
      </c>
      <c r="O147" t="s">
        <v>2620</v>
      </c>
      <c r="P147">
        <v>52</v>
      </c>
    </row>
    <row r="148" spans="1:16">
      <c r="A148" t="s">
        <v>2075</v>
      </c>
      <c r="B148" t="s">
        <v>2076</v>
      </c>
      <c r="C148">
        <v>3</v>
      </c>
      <c r="D148" t="s">
        <v>15</v>
      </c>
      <c r="E148" t="s">
        <v>2077</v>
      </c>
      <c r="F148">
        <v>1</v>
      </c>
      <c r="G148">
        <v>147</v>
      </c>
      <c r="I148" t="s">
        <v>2621</v>
      </c>
      <c r="J148" t="s">
        <v>2622</v>
      </c>
      <c r="K148" t="s">
        <v>108</v>
      </c>
      <c r="L148" t="s">
        <v>2623</v>
      </c>
      <c r="M148">
        <v>5822</v>
      </c>
      <c r="N148">
        <v>1</v>
      </c>
      <c r="O148" t="s">
        <v>2624</v>
      </c>
      <c r="P148">
        <v>1</v>
      </c>
    </row>
    <row r="149" spans="1:16">
      <c r="A149" t="s">
        <v>2075</v>
      </c>
      <c r="B149" t="s">
        <v>2076</v>
      </c>
      <c r="C149">
        <v>3</v>
      </c>
      <c r="D149" t="s">
        <v>15</v>
      </c>
      <c r="E149" t="s">
        <v>2077</v>
      </c>
      <c r="F149">
        <v>1</v>
      </c>
      <c r="G149">
        <v>148</v>
      </c>
      <c r="I149" t="s">
        <v>2625</v>
      </c>
      <c r="J149" t="s">
        <v>2626</v>
      </c>
      <c r="K149" t="s">
        <v>122</v>
      </c>
      <c r="L149" t="s">
        <v>2627</v>
      </c>
      <c r="M149">
        <v>4786</v>
      </c>
      <c r="N149">
        <v>1</v>
      </c>
      <c r="O149" t="s">
        <v>2628</v>
      </c>
      <c r="P149">
        <v>1</v>
      </c>
    </row>
    <row r="150" spans="1:16">
      <c r="A150" t="s">
        <v>2075</v>
      </c>
      <c r="B150" t="s">
        <v>2076</v>
      </c>
      <c r="C150">
        <v>3</v>
      </c>
      <c r="D150" t="s">
        <v>15</v>
      </c>
      <c r="E150" t="s">
        <v>2077</v>
      </c>
      <c r="F150">
        <v>1</v>
      </c>
      <c r="G150">
        <v>149</v>
      </c>
      <c r="I150" t="s">
        <v>2629</v>
      </c>
      <c r="J150" t="s">
        <v>2630</v>
      </c>
      <c r="K150" t="s">
        <v>122</v>
      </c>
      <c r="L150" t="s">
        <v>2631</v>
      </c>
      <c r="M150">
        <v>264</v>
      </c>
      <c r="N150">
        <v>5</v>
      </c>
      <c r="O150" t="s">
        <v>2632</v>
      </c>
      <c r="P150">
        <v>5</v>
      </c>
    </row>
    <row r="151" spans="1:16">
      <c r="A151" t="s">
        <v>2075</v>
      </c>
      <c r="B151" t="s">
        <v>2076</v>
      </c>
      <c r="C151">
        <v>3</v>
      </c>
      <c r="D151" t="s">
        <v>15</v>
      </c>
      <c r="E151" t="s">
        <v>2077</v>
      </c>
      <c r="F151">
        <v>1</v>
      </c>
      <c r="G151">
        <v>150</v>
      </c>
      <c r="I151" t="s">
        <v>2633</v>
      </c>
      <c r="J151" t="s">
        <v>2634</v>
      </c>
      <c r="K151" t="s">
        <v>122</v>
      </c>
      <c r="L151" t="s">
        <v>2635</v>
      </c>
      <c r="M151">
        <v>4078</v>
      </c>
      <c r="N151">
        <v>33</v>
      </c>
      <c r="O151" t="s">
        <v>2636</v>
      </c>
      <c r="P151">
        <v>33</v>
      </c>
    </row>
    <row r="152" spans="1:16">
      <c r="A152" t="s">
        <v>2075</v>
      </c>
      <c r="B152" t="s">
        <v>2076</v>
      </c>
      <c r="C152">
        <v>3</v>
      </c>
      <c r="D152" t="s">
        <v>15</v>
      </c>
      <c r="E152" t="s">
        <v>2077</v>
      </c>
      <c r="F152">
        <v>1</v>
      </c>
      <c r="G152">
        <v>151</v>
      </c>
      <c r="I152" t="s">
        <v>2637</v>
      </c>
      <c r="J152" t="s">
        <v>2638</v>
      </c>
      <c r="K152" t="s">
        <v>122</v>
      </c>
      <c r="L152" t="s">
        <v>2639</v>
      </c>
      <c r="M152">
        <v>4297</v>
      </c>
      <c r="N152">
        <v>5</v>
      </c>
      <c r="O152" t="s">
        <v>2640</v>
      </c>
      <c r="P152">
        <v>5</v>
      </c>
    </row>
    <row r="153" spans="1:16">
      <c r="A153" t="s">
        <v>2075</v>
      </c>
      <c r="B153" t="s">
        <v>2076</v>
      </c>
      <c r="C153">
        <v>3</v>
      </c>
      <c r="D153" t="s">
        <v>15</v>
      </c>
      <c r="E153" t="s">
        <v>2077</v>
      </c>
      <c r="F153">
        <v>1</v>
      </c>
      <c r="G153">
        <v>152</v>
      </c>
      <c r="I153" t="s">
        <v>2641</v>
      </c>
      <c r="J153" t="s">
        <v>2642</v>
      </c>
      <c r="K153" t="s">
        <v>122</v>
      </c>
      <c r="L153" t="s">
        <v>2643</v>
      </c>
      <c r="M153">
        <v>2629</v>
      </c>
      <c r="N153">
        <v>1</v>
      </c>
      <c r="O153" t="s">
        <v>2644</v>
      </c>
      <c r="P153">
        <v>1</v>
      </c>
    </row>
    <row r="154" spans="1:16">
      <c r="A154" t="s">
        <v>2075</v>
      </c>
      <c r="B154" t="s">
        <v>2076</v>
      </c>
      <c r="C154">
        <v>3</v>
      </c>
      <c r="D154" t="s">
        <v>15</v>
      </c>
      <c r="E154" t="s">
        <v>2077</v>
      </c>
      <c r="F154">
        <v>1</v>
      </c>
      <c r="G154">
        <v>153</v>
      </c>
      <c r="I154" t="s">
        <v>2645</v>
      </c>
      <c r="J154" t="s">
        <v>2646</v>
      </c>
      <c r="K154" t="s">
        <v>122</v>
      </c>
      <c r="L154" t="s">
        <v>2647</v>
      </c>
      <c r="M154">
        <v>464</v>
      </c>
      <c r="N154">
        <v>1</v>
      </c>
      <c r="O154" t="s">
        <v>2648</v>
      </c>
      <c r="P154">
        <v>1</v>
      </c>
    </row>
    <row r="155" spans="1:16">
      <c r="A155" t="s">
        <v>2075</v>
      </c>
      <c r="B155" t="s">
        <v>2076</v>
      </c>
      <c r="C155">
        <v>3</v>
      </c>
      <c r="D155" t="s">
        <v>15</v>
      </c>
      <c r="E155" t="s">
        <v>2077</v>
      </c>
      <c r="F155">
        <v>1</v>
      </c>
      <c r="G155">
        <v>154</v>
      </c>
      <c r="I155" t="s">
        <v>2649</v>
      </c>
      <c r="J155" t="s">
        <v>2650</v>
      </c>
      <c r="K155" t="s">
        <v>122</v>
      </c>
      <c r="L155" t="s">
        <v>2651</v>
      </c>
      <c r="M155">
        <v>233</v>
      </c>
      <c r="N155">
        <v>5</v>
      </c>
      <c r="O155" t="s">
        <v>2652</v>
      </c>
      <c r="P155">
        <v>5</v>
      </c>
    </row>
    <row r="156" spans="1:16">
      <c r="A156" t="s">
        <v>2075</v>
      </c>
      <c r="B156" t="s">
        <v>2076</v>
      </c>
      <c r="C156">
        <v>3</v>
      </c>
      <c r="D156" t="s">
        <v>15</v>
      </c>
      <c r="E156" t="s">
        <v>2077</v>
      </c>
      <c r="F156">
        <v>1</v>
      </c>
      <c r="G156">
        <v>155</v>
      </c>
      <c r="I156" t="s">
        <v>2653</v>
      </c>
      <c r="J156" t="s">
        <v>2654</v>
      </c>
      <c r="K156" t="s">
        <v>122</v>
      </c>
      <c r="L156" t="s">
        <v>2655</v>
      </c>
      <c r="M156">
        <v>232</v>
      </c>
      <c r="N156">
        <v>5</v>
      </c>
      <c r="O156" t="s">
        <v>2656</v>
      </c>
      <c r="P156">
        <v>5</v>
      </c>
    </row>
    <row r="157" spans="1:16">
      <c r="A157" t="s">
        <v>2075</v>
      </c>
      <c r="B157" t="s">
        <v>2076</v>
      </c>
      <c r="C157">
        <v>3</v>
      </c>
      <c r="D157" t="s">
        <v>15</v>
      </c>
      <c r="E157" t="s">
        <v>2077</v>
      </c>
      <c r="F157">
        <v>1</v>
      </c>
      <c r="G157">
        <v>156</v>
      </c>
      <c r="I157" t="s">
        <v>540</v>
      </c>
      <c r="J157" t="s">
        <v>541</v>
      </c>
      <c r="K157" t="s">
        <v>542</v>
      </c>
      <c r="L157" t="s">
        <v>543</v>
      </c>
      <c r="M157">
        <v>4415</v>
      </c>
      <c r="N157">
        <v>5</v>
      </c>
      <c r="O157" t="s">
        <v>2657</v>
      </c>
      <c r="P157">
        <v>5</v>
      </c>
    </row>
    <row r="158" spans="1:16">
      <c r="A158" t="s">
        <v>2075</v>
      </c>
      <c r="B158" t="s">
        <v>2076</v>
      </c>
      <c r="C158">
        <v>3</v>
      </c>
      <c r="D158" t="s">
        <v>15</v>
      </c>
      <c r="E158" t="s">
        <v>2077</v>
      </c>
      <c r="F158">
        <v>1</v>
      </c>
      <c r="G158">
        <v>157</v>
      </c>
      <c r="I158" t="s">
        <v>2658</v>
      </c>
      <c r="J158" t="s">
        <v>2659</v>
      </c>
      <c r="K158" t="s">
        <v>2660</v>
      </c>
      <c r="L158" t="s">
        <v>2661</v>
      </c>
      <c r="M158">
        <v>2640</v>
      </c>
      <c r="N158">
        <v>2</v>
      </c>
      <c r="O158" t="s">
        <v>531</v>
      </c>
      <c r="P158">
        <v>2</v>
      </c>
    </row>
    <row r="159" spans="1:16">
      <c r="A159" t="s">
        <v>2075</v>
      </c>
      <c r="B159" t="s">
        <v>2076</v>
      </c>
      <c r="C159">
        <v>3</v>
      </c>
      <c r="D159" t="s">
        <v>15</v>
      </c>
      <c r="E159" t="s">
        <v>2077</v>
      </c>
      <c r="F159">
        <v>1</v>
      </c>
      <c r="G159">
        <v>158</v>
      </c>
      <c r="I159" t="s">
        <v>2662</v>
      </c>
      <c r="J159" t="s">
        <v>2663</v>
      </c>
      <c r="K159" t="s">
        <v>2664</v>
      </c>
      <c r="L159" t="s">
        <v>2665</v>
      </c>
      <c r="M159">
        <v>230</v>
      </c>
      <c r="N159">
        <v>1</v>
      </c>
      <c r="O159" t="s">
        <v>2666</v>
      </c>
      <c r="P159">
        <v>1</v>
      </c>
    </row>
    <row r="160" spans="1:16">
      <c r="A160" t="s">
        <v>2075</v>
      </c>
      <c r="B160" t="s">
        <v>2076</v>
      </c>
      <c r="C160">
        <v>3</v>
      </c>
      <c r="D160" t="s">
        <v>15</v>
      </c>
      <c r="E160" t="s">
        <v>2077</v>
      </c>
      <c r="F160">
        <v>1</v>
      </c>
      <c r="G160">
        <v>159</v>
      </c>
      <c r="I160" t="s">
        <v>2667</v>
      </c>
      <c r="J160" t="s">
        <v>2668</v>
      </c>
      <c r="K160" t="s">
        <v>2664</v>
      </c>
      <c r="L160" t="s">
        <v>2669</v>
      </c>
      <c r="M160">
        <v>2375</v>
      </c>
      <c r="N160">
        <v>1</v>
      </c>
      <c r="O160" t="s">
        <v>1218</v>
      </c>
      <c r="P160">
        <v>1</v>
      </c>
    </row>
    <row r="161" spans="1:16">
      <c r="A161" t="s">
        <v>2075</v>
      </c>
      <c r="B161" t="s">
        <v>2076</v>
      </c>
      <c r="C161">
        <v>3</v>
      </c>
      <c r="D161" t="s">
        <v>15</v>
      </c>
      <c r="E161" t="s">
        <v>2077</v>
      </c>
      <c r="F161">
        <v>1</v>
      </c>
      <c r="G161">
        <v>160</v>
      </c>
      <c r="I161" t="s">
        <v>2670</v>
      </c>
      <c r="J161" t="s">
        <v>2671</v>
      </c>
      <c r="K161" t="s">
        <v>2672</v>
      </c>
      <c r="L161" t="s">
        <v>2673</v>
      </c>
      <c r="M161">
        <v>107</v>
      </c>
      <c r="N161">
        <v>2</v>
      </c>
      <c r="O161" t="s">
        <v>2674</v>
      </c>
      <c r="P161">
        <v>2</v>
      </c>
    </row>
    <row r="162" spans="1:16">
      <c r="A162" t="s">
        <v>2075</v>
      </c>
      <c r="B162" t="s">
        <v>2076</v>
      </c>
      <c r="C162">
        <v>3</v>
      </c>
      <c r="D162" t="s">
        <v>15</v>
      </c>
      <c r="E162" t="s">
        <v>2077</v>
      </c>
      <c r="F162">
        <v>1</v>
      </c>
      <c r="G162">
        <v>161</v>
      </c>
      <c r="I162" t="s">
        <v>2675</v>
      </c>
      <c r="J162" t="s">
        <v>2676</v>
      </c>
      <c r="K162" t="s">
        <v>137</v>
      </c>
      <c r="L162" t="s">
        <v>2677</v>
      </c>
      <c r="M162">
        <v>6715</v>
      </c>
      <c r="N162">
        <v>1</v>
      </c>
      <c r="O162" t="s">
        <v>2678</v>
      </c>
      <c r="P162">
        <v>1</v>
      </c>
    </row>
    <row r="163" spans="1:16">
      <c r="A163" t="s">
        <v>2075</v>
      </c>
      <c r="B163" t="s">
        <v>2076</v>
      </c>
      <c r="C163">
        <v>3</v>
      </c>
      <c r="D163" t="s">
        <v>15</v>
      </c>
      <c r="E163" t="s">
        <v>2077</v>
      </c>
      <c r="F163">
        <v>1</v>
      </c>
      <c r="G163">
        <v>162</v>
      </c>
      <c r="I163" t="s">
        <v>2679</v>
      </c>
      <c r="J163" t="s">
        <v>2680</v>
      </c>
      <c r="K163" t="s">
        <v>2052</v>
      </c>
      <c r="L163" t="s">
        <v>2681</v>
      </c>
      <c r="M163">
        <v>1940</v>
      </c>
      <c r="N163">
        <v>1</v>
      </c>
      <c r="O163" t="s">
        <v>2682</v>
      </c>
      <c r="P163">
        <v>1</v>
      </c>
    </row>
    <row r="164" spans="1:16">
      <c r="A164" t="s">
        <v>2075</v>
      </c>
      <c r="B164" t="s">
        <v>2076</v>
      </c>
      <c r="C164">
        <v>3</v>
      </c>
      <c r="D164" t="s">
        <v>15</v>
      </c>
      <c r="E164" t="s">
        <v>2077</v>
      </c>
      <c r="F164">
        <v>1</v>
      </c>
      <c r="G164">
        <v>163</v>
      </c>
      <c r="I164" t="s">
        <v>2683</v>
      </c>
      <c r="J164" t="s">
        <v>2684</v>
      </c>
      <c r="K164" t="s">
        <v>137</v>
      </c>
      <c r="L164" t="s">
        <v>2685</v>
      </c>
      <c r="M164">
        <v>1770</v>
      </c>
      <c r="N164">
        <v>1</v>
      </c>
      <c r="O164" t="s">
        <v>2686</v>
      </c>
      <c r="P164">
        <v>1</v>
      </c>
    </row>
    <row r="165" spans="1:16">
      <c r="A165" t="s">
        <v>2075</v>
      </c>
      <c r="B165" t="s">
        <v>2076</v>
      </c>
      <c r="C165">
        <v>3</v>
      </c>
      <c r="D165" t="s">
        <v>15</v>
      </c>
      <c r="E165" t="s">
        <v>2077</v>
      </c>
      <c r="F165">
        <v>1</v>
      </c>
      <c r="G165">
        <v>164</v>
      </c>
      <c r="I165" t="s">
        <v>2050</v>
      </c>
      <c r="J165" t="s">
        <v>2051</v>
      </c>
      <c r="K165" t="s">
        <v>2052</v>
      </c>
      <c r="L165" t="s">
        <v>2053</v>
      </c>
      <c r="M165">
        <v>2317</v>
      </c>
      <c r="N165">
        <v>1</v>
      </c>
      <c r="O165" t="s">
        <v>2687</v>
      </c>
      <c r="P165">
        <v>1</v>
      </c>
    </row>
    <row r="166" spans="1:16">
      <c r="A166" t="s">
        <v>2075</v>
      </c>
      <c r="B166" t="s">
        <v>2076</v>
      </c>
      <c r="C166">
        <v>3</v>
      </c>
      <c r="D166" t="s">
        <v>15</v>
      </c>
      <c r="E166" t="s">
        <v>2077</v>
      </c>
      <c r="F166">
        <v>1</v>
      </c>
      <c r="G166">
        <v>165</v>
      </c>
      <c r="I166" t="s">
        <v>2688</v>
      </c>
      <c r="J166" t="s">
        <v>2689</v>
      </c>
      <c r="K166" t="s">
        <v>2690</v>
      </c>
      <c r="L166" t="s">
        <v>2691</v>
      </c>
      <c r="M166">
        <v>1717</v>
      </c>
      <c r="N166">
        <v>1</v>
      </c>
      <c r="O166" t="s">
        <v>2692</v>
      </c>
      <c r="P166">
        <v>1</v>
      </c>
    </row>
    <row r="167" spans="1:16">
      <c r="A167" t="s">
        <v>2075</v>
      </c>
      <c r="B167" t="s">
        <v>2076</v>
      </c>
      <c r="C167">
        <v>3</v>
      </c>
      <c r="D167" t="s">
        <v>15</v>
      </c>
      <c r="E167" t="s">
        <v>2077</v>
      </c>
      <c r="F167">
        <v>1</v>
      </c>
      <c r="G167">
        <v>166</v>
      </c>
      <c r="I167" t="s">
        <v>2693</v>
      </c>
      <c r="J167" t="s">
        <v>2694</v>
      </c>
      <c r="K167" t="s">
        <v>2695</v>
      </c>
      <c r="L167" t="s">
        <v>2696</v>
      </c>
      <c r="M167">
        <v>7331</v>
      </c>
      <c r="N167">
        <v>1</v>
      </c>
      <c r="O167" t="s">
        <v>2697</v>
      </c>
      <c r="P167">
        <v>1</v>
      </c>
    </row>
    <row r="168" spans="1:16">
      <c r="A168" t="s">
        <v>2075</v>
      </c>
      <c r="B168" t="s">
        <v>2076</v>
      </c>
      <c r="C168">
        <v>3</v>
      </c>
      <c r="D168" t="s">
        <v>15</v>
      </c>
      <c r="E168" t="s">
        <v>2077</v>
      </c>
      <c r="F168">
        <v>1</v>
      </c>
      <c r="G168">
        <v>167</v>
      </c>
      <c r="I168" t="s">
        <v>2698</v>
      </c>
      <c r="J168" t="s">
        <v>2699</v>
      </c>
      <c r="K168" t="s">
        <v>2700</v>
      </c>
      <c r="L168" t="s">
        <v>2701</v>
      </c>
      <c r="M168">
        <v>89</v>
      </c>
      <c r="N168">
        <v>1</v>
      </c>
      <c r="O168" t="s">
        <v>2702</v>
      </c>
      <c r="P168">
        <v>1</v>
      </c>
    </row>
    <row r="169" spans="1:16">
      <c r="A169" t="s">
        <v>2075</v>
      </c>
      <c r="B169" t="s">
        <v>2076</v>
      </c>
      <c r="C169">
        <v>3</v>
      </c>
      <c r="D169" t="s">
        <v>15</v>
      </c>
      <c r="E169" t="s">
        <v>2077</v>
      </c>
      <c r="F169">
        <v>1</v>
      </c>
      <c r="G169">
        <v>168</v>
      </c>
      <c r="I169" t="s">
        <v>2045</v>
      </c>
      <c r="J169" t="s">
        <v>2046</v>
      </c>
      <c r="K169" t="s">
        <v>2703</v>
      </c>
      <c r="L169" t="s">
        <v>2048</v>
      </c>
      <c r="M169">
        <v>1026</v>
      </c>
      <c r="N169">
        <v>1</v>
      </c>
      <c r="O169" t="s">
        <v>2704</v>
      </c>
      <c r="P169">
        <v>1</v>
      </c>
    </row>
    <row r="170" spans="1:16">
      <c r="A170" t="s">
        <v>2075</v>
      </c>
      <c r="B170" t="s">
        <v>2076</v>
      </c>
      <c r="C170">
        <v>3</v>
      </c>
      <c r="D170" t="s">
        <v>15</v>
      </c>
      <c r="E170" t="s">
        <v>2077</v>
      </c>
      <c r="F170">
        <v>1</v>
      </c>
      <c r="G170">
        <v>169</v>
      </c>
      <c r="I170" t="s">
        <v>2705</v>
      </c>
      <c r="J170" t="s">
        <v>2706</v>
      </c>
      <c r="K170" t="s">
        <v>2707</v>
      </c>
      <c r="L170" t="s">
        <v>2708</v>
      </c>
      <c r="M170">
        <v>8211</v>
      </c>
      <c r="N170">
        <v>1</v>
      </c>
      <c r="O170" t="s">
        <v>2709</v>
      </c>
      <c r="P170">
        <v>1</v>
      </c>
    </row>
    <row r="171" spans="1:16">
      <c r="A171" t="s">
        <v>2075</v>
      </c>
      <c r="B171" t="s">
        <v>2076</v>
      </c>
      <c r="C171">
        <v>3</v>
      </c>
      <c r="D171" t="s">
        <v>15</v>
      </c>
      <c r="E171" t="s">
        <v>2077</v>
      </c>
      <c r="F171">
        <v>1</v>
      </c>
      <c r="G171">
        <v>170</v>
      </c>
      <c r="I171" t="s">
        <v>2710</v>
      </c>
      <c r="J171" t="s">
        <v>2711</v>
      </c>
      <c r="K171" t="s">
        <v>2712</v>
      </c>
      <c r="L171" t="s">
        <v>2713</v>
      </c>
      <c r="M171">
        <v>410</v>
      </c>
      <c r="N171">
        <v>1</v>
      </c>
      <c r="O171" t="s">
        <v>2714</v>
      </c>
      <c r="P171">
        <v>1</v>
      </c>
    </row>
    <row r="172" spans="1:16">
      <c r="A172" t="s">
        <v>2075</v>
      </c>
      <c r="B172" t="s">
        <v>2076</v>
      </c>
      <c r="C172">
        <v>3</v>
      </c>
      <c r="D172" t="s">
        <v>15</v>
      </c>
      <c r="E172" t="s">
        <v>2077</v>
      </c>
      <c r="F172">
        <v>1</v>
      </c>
      <c r="G172">
        <v>171</v>
      </c>
      <c r="I172" t="s">
        <v>2715</v>
      </c>
      <c r="J172" t="s">
        <v>2716</v>
      </c>
      <c r="K172" t="s">
        <v>2695</v>
      </c>
      <c r="L172" t="s">
        <v>2717</v>
      </c>
      <c r="M172">
        <v>7450</v>
      </c>
      <c r="N172">
        <v>1</v>
      </c>
      <c r="O172" t="s">
        <v>2718</v>
      </c>
      <c r="P172">
        <v>1</v>
      </c>
    </row>
    <row r="173" spans="1:16">
      <c r="A173" t="s">
        <v>2075</v>
      </c>
      <c r="B173" t="s">
        <v>2076</v>
      </c>
      <c r="C173">
        <v>3</v>
      </c>
      <c r="D173" t="s">
        <v>15</v>
      </c>
      <c r="E173" t="s">
        <v>2077</v>
      </c>
      <c r="F173">
        <v>1</v>
      </c>
      <c r="G173">
        <v>172</v>
      </c>
      <c r="I173" t="s">
        <v>2719</v>
      </c>
      <c r="J173" t="s">
        <v>2720</v>
      </c>
      <c r="K173" t="s">
        <v>2721</v>
      </c>
      <c r="L173" t="s">
        <v>2722</v>
      </c>
      <c r="M173">
        <v>316</v>
      </c>
      <c r="N173">
        <v>3</v>
      </c>
      <c r="O173" t="s">
        <v>2723</v>
      </c>
      <c r="P173">
        <v>3</v>
      </c>
    </row>
    <row r="174" spans="1:16">
      <c r="A174" t="s">
        <v>2075</v>
      </c>
      <c r="B174" t="s">
        <v>2076</v>
      </c>
      <c r="C174">
        <v>3</v>
      </c>
      <c r="D174" t="s">
        <v>15</v>
      </c>
      <c r="E174" t="s">
        <v>2077</v>
      </c>
      <c r="F174">
        <v>1</v>
      </c>
      <c r="G174">
        <v>173</v>
      </c>
      <c r="I174" t="s">
        <v>2724</v>
      </c>
      <c r="J174" t="s">
        <v>2725</v>
      </c>
      <c r="K174" t="s">
        <v>2726</v>
      </c>
      <c r="L174" t="s">
        <v>2727</v>
      </c>
      <c r="M174">
        <v>10338</v>
      </c>
      <c r="N174">
        <v>1</v>
      </c>
      <c r="O174" t="s">
        <v>2728</v>
      </c>
      <c r="P174">
        <v>1</v>
      </c>
    </row>
    <row r="175" spans="1:16">
      <c r="A175" t="s">
        <v>2075</v>
      </c>
      <c r="B175" t="s">
        <v>2076</v>
      </c>
      <c r="C175">
        <v>3</v>
      </c>
      <c r="D175" t="s">
        <v>15</v>
      </c>
      <c r="E175" t="s">
        <v>2077</v>
      </c>
      <c r="F175">
        <v>1</v>
      </c>
      <c r="G175">
        <v>174</v>
      </c>
      <c r="I175" t="s">
        <v>2729</v>
      </c>
      <c r="J175" t="s">
        <v>2730</v>
      </c>
      <c r="K175" t="s">
        <v>2721</v>
      </c>
      <c r="L175" t="s">
        <v>2731</v>
      </c>
      <c r="M175">
        <v>5234</v>
      </c>
      <c r="N175">
        <v>1</v>
      </c>
      <c r="O175" t="s">
        <v>2732</v>
      </c>
      <c r="P175">
        <v>1</v>
      </c>
    </row>
    <row r="176" spans="1:16">
      <c r="A176" t="s">
        <v>2075</v>
      </c>
      <c r="B176" t="s">
        <v>2076</v>
      </c>
      <c r="C176">
        <v>3</v>
      </c>
      <c r="D176" t="s">
        <v>15</v>
      </c>
      <c r="E176" t="s">
        <v>2077</v>
      </c>
      <c r="F176">
        <v>1</v>
      </c>
      <c r="G176">
        <v>175</v>
      </c>
      <c r="I176" t="s">
        <v>2733</v>
      </c>
      <c r="J176" t="s">
        <v>2734</v>
      </c>
      <c r="K176" t="s">
        <v>2735</v>
      </c>
      <c r="L176" t="s">
        <v>2736</v>
      </c>
      <c r="M176">
        <v>5673</v>
      </c>
      <c r="N176">
        <v>1</v>
      </c>
      <c r="O176" t="s">
        <v>2737</v>
      </c>
      <c r="P176">
        <v>1</v>
      </c>
    </row>
    <row r="177" spans="1:16">
      <c r="A177" t="s">
        <v>2075</v>
      </c>
      <c r="B177" t="s">
        <v>2076</v>
      </c>
      <c r="C177">
        <v>3</v>
      </c>
      <c r="D177" t="s">
        <v>15</v>
      </c>
      <c r="E177" t="s">
        <v>2077</v>
      </c>
      <c r="F177">
        <v>1</v>
      </c>
      <c r="G177">
        <v>176</v>
      </c>
      <c r="I177" t="s">
        <v>2738</v>
      </c>
      <c r="J177" t="s">
        <v>2739</v>
      </c>
      <c r="K177" t="s">
        <v>1122</v>
      </c>
      <c r="L177" t="s">
        <v>2740</v>
      </c>
      <c r="M177">
        <v>3672</v>
      </c>
      <c r="N177">
        <v>1</v>
      </c>
      <c r="O177" t="s">
        <v>2741</v>
      </c>
      <c r="P177">
        <v>1</v>
      </c>
    </row>
    <row r="178" spans="1:16">
      <c r="A178" t="s">
        <v>2075</v>
      </c>
      <c r="B178" t="s">
        <v>2076</v>
      </c>
      <c r="C178">
        <v>3</v>
      </c>
      <c r="D178" t="s">
        <v>15</v>
      </c>
      <c r="E178" t="s">
        <v>2077</v>
      </c>
      <c r="F178">
        <v>1</v>
      </c>
      <c r="G178">
        <v>177</v>
      </c>
      <c r="I178" t="s">
        <v>2742</v>
      </c>
      <c r="J178" t="s">
        <v>2743</v>
      </c>
      <c r="K178" t="s">
        <v>1122</v>
      </c>
      <c r="L178" t="s">
        <v>2744</v>
      </c>
      <c r="M178">
        <v>1628</v>
      </c>
      <c r="N178">
        <v>1</v>
      </c>
      <c r="O178" t="s">
        <v>2745</v>
      </c>
      <c r="P178">
        <v>1</v>
      </c>
    </row>
    <row r="179" spans="1:16">
      <c r="A179" t="s">
        <v>2075</v>
      </c>
      <c r="B179" t="s">
        <v>2076</v>
      </c>
      <c r="C179">
        <v>3</v>
      </c>
      <c r="D179" t="s">
        <v>15</v>
      </c>
      <c r="E179" t="s">
        <v>2077</v>
      </c>
      <c r="F179">
        <v>1</v>
      </c>
      <c r="G179">
        <v>178</v>
      </c>
      <c r="I179" t="s">
        <v>2746</v>
      </c>
      <c r="J179" t="s">
        <v>2747</v>
      </c>
      <c r="K179" t="s">
        <v>2748</v>
      </c>
      <c r="L179" t="s">
        <v>2749</v>
      </c>
      <c r="M179">
        <v>8590</v>
      </c>
      <c r="N179">
        <v>2</v>
      </c>
      <c r="O179" t="s">
        <v>2750</v>
      </c>
      <c r="P179">
        <v>2</v>
      </c>
    </row>
    <row r="180" spans="1:16">
      <c r="A180" t="s">
        <v>2075</v>
      </c>
      <c r="B180" t="s">
        <v>2076</v>
      </c>
      <c r="C180">
        <v>3</v>
      </c>
      <c r="D180" t="s">
        <v>15</v>
      </c>
      <c r="E180" t="s">
        <v>2077</v>
      </c>
      <c r="F180">
        <v>1</v>
      </c>
      <c r="G180">
        <v>179</v>
      </c>
      <c r="I180" t="s">
        <v>2751</v>
      </c>
      <c r="J180" t="s">
        <v>2752</v>
      </c>
      <c r="K180" t="s">
        <v>2748</v>
      </c>
      <c r="L180" t="s">
        <v>2753</v>
      </c>
      <c r="M180">
        <v>3381</v>
      </c>
      <c r="N180">
        <v>2</v>
      </c>
      <c r="O180" t="s">
        <v>2754</v>
      </c>
      <c r="P180">
        <v>2</v>
      </c>
    </row>
    <row r="181" spans="1:16">
      <c r="A181" t="s">
        <v>2075</v>
      </c>
      <c r="B181" t="s">
        <v>2076</v>
      </c>
      <c r="C181">
        <v>3</v>
      </c>
      <c r="D181" t="s">
        <v>15</v>
      </c>
      <c r="E181" t="s">
        <v>2077</v>
      </c>
      <c r="F181">
        <v>1</v>
      </c>
      <c r="G181">
        <v>180</v>
      </c>
      <c r="I181" t="s">
        <v>2755</v>
      </c>
      <c r="J181" t="s">
        <v>2756</v>
      </c>
      <c r="K181" t="s">
        <v>1122</v>
      </c>
      <c r="L181" t="s">
        <v>2757</v>
      </c>
      <c r="M181">
        <v>4412</v>
      </c>
      <c r="N181">
        <v>1</v>
      </c>
      <c r="O181" t="s">
        <v>2758</v>
      </c>
      <c r="P181">
        <v>1</v>
      </c>
    </row>
    <row r="182" spans="1:16">
      <c r="A182" t="s">
        <v>2075</v>
      </c>
      <c r="B182" t="s">
        <v>2076</v>
      </c>
      <c r="C182">
        <v>3</v>
      </c>
      <c r="D182" t="s">
        <v>15</v>
      </c>
      <c r="E182" t="s">
        <v>2077</v>
      </c>
      <c r="F182">
        <v>1</v>
      </c>
      <c r="G182">
        <v>181</v>
      </c>
      <c r="I182" t="s">
        <v>2759</v>
      </c>
      <c r="J182" t="s">
        <v>2760</v>
      </c>
      <c r="K182" t="s">
        <v>1122</v>
      </c>
      <c r="L182" t="s">
        <v>2761</v>
      </c>
      <c r="M182">
        <v>5426</v>
      </c>
      <c r="N182">
        <v>1</v>
      </c>
      <c r="O182" t="s">
        <v>2762</v>
      </c>
      <c r="P182">
        <v>1</v>
      </c>
    </row>
    <row r="183" spans="1:16">
      <c r="A183" t="s">
        <v>2075</v>
      </c>
      <c r="B183" t="s">
        <v>2076</v>
      </c>
      <c r="C183">
        <v>3</v>
      </c>
      <c r="D183" t="s">
        <v>15</v>
      </c>
      <c r="E183" t="s">
        <v>2077</v>
      </c>
      <c r="F183">
        <v>1</v>
      </c>
      <c r="G183">
        <v>182</v>
      </c>
      <c r="I183" t="s">
        <v>2763</v>
      </c>
      <c r="J183" t="s">
        <v>2764</v>
      </c>
      <c r="K183" t="s">
        <v>1122</v>
      </c>
      <c r="L183" t="s">
        <v>2765</v>
      </c>
      <c r="M183">
        <v>1151</v>
      </c>
      <c r="N183">
        <v>1</v>
      </c>
      <c r="O183" t="s">
        <v>2766</v>
      </c>
      <c r="P183">
        <v>1</v>
      </c>
    </row>
    <row r="184" spans="1:16">
      <c r="A184" t="s">
        <v>2075</v>
      </c>
      <c r="B184" t="s">
        <v>2076</v>
      </c>
      <c r="C184">
        <v>3</v>
      </c>
      <c r="D184" t="s">
        <v>15</v>
      </c>
      <c r="E184" t="s">
        <v>2077</v>
      </c>
      <c r="F184">
        <v>1</v>
      </c>
      <c r="G184">
        <v>183</v>
      </c>
      <c r="I184" t="s">
        <v>2767</v>
      </c>
      <c r="J184" t="s">
        <v>2768</v>
      </c>
      <c r="K184" t="s">
        <v>2769</v>
      </c>
      <c r="L184" t="s">
        <v>2770</v>
      </c>
      <c r="M184">
        <v>8593</v>
      </c>
      <c r="N184">
        <v>2</v>
      </c>
      <c r="O184" t="s">
        <v>2771</v>
      </c>
      <c r="P184">
        <v>2</v>
      </c>
    </row>
    <row r="185" spans="1:16">
      <c r="A185" t="s">
        <v>2075</v>
      </c>
      <c r="B185" t="s">
        <v>2076</v>
      </c>
      <c r="C185">
        <v>3</v>
      </c>
      <c r="D185" t="s">
        <v>15</v>
      </c>
      <c r="E185" t="s">
        <v>2077</v>
      </c>
      <c r="F185">
        <v>1</v>
      </c>
      <c r="G185">
        <v>184</v>
      </c>
      <c r="I185" t="s">
        <v>2772</v>
      </c>
      <c r="J185" t="s">
        <v>2773</v>
      </c>
      <c r="K185" t="s">
        <v>2774</v>
      </c>
      <c r="L185" t="s">
        <v>2775</v>
      </c>
      <c r="M185">
        <v>8358</v>
      </c>
      <c r="N185">
        <v>1</v>
      </c>
      <c r="O185" t="s">
        <v>2776</v>
      </c>
      <c r="P185">
        <v>1</v>
      </c>
    </row>
    <row r="186" spans="1:16">
      <c r="A186" t="s">
        <v>2075</v>
      </c>
      <c r="B186" t="s">
        <v>2076</v>
      </c>
      <c r="C186">
        <v>3</v>
      </c>
      <c r="D186" t="s">
        <v>15</v>
      </c>
      <c r="E186" t="s">
        <v>2077</v>
      </c>
      <c r="F186">
        <v>1</v>
      </c>
      <c r="G186">
        <v>185</v>
      </c>
      <c r="I186" t="s">
        <v>2777</v>
      </c>
      <c r="J186" t="s">
        <v>2778</v>
      </c>
      <c r="K186" t="s">
        <v>2748</v>
      </c>
      <c r="L186" t="s">
        <v>2779</v>
      </c>
      <c r="M186">
        <v>1643</v>
      </c>
      <c r="N186">
        <v>1</v>
      </c>
      <c r="O186" t="s">
        <v>2780</v>
      </c>
      <c r="P186">
        <v>1</v>
      </c>
    </row>
    <row r="187" spans="1:16">
      <c r="A187" t="s">
        <v>2075</v>
      </c>
      <c r="B187" t="s">
        <v>2076</v>
      </c>
      <c r="C187">
        <v>3</v>
      </c>
      <c r="D187" t="s">
        <v>15</v>
      </c>
      <c r="E187" t="s">
        <v>2077</v>
      </c>
      <c r="F187">
        <v>1</v>
      </c>
      <c r="G187">
        <v>186</v>
      </c>
      <c r="I187" t="s">
        <v>2781</v>
      </c>
      <c r="J187" t="s">
        <v>2782</v>
      </c>
      <c r="K187" t="s">
        <v>2707</v>
      </c>
      <c r="L187" t="s">
        <v>2783</v>
      </c>
      <c r="M187">
        <v>846</v>
      </c>
      <c r="N187">
        <v>1</v>
      </c>
      <c r="O187" t="s">
        <v>2784</v>
      </c>
      <c r="P187">
        <v>1</v>
      </c>
    </row>
    <row r="188" spans="1:16">
      <c r="A188" t="s">
        <v>2075</v>
      </c>
      <c r="B188" t="s">
        <v>2076</v>
      </c>
      <c r="C188">
        <v>3</v>
      </c>
      <c r="D188" t="s">
        <v>15</v>
      </c>
      <c r="E188" t="s">
        <v>2077</v>
      </c>
      <c r="F188">
        <v>1</v>
      </c>
      <c r="G188">
        <v>187</v>
      </c>
      <c r="I188" t="s">
        <v>2785</v>
      </c>
      <c r="J188" t="s">
        <v>2786</v>
      </c>
      <c r="K188" t="s">
        <v>514</v>
      </c>
      <c r="L188" t="s">
        <v>2787</v>
      </c>
      <c r="M188">
        <v>204</v>
      </c>
      <c r="N188">
        <v>1</v>
      </c>
      <c r="O188" t="s">
        <v>2788</v>
      </c>
      <c r="P188">
        <v>1</v>
      </c>
    </row>
    <row r="189" spans="1:16">
      <c r="A189" t="s">
        <v>2075</v>
      </c>
      <c r="B189" t="s">
        <v>2076</v>
      </c>
      <c r="C189">
        <v>3</v>
      </c>
      <c r="D189" t="s">
        <v>15</v>
      </c>
      <c r="E189" t="s">
        <v>2077</v>
      </c>
      <c r="F189">
        <v>1</v>
      </c>
      <c r="G189">
        <v>188</v>
      </c>
      <c r="I189" t="s">
        <v>2789</v>
      </c>
      <c r="J189" t="s">
        <v>2790</v>
      </c>
      <c r="K189" t="s">
        <v>514</v>
      </c>
      <c r="L189" t="s">
        <v>2791</v>
      </c>
      <c r="M189">
        <v>205</v>
      </c>
      <c r="N189">
        <v>1</v>
      </c>
      <c r="O189" t="s">
        <v>2792</v>
      </c>
      <c r="P189">
        <v>1</v>
      </c>
    </row>
    <row r="190" spans="1:16">
      <c r="A190" t="s">
        <v>2075</v>
      </c>
      <c r="B190" t="s">
        <v>2076</v>
      </c>
      <c r="C190">
        <v>3</v>
      </c>
      <c r="D190" t="s">
        <v>15</v>
      </c>
      <c r="E190" t="s">
        <v>2077</v>
      </c>
      <c r="F190">
        <v>1</v>
      </c>
      <c r="G190">
        <v>189</v>
      </c>
      <c r="I190" t="s">
        <v>2793</v>
      </c>
      <c r="J190" t="s">
        <v>2794</v>
      </c>
      <c r="K190" t="s">
        <v>137</v>
      </c>
      <c r="L190" t="s">
        <v>2795</v>
      </c>
      <c r="M190">
        <v>3727</v>
      </c>
      <c r="N190">
        <v>2</v>
      </c>
      <c r="O190" t="s">
        <v>2796</v>
      </c>
      <c r="P19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Состав прибора</vt:lpstr>
      <vt:lpstr>По проектам</vt:lpstr>
      <vt:lpstr>По платам</vt:lpstr>
      <vt:lpstr>IB_2CAN_E1N003INF1</vt:lpstr>
      <vt:lpstr>IB_2RS232_E1N002INF1</vt:lpstr>
      <vt:lpstr>PCIe104_INF_E1N001INF1</vt:lpstr>
      <vt:lpstr>EM-PCIE104-CPU_E1E001CPU1E</vt:lpstr>
      <vt:lpstr>PCIe104_CON_E1N005INF1</vt:lpstr>
      <vt:lpstr>PCIe104_INF2_E1N006INF1</vt:lpstr>
      <vt:lpstr>PCIe104_PSU_E1N001PWR1</vt:lpstr>
      <vt:lpstr>SBC_35_2C3_1_E1E001CPU1E</vt:lpstr>
      <vt:lpstr>SBC_DIO_E1N004INF1</vt:lpstr>
      <vt:lpstr>C2B004CPU2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Павлов Дмитрий Андреевич</dc:creator>
  <cp:lastModifiedBy>polesskiy</cp:lastModifiedBy>
  <dcterms:created xsi:type="dcterms:W3CDTF">2024-08-20T10:36:52Z</dcterms:created>
  <dcterms:modified xsi:type="dcterms:W3CDTF">2024-09-06T08:01:26Z</dcterms:modified>
</cp:coreProperties>
</file>